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Dell\Downloads\"/>
    </mc:Choice>
  </mc:AlternateContent>
  <bookViews>
    <workbookView xWindow="0" yWindow="0" windowWidth="11400" windowHeight="4320"/>
  </bookViews>
  <sheets>
    <sheet name="Sheet1" sheetId="1" r:id="rId1"/>
  </sheets>
  <definedNames>
    <definedName name="_xlnm._FilterDatabase" localSheetId="0" hidden="1">Sheet1!$A$1:$B$145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N2" i="1" l="1"/>
  <c r="T8" i="1"/>
  <c r="U6" i="1"/>
  <c r="U5" i="1"/>
  <c r="T3" i="1"/>
  <c r="U3" i="1"/>
  <c r="V3" i="1"/>
  <c r="U2" i="1"/>
  <c r="V2" i="1"/>
  <c r="T2" i="1"/>
  <c r="P3" i="1"/>
  <c r="O3" i="1"/>
  <c r="N3" i="1"/>
  <c r="O2" i="1"/>
  <c r="P2" i="1"/>
  <c r="Q3" i="1"/>
  <c r="P4" i="1"/>
  <c r="O4" i="1"/>
  <c r="Q2" i="1"/>
  <c r="J4" i="1"/>
  <c r="J3" i="1"/>
  <c r="J2" i="1"/>
  <c r="I4" i="1"/>
  <c r="H4" i="1"/>
  <c r="G4" i="1"/>
  <c r="H3" i="1"/>
  <c r="I3" i="1"/>
  <c r="I2" i="1"/>
  <c r="H2" i="1"/>
  <c r="G3" i="1"/>
  <c r="G2" i="1"/>
  <c r="Q4" i="1" l="1"/>
  <c r="N4" i="1"/>
</calcChain>
</file>

<file path=xl/sharedStrings.xml><?xml version="1.0" encoding="utf-8"?>
<sst xmlns="http://schemas.openxmlformats.org/spreadsheetml/2006/main" count="305" uniqueCount="13">
  <si>
    <t>Platform</t>
  </si>
  <si>
    <t>Hola</t>
  </si>
  <si>
    <t>Druber</t>
  </si>
  <si>
    <t>Preference</t>
  </si>
  <si>
    <t>Seadan</t>
  </si>
  <si>
    <t>Hatchback</t>
  </si>
  <si>
    <t>MPV</t>
  </si>
  <si>
    <t>Observations</t>
  </si>
  <si>
    <t xml:space="preserve">Hola </t>
  </si>
  <si>
    <t>Expected</t>
  </si>
  <si>
    <t>chiSqCalc</t>
  </si>
  <si>
    <t>chiSqTab</t>
  </si>
  <si>
    <t>p-value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</si>
</sst>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1" fillId="0" borderId="1" xfId="0" applyFont="1" applyBorder="1"/>
    <xf numFmtId="0" fontId="2" fillId="0" borderId="1" xfId="0" applyFont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145"/>
  <sheetViews>
    <sheetView tabSelected="1" workbookViewId="0">
      <selection activeCell="S9" sqref="S9"/>
    </sheetView>
  </sheetViews>
  <sheetFormatPr defaultRowHeight="14.4" x14ac:dyDescent="0.3"/>
  <cols>
    <col min="1" max="1" width="10.33203125" bestFit="1" customWidth="1"/>
    <col min="2" max="2" width="12.109375" bestFit="1" customWidth="1"/>
    <col min="6" max="6" width="11.6640625" bestFit="1" customWidth="1"/>
    <col min="8" max="8" width="12.21875" customWidth="1"/>
    <col min="15" max="15" width="10.5546875" bestFit="1" customWidth="1"/>
    <col min="20" max="20" width="16.44140625" customWidth="1"/>
  </cols>
  <sheetData>
    <row r="1" spans="1:22" x14ac:dyDescent="0.3">
      <c r="A1" s="1" t="s">
        <v>0</v>
      </c>
      <c r="B1" s="1" t="s">
        <v>3</v>
      </c>
      <c r="F1" s="2" t="s">
        <v>7</v>
      </c>
      <c r="G1" s="3" t="s">
        <v>4</v>
      </c>
      <c r="H1" s="3" t="s">
        <v>5</v>
      </c>
      <c r="I1" s="3" t="s">
        <v>6</v>
      </c>
      <c r="M1" s="2" t="s">
        <v>9</v>
      </c>
      <c r="N1" s="3" t="s">
        <v>4</v>
      </c>
      <c r="O1" s="3" t="s">
        <v>5</v>
      </c>
      <c r="P1" s="3" t="s">
        <v>6</v>
      </c>
    </row>
    <row r="2" spans="1:22" x14ac:dyDescent="0.3">
      <c r="A2" t="s">
        <v>1</v>
      </c>
      <c r="B2" t="s">
        <v>4</v>
      </c>
      <c r="F2" s="3" t="s">
        <v>8</v>
      </c>
      <c r="G2" s="4">
        <f>COUNTIFS($A:$A,"=Hola",$B:$B,"=Seadan")</f>
        <v>27</v>
      </c>
      <c r="H2" s="4">
        <f>COUNTIFS($A:$A,"=Hola",$B:$B,"=Hatchback")</f>
        <v>30</v>
      </c>
      <c r="I2" s="4">
        <f>COUNTIFS($A:$A,"=Hola",$B:$B,"=MPV")</f>
        <v>6</v>
      </c>
      <c r="J2">
        <f>SUM(G2:I2)</f>
        <v>63</v>
      </c>
      <c r="M2" s="3" t="s">
        <v>8</v>
      </c>
      <c r="N2" s="4">
        <f>$J$2*G4/$J$4</f>
        <v>17.0625</v>
      </c>
      <c r="O2" s="4">
        <f t="shared" ref="O2:P2" si="0">$J$2*H4/$J$4</f>
        <v>28.875</v>
      </c>
      <c r="P2" s="4">
        <f t="shared" si="0"/>
        <v>17.0625</v>
      </c>
      <c r="Q2">
        <f>SUM(N2:P2)</f>
        <v>63</v>
      </c>
      <c r="T2">
        <f>(N2-G2)^2/N2</f>
        <v>5.7877747252747254</v>
      </c>
      <c r="U2">
        <f t="shared" ref="U2:V2" si="1">(O2-H2)^2/O2</f>
        <v>4.3831168831168832E-2</v>
      </c>
      <c r="V2">
        <f t="shared" si="1"/>
        <v>7.1723901098901095</v>
      </c>
    </row>
    <row r="3" spans="1:22" x14ac:dyDescent="0.3">
      <c r="A3" t="s">
        <v>2</v>
      </c>
      <c r="B3" t="s">
        <v>5</v>
      </c>
      <c r="F3" s="3" t="s">
        <v>2</v>
      </c>
      <c r="G3" s="4">
        <f>COUNTIFS($A:$A,"=Druber",$B:$B,"=Seadan")</f>
        <v>12</v>
      </c>
      <c r="H3" s="4">
        <f>COUNTIFS($A:$A,"=Druber",$B:$B,"=Hatchback")</f>
        <v>36</v>
      </c>
      <c r="I3" s="4">
        <f>COUNTIFS($A:$A,"=Druber",$B:$B,"=MPV")</f>
        <v>33</v>
      </c>
      <c r="J3">
        <f>SUM(G3:I3)</f>
        <v>81</v>
      </c>
      <c r="M3" s="3" t="s">
        <v>2</v>
      </c>
      <c r="N3" s="4">
        <f>G4*$J$3/$J$4</f>
        <v>21.9375</v>
      </c>
      <c r="O3" s="4">
        <f>H4*$J$3/$J$4</f>
        <v>37.125</v>
      </c>
      <c r="P3" s="4">
        <f>I4*$J$3/$J$4</f>
        <v>21.9375</v>
      </c>
      <c r="Q3">
        <f>SUM(N3:P3)</f>
        <v>81</v>
      </c>
      <c r="T3">
        <f>(N3-G3)^2/N3</f>
        <v>4.5016025641025639</v>
      </c>
      <c r="U3">
        <f t="shared" ref="U3" si="2">(O3-H3)^2/O3</f>
        <v>3.4090909090909088E-2</v>
      </c>
      <c r="V3">
        <f t="shared" ref="V3" si="3">(P3-I3)^2/P3</f>
        <v>5.5785256410256414</v>
      </c>
    </row>
    <row r="4" spans="1:22" x14ac:dyDescent="0.3">
      <c r="A4" t="s">
        <v>1</v>
      </c>
      <c r="B4" t="s">
        <v>6</v>
      </c>
      <c r="G4">
        <f>SUM(G2:G3)</f>
        <v>39</v>
      </c>
      <c r="H4">
        <f>SUM(H2:H3)</f>
        <v>66</v>
      </c>
      <c r="I4">
        <f>SUM(I2:I3)</f>
        <v>39</v>
      </c>
      <c r="J4">
        <f>SUM(J2:J3)</f>
        <v>144</v>
      </c>
      <c r="N4">
        <f>SUM(N2:N3)</f>
        <v>39</v>
      </c>
      <c r="O4">
        <f>SUM(O2:O3)</f>
        <v>66</v>
      </c>
      <c r="P4">
        <f>SUM(P2:P3)</f>
        <v>39</v>
      </c>
      <c r="Q4">
        <f>SUM(Q2:Q3)</f>
        <v>144</v>
      </c>
    </row>
    <row r="5" spans="1:22" x14ac:dyDescent="0.3">
      <c r="A5" t="s">
        <v>2</v>
      </c>
      <c r="B5" t="s">
        <v>4</v>
      </c>
      <c r="T5" t="s">
        <v>10</v>
      </c>
      <c r="U5">
        <f>SUM(T2:V3)</f>
        <v>23.118215118215122</v>
      </c>
    </row>
    <row r="6" spans="1:22" x14ac:dyDescent="0.3">
      <c r="A6" t="s">
        <v>2</v>
      </c>
      <c r="B6" t="s">
        <v>4</v>
      </c>
      <c r="T6" t="s">
        <v>11</v>
      </c>
      <c r="U6">
        <f>_xlfn.CHISQ.INV(1-0.05,2)</f>
        <v>5.9914645471079799</v>
      </c>
    </row>
    <row r="7" spans="1:22" x14ac:dyDescent="0.3">
      <c r="A7" t="s">
        <v>2</v>
      </c>
      <c r="B7" t="s">
        <v>4</v>
      </c>
    </row>
    <row r="8" spans="1:22" x14ac:dyDescent="0.3">
      <c r="A8" t="s">
        <v>2</v>
      </c>
      <c r="B8" t="s">
        <v>5</v>
      </c>
      <c r="S8" t="s">
        <v>12</v>
      </c>
      <c r="T8">
        <f>_xlfn.CHISQ.TEST(G2:I3,N2:P3)</f>
        <v>9.5486807048130382E-6</v>
      </c>
    </row>
    <row r="9" spans="1:22" x14ac:dyDescent="0.3">
      <c r="A9" t="s">
        <v>2</v>
      </c>
      <c r="B9" t="s">
        <v>5</v>
      </c>
    </row>
    <row r="10" spans="1:22" x14ac:dyDescent="0.3">
      <c r="A10" t="s">
        <v>2</v>
      </c>
      <c r="B10" t="s">
        <v>5</v>
      </c>
    </row>
    <row r="11" spans="1:22" x14ac:dyDescent="0.3">
      <c r="A11" t="s">
        <v>1</v>
      </c>
      <c r="B11" t="s">
        <v>5</v>
      </c>
    </row>
    <row r="12" spans="1:22" x14ac:dyDescent="0.3">
      <c r="A12" t="s">
        <v>1</v>
      </c>
      <c r="B12" t="s">
        <v>5</v>
      </c>
    </row>
    <row r="13" spans="1:22" x14ac:dyDescent="0.3">
      <c r="A13" t="s">
        <v>2</v>
      </c>
      <c r="B13" t="s">
        <v>6</v>
      </c>
    </row>
    <row r="14" spans="1:22" x14ac:dyDescent="0.3">
      <c r="A14" t="s">
        <v>2</v>
      </c>
      <c r="B14" t="s">
        <v>6</v>
      </c>
    </row>
    <row r="15" spans="1:22" x14ac:dyDescent="0.3">
      <c r="A15" t="s">
        <v>2</v>
      </c>
      <c r="B15" t="s">
        <v>6</v>
      </c>
    </row>
    <row r="16" spans="1:22" x14ac:dyDescent="0.3">
      <c r="A16" t="s">
        <v>2</v>
      </c>
      <c r="B16" t="s">
        <v>6</v>
      </c>
    </row>
    <row r="17" spans="1:2" x14ac:dyDescent="0.3">
      <c r="A17" t="s">
        <v>2</v>
      </c>
      <c r="B17" t="s">
        <v>6</v>
      </c>
    </row>
    <row r="18" spans="1:2" x14ac:dyDescent="0.3">
      <c r="A18" t="s">
        <v>2</v>
      </c>
      <c r="B18" t="s">
        <v>5</v>
      </c>
    </row>
    <row r="19" spans="1:2" x14ac:dyDescent="0.3">
      <c r="A19" t="s">
        <v>1</v>
      </c>
      <c r="B19" t="s">
        <v>5</v>
      </c>
    </row>
    <row r="20" spans="1:2" x14ac:dyDescent="0.3">
      <c r="A20" t="s">
        <v>1</v>
      </c>
      <c r="B20" t="s">
        <v>5</v>
      </c>
    </row>
    <row r="21" spans="1:2" x14ac:dyDescent="0.3">
      <c r="A21" t="s">
        <v>1</v>
      </c>
      <c r="B21" t="s">
        <v>5</v>
      </c>
    </row>
    <row r="22" spans="1:2" x14ac:dyDescent="0.3">
      <c r="A22" t="s">
        <v>1</v>
      </c>
      <c r="B22" t="s">
        <v>5</v>
      </c>
    </row>
    <row r="23" spans="1:2" x14ac:dyDescent="0.3">
      <c r="A23" t="s">
        <v>1</v>
      </c>
      <c r="B23" t="s">
        <v>5</v>
      </c>
    </row>
    <row r="24" spans="1:2" x14ac:dyDescent="0.3">
      <c r="A24" t="s">
        <v>1</v>
      </c>
      <c r="B24" t="s">
        <v>5</v>
      </c>
    </row>
    <row r="25" spans="1:2" x14ac:dyDescent="0.3">
      <c r="A25" t="s">
        <v>1</v>
      </c>
      <c r="B25" t="s">
        <v>5</v>
      </c>
    </row>
    <row r="26" spans="1:2" x14ac:dyDescent="0.3">
      <c r="A26" t="s">
        <v>1</v>
      </c>
      <c r="B26" t="s">
        <v>5</v>
      </c>
    </row>
    <row r="27" spans="1:2" x14ac:dyDescent="0.3">
      <c r="A27" t="s">
        <v>2</v>
      </c>
      <c r="B27" t="s">
        <v>5</v>
      </c>
    </row>
    <row r="28" spans="1:2" x14ac:dyDescent="0.3">
      <c r="A28" t="s">
        <v>2</v>
      </c>
      <c r="B28" t="s">
        <v>5</v>
      </c>
    </row>
    <row r="29" spans="1:2" x14ac:dyDescent="0.3">
      <c r="A29" t="s">
        <v>2</v>
      </c>
      <c r="B29" t="s">
        <v>6</v>
      </c>
    </row>
    <row r="30" spans="1:2" x14ac:dyDescent="0.3">
      <c r="A30" t="s">
        <v>1</v>
      </c>
      <c r="B30" t="s">
        <v>6</v>
      </c>
    </row>
    <row r="31" spans="1:2" x14ac:dyDescent="0.3">
      <c r="A31" t="s">
        <v>2</v>
      </c>
      <c r="B31" t="s">
        <v>6</v>
      </c>
    </row>
    <row r="32" spans="1:2" x14ac:dyDescent="0.3">
      <c r="A32" t="s">
        <v>2</v>
      </c>
      <c r="B32" t="s">
        <v>6</v>
      </c>
    </row>
    <row r="33" spans="1:2" x14ac:dyDescent="0.3">
      <c r="A33" t="s">
        <v>2</v>
      </c>
      <c r="B33" t="s">
        <v>6</v>
      </c>
    </row>
    <row r="34" spans="1:2" x14ac:dyDescent="0.3">
      <c r="A34" t="s">
        <v>2</v>
      </c>
      <c r="B34" t="s">
        <v>6</v>
      </c>
    </row>
    <row r="35" spans="1:2" x14ac:dyDescent="0.3">
      <c r="A35" t="s">
        <v>2</v>
      </c>
      <c r="B35" t="s">
        <v>6</v>
      </c>
    </row>
    <row r="36" spans="1:2" x14ac:dyDescent="0.3">
      <c r="A36" t="s">
        <v>2</v>
      </c>
      <c r="B36" t="s">
        <v>5</v>
      </c>
    </row>
    <row r="37" spans="1:2" x14ac:dyDescent="0.3">
      <c r="A37" t="s">
        <v>2</v>
      </c>
      <c r="B37" t="s">
        <v>5</v>
      </c>
    </row>
    <row r="38" spans="1:2" x14ac:dyDescent="0.3">
      <c r="A38" t="s">
        <v>2</v>
      </c>
      <c r="B38" t="s">
        <v>5</v>
      </c>
    </row>
    <row r="39" spans="1:2" x14ac:dyDescent="0.3">
      <c r="A39" t="s">
        <v>2</v>
      </c>
      <c r="B39" t="s">
        <v>5</v>
      </c>
    </row>
    <row r="40" spans="1:2" x14ac:dyDescent="0.3">
      <c r="A40" t="s">
        <v>2</v>
      </c>
      <c r="B40" t="s">
        <v>5</v>
      </c>
    </row>
    <row r="41" spans="1:2" x14ac:dyDescent="0.3">
      <c r="A41" t="s">
        <v>2</v>
      </c>
      <c r="B41" t="s">
        <v>4</v>
      </c>
    </row>
    <row r="42" spans="1:2" x14ac:dyDescent="0.3">
      <c r="A42" t="s">
        <v>1</v>
      </c>
      <c r="B42" t="s">
        <v>4</v>
      </c>
    </row>
    <row r="43" spans="1:2" x14ac:dyDescent="0.3">
      <c r="A43" t="s">
        <v>1</v>
      </c>
      <c r="B43" t="s">
        <v>4</v>
      </c>
    </row>
    <row r="44" spans="1:2" x14ac:dyDescent="0.3">
      <c r="A44" t="s">
        <v>1</v>
      </c>
      <c r="B44" t="s">
        <v>4</v>
      </c>
    </row>
    <row r="45" spans="1:2" x14ac:dyDescent="0.3">
      <c r="A45" t="s">
        <v>1</v>
      </c>
      <c r="B45" t="s">
        <v>4</v>
      </c>
    </row>
    <row r="46" spans="1:2" x14ac:dyDescent="0.3">
      <c r="A46" t="s">
        <v>1</v>
      </c>
      <c r="B46" t="s">
        <v>4</v>
      </c>
    </row>
    <row r="47" spans="1:2" x14ac:dyDescent="0.3">
      <c r="A47" t="s">
        <v>1</v>
      </c>
      <c r="B47" t="s">
        <v>4</v>
      </c>
    </row>
    <row r="48" spans="1:2" x14ac:dyDescent="0.3">
      <c r="A48" t="s">
        <v>1</v>
      </c>
      <c r="B48" t="s">
        <v>4</v>
      </c>
    </row>
    <row r="49" spans="1:2" x14ac:dyDescent="0.3">
      <c r="A49" t="s">
        <v>1</v>
      </c>
      <c r="B49" t="s">
        <v>4</v>
      </c>
    </row>
    <row r="50" spans="1:2" x14ac:dyDescent="0.3">
      <c r="A50" t="s">
        <v>1</v>
      </c>
      <c r="B50" t="s">
        <v>4</v>
      </c>
    </row>
    <row r="51" spans="1:2" x14ac:dyDescent="0.3">
      <c r="A51" t="s">
        <v>2</v>
      </c>
      <c r="B51" t="s">
        <v>5</v>
      </c>
    </row>
    <row r="52" spans="1:2" x14ac:dyDescent="0.3">
      <c r="A52" t="s">
        <v>1</v>
      </c>
      <c r="B52" t="s">
        <v>6</v>
      </c>
    </row>
    <row r="53" spans="1:2" x14ac:dyDescent="0.3">
      <c r="A53" t="s">
        <v>2</v>
      </c>
      <c r="B53" t="s">
        <v>4</v>
      </c>
    </row>
    <row r="54" spans="1:2" x14ac:dyDescent="0.3">
      <c r="A54" t="s">
        <v>2</v>
      </c>
      <c r="B54" t="s">
        <v>4</v>
      </c>
    </row>
    <row r="55" spans="1:2" x14ac:dyDescent="0.3">
      <c r="A55" t="s">
        <v>2</v>
      </c>
      <c r="B55" t="s">
        <v>4</v>
      </c>
    </row>
    <row r="56" spans="1:2" x14ac:dyDescent="0.3">
      <c r="A56" t="s">
        <v>2</v>
      </c>
      <c r="B56" t="s">
        <v>5</v>
      </c>
    </row>
    <row r="57" spans="1:2" x14ac:dyDescent="0.3">
      <c r="A57" t="s">
        <v>2</v>
      </c>
      <c r="B57" t="s">
        <v>5</v>
      </c>
    </row>
    <row r="58" spans="1:2" x14ac:dyDescent="0.3">
      <c r="A58" t="s">
        <v>2</v>
      </c>
      <c r="B58" t="s">
        <v>5</v>
      </c>
    </row>
    <row r="59" spans="1:2" x14ac:dyDescent="0.3">
      <c r="A59" t="s">
        <v>1</v>
      </c>
      <c r="B59" t="s">
        <v>5</v>
      </c>
    </row>
    <row r="60" spans="1:2" x14ac:dyDescent="0.3">
      <c r="A60" t="s">
        <v>1</v>
      </c>
      <c r="B60" t="s">
        <v>5</v>
      </c>
    </row>
    <row r="61" spans="1:2" x14ac:dyDescent="0.3">
      <c r="A61" t="s">
        <v>2</v>
      </c>
      <c r="B61" t="s">
        <v>6</v>
      </c>
    </row>
    <row r="62" spans="1:2" x14ac:dyDescent="0.3">
      <c r="A62" t="s">
        <v>2</v>
      </c>
      <c r="B62" t="s">
        <v>6</v>
      </c>
    </row>
    <row r="63" spans="1:2" x14ac:dyDescent="0.3">
      <c r="A63" t="s">
        <v>2</v>
      </c>
      <c r="B63" t="s">
        <v>6</v>
      </c>
    </row>
    <row r="64" spans="1:2" x14ac:dyDescent="0.3">
      <c r="A64" t="s">
        <v>2</v>
      </c>
      <c r="B64" t="s">
        <v>6</v>
      </c>
    </row>
    <row r="65" spans="1:2" x14ac:dyDescent="0.3">
      <c r="A65" t="s">
        <v>2</v>
      </c>
      <c r="B65" t="s">
        <v>6</v>
      </c>
    </row>
    <row r="66" spans="1:2" x14ac:dyDescent="0.3">
      <c r="A66" t="s">
        <v>2</v>
      </c>
      <c r="B66" t="s">
        <v>5</v>
      </c>
    </row>
    <row r="67" spans="1:2" x14ac:dyDescent="0.3">
      <c r="A67" t="s">
        <v>1</v>
      </c>
      <c r="B67" t="s">
        <v>5</v>
      </c>
    </row>
    <row r="68" spans="1:2" x14ac:dyDescent="0.3">
      <c r="A68" t="s">
        <v>1</v>
      </c>
      <c r="B68" t="s">
        <v>5</v>
      </c>
    </row>
    <row r="69" spans="1:2" x14ac:dyDescent="0.3">
      <c r="A69" t="s">
        <v>1</v>
      </c>
      <c r="B69" t="s">
        <v>5</v>
      </c>
    </row>
    <row r="70" spans="1:2" x14ac:dyDescent="0.3">
      <c r="A70" t="s">
        <v>1</v>
      </c>
      <c r="B70" t="s">
        <v>5</v>
      </c>
    </row>
    <row r="71" spans="1:2" x14ac:dyDescent="0.3">
      <c r="A71" t="s">
        <v>1</v>
      </c>
      <c r="B71" t="s">
        <v>5</v>
      </c>
    </row>
    <row r="72" spans="1:2" x14ac:dyDescent="0.3">
      <c r="A72" t="s">
        <v>1</v>
      </c>
      <c r="B72" t="s">
        <v>5</v>
      </c>
    </row>
    <row r="73" spans="1:2" x14ac:dyDescent="0.3">
      <c r="A73" t="s">
        <v>1</v>
      </c>
      <c r="B73" t="s">
        <v>5</v>
      </c>
    </row>
    <row r="74" spans="1:2" x14ac:dyDescent="0.3">
      <c r="A74" t="s">
        <v>1</v>
      </c>
      <c r="B74" t="s">
        <v>5</v>
      </c>
    </row>
    <row r="75" spans="1:2" x14ac:dyDescent="0.3">
      <c r="A75" t="s">
        <v>2</v>
      </c>
      <c r="B75" t="s">
        <v>5</v>
      </c>
    </row>
    <row r="76" spans="1:2" x14ac:dyDescent="0.3">
      <c r="A76" t="s">
        <v>2</v>
      </c>
      <c r="B76" t="s">
        <v>5</v>
      </c>
    </row>
    <row r="77" spans="1:2" x14ac:dyDescent="0.3">
      <c r="A77" t="s">
        <v>2</v>
      </c>
      <c r="B77" t="s">
        <v>6</v>
      </c>
    </row>
    <row r="78" spans="1:2" x14ac:dyDescent="0.3">
      <c r="A78" t="s">
        <v>1</v>
      </c>
      <c r="B78" t="s">
        <v>6</v>
      </c>
    </row>
    <row r="79" spans="1:2" x14ac:dyDescent="0.3">
      <c r="A79" t="s">
        <v>2</v>
      </c>
      <c r="B79" t="s">
        <v>6</v>
      </c>
    </row>
    <row r="80" spans="1:2" x14ac:dyDescent="0.3">
      <c r="A80" t="s">
        <v>2</v>
      </c>
      <c r="B80" t="s">
        <v>6</v>
      </c>
    </row>
    <row r="81" spans="1:2" x14ac:dyDescent="0.3">
      <c r="A81" t="s">
        <v>2</v>
      </c>
      <c r="B81" t="s">
        <v>6</v>
      </c>
    </row>
    <row r="82" spans="1:2" x14ac:dyDescent="0.3">
      <c r="A82" t="s">
        <v>2</v>
      </c>
      <c r="B82" t="s">
        <v>6</v>
      </c>
    </row>
    <row r="83" spans="1:2" x14ac:dyDescent="0.3">
      <c r="A83" t="s">
        <v>2</v>
      </c>
      <c r="B83" t="s">
        <v>6</v>
      </c>
    </row>
    <row r="84" spans="1:2" x14ac:dyDescent="0.3">
      <c r="A84" t="s">
        <v>2</v>
      </c>
      <c r="B84" t="s">
        <v>5</v>
      </c>
    </row>
    <row r="85" spans="1:2" x14ac:dyDescent="0.3">
      <c r="A85" t="s">
        <v>2</v>
      </c>
      <c r="B85" t="s">
        <v>5</v>
      </c>
    </row>
    <row r="86" spans="1:2" x14ac:dyDescent="0.3">
      <c r="A86" t="s">
        <v>2</v>
      </c>
      <c r="B86" t="s">
        <v>5</v>
      </c>
    </row>
    <row r="87" spans="1:2" x14ac:dyDescent="0.3">
      <c r="A87" t="s">
        <v>2</v>
      </c>
      <c r="B87" t="s">
        <v>5</v>
      </c>
    </row>
    <row r="88" spans="1:2" x14ac:dyDescent="0.3">
      <c r="A88" t="s">
        <v>2</v>
      </c>
      <c r="B88" t="s">
        <v>5</v>
      </c>
    </row>
    <row r="89" spans="1:2" x14ac:dyDescent="0.3">
      <c r="A89" t="s">
        <v>2</v>
      </c>
      <c r="B89" t="s">
        <v>4</v>
      </c>
    </row>
    <row r="90" spans="1:2" x14ac:dyDescent="0.3">
      <c r="A90" t="s">
        <v>1</v>
      </c>
      <c r="B90" t="s">
        <v>4</v>
      </c>
    </row>
    <row r="91" spans="1:2" x14ac:dyDescent="0.3">
      <c r="A91" t="s">
        <v>1</v>
      </c>
      <c r="B91" t="s">
        <v>4</v>
      </c>
    </row>
    <row r="92" spans="1:2" x14ac:dyDescent="0.3">
      <c r="A92" t="s">
        <v>1</v>
      </c>
      <c r="B92" t="s">
        <v>4</v>
      </c>
    </row>
    <row r="93" spans="1:2" x14ac:dyDescent="0.3">
      <c r="A93" t="s">
        <v>1</v>
      </c>
      <c r="B93" t="s">
        <v>4</v>
      </c>
    </row>
    <row r="94" spans="1:2" x14ac:dyDescent="0.3">
      <c r="A94" t="s">
        <v>1</v>
      </c>
      <c r="B94" t="s">
        <v>4</v>
      </c>
    </row>
    <row r="95" spans="1:2" x14ac:dyDescent="0.3">
      <c r="A95" t="s">
        <v>1</v>
      </c>
      <c r="B95" t="s">
        <v>4</v>
      </c>
    </row>
    <row r="96" spans="1:2" x14ac:dyDescent="0.3">
      <c r="A96" t="s">
        <v>1</v>
      </c>
      <c r="B96" t="s">
        <v>4</v>
      </c>
    </row>
    <row r="97" spans="1:2" x14ac:dyDescent="0.3">
      <c r="A97" t="s">
        <v>1</v>
      </c>
      <c r="B97" t="s">
        <v>4</v>
      </c>
    </row>
    <row r="98" spans="1:2" x14ac:dyDescent="0.3">
      <c r="A98" t="s">
        <v>1</v>
      </c>
      <c r="B98" t="s">
        <v>4</v>
      </c>
    </row>
    <row r="99" spans="1:2" x14ac:dyDescent="0.3">
      <c r="A99" t="s">
        <v>2</v>
      </c>
      <c r="B99" t="s">
        <v>5</v>
      </c>
    </row>
    <row r="100" spans="1:2" x14ac:dyDescent="0.3">
      <c r="A100" t="s">
        <v>1</v>
      </c>
      <c r="B100" t="s">
        <v>6</v>
      </c>
    </row>
    <row r="101" spans="1:2" x14ac:dyDescent="0.3">
      <c r="A101" t="s">
        <v>2</v>
      </c>
      <c r="B101" t="s">
        <v>4</v>
      </c>
    </row>
    <row r="102" spans="1:2" x14ac:dyDescent="0.3">
      <c r="A102" t="s">
        <v>2</v>
      </c>
      <c r="B102" t="s">
        <v>4</v>
      </c>
    </row>
    <row r="103" spans="1:2" x14ac:dyDescent="0.3">
      <c r="A103" t="s">
        <v>2</v>
      </c>
      <c r="B103" t="s">
        <v>4</v>
      </c>
    </row>
    <row r="104" spans="1:2" x14ac:dyDescent="0.3">
      <c r="A104" t="s">
        <v>2</v>
      </c>
      <c r="B104" t="s">
        <v>5</v>
      </c>
    </row>
    <row r="105" spans="1:2" x14ac:dyDescent="0.3">
      <c r="A105" t="s">
        <v>2</v>
      </c>
      <c r="B105" t="s">
        <v>5</v>
      </c>
    </row>
    <row r="106" spans="1:2" x14ac:dyDescent="0.3">
      <c r="A106" t="s">
        <v>2</v>
      </c>
      <c r="B106" t="s">
        <v>5</v>
      </c>
    </row>
    <row r="107" spans="1:2" x14ac:dyDescent="0.3">
      <c r="A107" t="s">
        <v>1</v>
      </c>
      <c r="B107" t="s">
        <v>5</v>
      </c>
    </row>
    <row r="108" spans="1:2" x14ac:dyDescent="0.3">
      <c r="A108" t="s">
        <v>1</v>
      </c>
      <c r="B108" t="s">
        <v>5</v>
      </c>
    </row>
    <row r="109" spans="1:2" x14ac:dyDescent="0.3">
      <c r="A109" t="s">
        <v>2</v>
      </c>
      <c r="B109" t="s">
        <v>6</v>
      </c>
    </row>
    <row r="110" spans="1:2" x14ac:dyDescent="0.3">
      <c r="A110" t="s">
        <v>2</v>
      </c>
      <c r="B110" t="s">
        <v>6</v>
      </c>
    </row>
    <row r="111" spans="1:2" x14ac:dyDescent="0.3">
      <c r="A111" t="s">
        <v>2</v>
      </c>
      <c r="B111" t="s">
        <v>6</v>
      </c>
    </row>
    <row r="112" spans="1:2" x14ac:dyDescent="0.3">
      <c r="A112" t="s">
        <v>2</v>
      </c>
      <c r="B112" t="s">
        <v>6</v>
      </c>
    </row>
    <row r="113" spans="1:2" x14ac:dyDescent="0.3">
      <c r="A113" t="s">
        <v>2</v>
      </c>
      <c r="B113" t="s">
        <v>6</v>
      </c>
    </row>
    <row r="114" spans="1:2" x14ac:dyDescent="0.3">
      <c r="A114" t="s">
        <v>2</v>
      </c>
      <c r="B114" t="s">
        <v>5</v>
      </c>
    </row>
    <row r="115" spans="1:2" x14ac:dyDescent="0.3">
      <c r="A115" t="s">
        <v>1</v>
      </c>
      <c r="B115" t="s">
        <v>5</v>
      </c>
    </row>
    <row r="116" spans="1:2" x14ac:dyDescent="0.3">
      <c r="A116" t="s">
        <v>1</v>
      </c>
      <c r="B116" t="s">
        <v>5</v>
      </c>
    </row>
    <row r="117" spans="1:2" x14ac:dyDescent="0.3">
      <c r="A117" t="s">
        <v>1</v>
      </c>
      <c r="B117" t="s">
        <v>5</v>
      </c>
    </row>
    <row r="118" spans="1:2" x14ac:dyDescent="0.3">
      <c r="A118" t="s">
        <v>1</v>
      </c>
      <c r="B118" t="s">
        <v>5</v>
      </c>
    </row>
    <row r="119" spans="1:2" x14ac:dyDescent="0.3">
      <c r="A119" t="s">
        <v>1</v>
      </c>
      <c r="B119" t="s">
        <v>5</v>
      </c>
    </row>
    <row r="120" spans="1:2" x14ac:dyDescent="0.3">
      <c r="A120" t="s">
        <v>1</v>
      </c>
      <c r="B120" t="s">
        <v>5</v>
      </c>
    </row>
    <row r="121" spans="1:2" x14ac:dyDescent="0.3">
      <c r="A121" t="s">
        <v>1</v>
      </c>
      <c r="B121" t="s">
        <v>5</v>
      </c>
    </row>
    <row r="122" spans="1:2" x14ac:dyDescent="0.3">
      <c r="A122" t="s">
        <v>1</v>
      </c>
      <c r="B122" t="s">
        <v>5</v>
      </c>
    </row>
    <row r="123" spans="1:2" x14ac:dyDescent="0.3">
      <c r="A123" t="s">
        <v>2</v>
      </c>
      <c r="B123" t="s">
        <v>5</v>
      </c>
    </row>
    <row r="124" spans="1:2" x14ac:dyDescent="0.3">
      <c r="A124" t="s">
        <v>2</v>
      </c>
      <c r="B124" t="s">
        <v>5</v>
      </c>
    </row>
    <row r="125" spans="1:2" x14ac:dyDescent="0.3">
      <c r="A125" t="s">
        <v>2</v>
      </c>
      <c r="B125" t="s">
        <v>6</v>
      </c>
    </row>
    <row r="126" spans="1:2" x14ac:dyDescent="0.3">
      <c r="A126" t="s">
        <v>1</v>
      </c>
      <c r="B126" t="s">
        <v>6</v>
      </c>
    </row>
    <row r="127" spans="1:2" x14ac:dyDescent="0.3">
      <c r="A127" t="s">
        <v>2</v>
      </c>
      <c r="B127" t="s">
        <v>6</v>
      </c>
    </row>
    <row r="128" spans="1:2" x14ac:dyDescent="0.3">
      <c r="A128" t="s">
        <v>2</v>
      </c>
      <c r="B128" t="s">
        <v>6</v>
      </c>
    </row>
    <row r="129" spans="1:2" x14ac:dyDescent="0.3">
      <c r="A129" t="s">
        <v>2</v>
      </c>
      <c r="B129" t="s">
        <v>6</v>
      </c>
    </row>
    <row r="130" spans="1:2" x14ac:dyDescent="0.3">
      <c r="A130" t="s">
        <v>2</v>
      </c>
      <c r="B130" t="s">
        <v>6</v>
      </c>
    </row>
    <row r="131" spans="1:2" x14ac:dyDescent="0.3">
      <c r="A131" t="s">
        <v>2</v>
      </c>
      <c r="B131" t="s">
        <v>6</v>
      </c>
    </row>
    <row r="132" spans="1:2" x14ac:dyDescent="0.3">
      <c r="A132" t="s">
        <v>2</v>
      </c>
      <c r="B132" t="s">
        <v>5</v>
      </c>
    </row>
    <row r="133" spans="1:2" x14ac:dyDescent="0.3">
      <c r="A133" t="s">
        <v>2</v>
      </c>
      <c r="B133" t="s">
        <v>5</v>
      </c>
    </row>
    <row r="134" spans="1:2" x14ac:dyDescent="0.3">
      <c r="A134" t="s">
        <v>2</v>
      </c>
      <c r="B134" t="s">
        <v>5</v>
      </c>
    </row>
    <row r="135" spans="1:2" x14ac:dyDescent="0.3">
      <c r="A135" t="s">
        <v>2</v>
      </c>
      <c r="B135" t="s">
        <v>5</v>
      </c>
    </row>
    <row r="136" spans="1:2" x14ac:dyDescent="0.3">
      <c r="A136" t="s">
        <v>2</v>
      </c>
      <c r="B136" t="s">
        <v>5</v>
      </c>
    </row>
    <row r="137" spans="1:2" x14ac:dyDescent="0.3">
      <c r="A137" t="s">
        <v>2</v>
      </c>
      <c r="B137" t="s">
        <v>4</v>
      </c>
    </row>
    <row r="138" spans="1:2" x14ac:dyDescent="0.3">
      <c r="A138" t="s">
        <v>1</v>
      </c>
      <c r="B138" t="s">
        <v>4</v>
      </c>
    </row>
    <row r="139" spans="1:2" x14ac:dyDescent="0.3">
      <c r="A139" t="s">
        <v>1</v>
      </c>
      <c r="B139" t="s">
        <v>4</v>
      </c>
    </row>
    <row r="140" spans="1:2" x14ac:dyDescent="0.3">
      <c r="A140" t="s">
        <v>1</v>
      </c>
      <c r="B140" t="s">
        <v>4</v>
      </c>
    </row>
    <row r="141" spans="1:2" x14ac:dyDescent="0.3">
      <c r="A141" t="s">
        <v>1</v>
      </c>
      <c r="B141" t="s">
        <v>4</v>
      </c>
    </row>
    <row r="142" spans="1:2" x14ac:dyDescent="0.3">
      <c r="A142" t="s">
        <v>1</v>
      </c>
      <c r="B142" t="s">
        <v>4</v>
      </c>
    </row>
    <row r="143" spans="1:2" x14ac:dyDescent="0.3">
      <c r="A143" t="s">
        <v>1</v>
      </c>
      <c r="B143" t="s">
        <v>4</v>
      </c>
    </row>
    <row r="144" spans="1:2" x14ac:dyDescent="0.3">
      <c r="A144" t="s">
        <v>1</v>
      </c>
      <c r="B144" t="s">
        <v>4</v>
      </c>
    </row>
    <row r="145" spans="1:2" x14ac:dyDescent="0.3">
      <c r="A145" t="s">
        <v>1</v>
      </c>
      <c r="B145" t="s">
        <v>4</v>
      </c>
    </row>
  </sheetData>
  <autoFilter ref="A1:B145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Swaminathan R</dc:creator>
  <cp:lastModifiedBy>Dell</cp:lastModifiedBy>
  <dcterms:created xsi:type="dcterms:W3CDTF">2023-06-29T12:53:59Z</dcterms:created>
  <dcterms:modified xsi:type="dcterms:W3CDTF">2023-07-24T18:44:31Z</dcterms:modified>
</cp:coreProperties>
</file>