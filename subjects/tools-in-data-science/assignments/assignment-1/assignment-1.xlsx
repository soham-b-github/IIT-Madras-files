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ham_Bhattacharya\0_IIT_Madras\2_Diploma\Sept'23 Term\TDS-Assignments\"/>
    </mc:Choice>
  </mc:AlternateContent>
  <bookViews>
    <workbookView xWindow="0" yWindow="0" windowWidth="23040" windowHeight="9780"/>
  </bookViews>
  <sheets>
    <sheet name="Senator-List" sheetId="1" r:id="rId1"/>
    <sheet name="Grouped-by-Vote-Position" sheetId="2" r:id="rId2"/>
    <sheet name="Grouped-by-Home-state" sheetId="3" r:id="rId3"/>
  </sheets>
  <definedNames>
    <definedName name="_xlnm._FilterDatabase" localSheetId="2" hidden="1">'Grouped-by-Home-state'!$A$1:$K$51</definedName>
    <definedName name="_xlnm._FilterDatabase" localSheetId="0" hidden="1">'Senator-List'!$A$1:$E$101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2" i="3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2" i="3"/>
</calcChain>
</file>

<file path=xl/sharedStrings.xml><?xml version="1.0" encoding="utf-8"?>
<sst xmlns="http://schemas.openxmlformats.org/spreadsheetml/2006/main" count="865" uniqueCount="268">
  <si>
    <t>Baldwin (D-WI)</t>
  </si>
  <si>
    <t>Bennet (D-CO)</t>
  </si>
  <si>
    <t>Blumenthal (D-CT)</t>
  </si>
  <si>
    <t>Booker (D-NJ)</t>
  </si>
  <si>
    <t>Brown (D-OH)</t>
  </si>
  <si>
    <t>Cantwell (D-WA)</t>
  </si>
  <si>
    <t>Cardin (D-MD)</t>
  </si>
  <si>
    <t>Carper (D-DE)</t>
  </si>
  <si>
    <t>Casey (D-PA)</t>
  </si>
  <si>
    <t>Coons (D-DE)</t>
  </si>
  <si>
    <t>Cortez Masto (D-NV)</t>
  </si>
  <si>
    <t>Duckworth (D-IL)</t>
  </si>
  <si>
    <t>Durbin (D-IL)</t>
  </si>
  <si>
    <t>Feinstein (D-CA)</t>
  </si>
  <si>
    <t>Gillibrand (D-NY)</t>
  </si>
  <si>
    <t>Hassan (D-NH)</t>
  </si>
  <si>
    <t>Heinrich (D-NM)</t>
  </si>
  <si>
    <t>Hickenlooper (D-CO)</t>
  </si>
  <si>
    <t>Hirono (D-HI)</t>
  </si>
  <si>
    <t>Kaine (D-VA)</t>
  </si>
  <si>
    <t>Kelly (D-AZ)</t>
  </si>
  <si>
    <t>King (I-ME)</t>
  </si>
  <si>
    <t>Klobuchar (D-MN)</t>
  </si>
  <si>
    <t>Leahy (D-VT)</t>
  </si>
  <si>
    <t>Lujan (D-NM)</t>
  </si>
  <si>
    <t>Manchin (D-WV)</t>
  </si>
  <si>
    <t>Markey (D-MA)</t>
  </si>
  <si>
    <t>Menendez (D-NJ)</t>
  </si>
  <si>
    <t>Merkley (D-OR)</t>
  </si>
  <si>
    <t>Murphy (D-CT)</t>
  </si>
  <si>
    <t>Murray (D-WA)</t>
  </si>
  <si>
    <t>Ossoff (D-GA)</t>
  </si>
  <si>
    <t>Padilla (D-CA)</t>
  </si>
  <si>
    <t>Peters (D-MI)</t>
  </si>
  <si>
    <t>Reed (D-RI)</t>
  </si>
  <si>
    <t>Rosen (D-NV)</t>
  </si>
  <si>
    <t>Schatz (D-HI)</t>
  </si>
  <si>
    <t>Schumer (D-NY)</t>
  </si>
  <si>
    <t>Shaheen (D-NH)</t>
  </si>
  <si>
    <t>Sinema (D-AZ)</t>
  </si>
  <si>
    <t>Smith (D-MN)</t>
  </si>
  <si>
    <t>Stabenow (D-MI)</t>
  </si>
  <si>
    <t>Tester (D-MT)</t>
  </si>
  <si>
    <t>Van Hollen (D-MD)</t>
  </si>
  <si>
    <t>Warner (D-VA)</t>
  </si>
  <si>
    <t>Warnock (D-GA)</t>
  </si>
  <si>
    <t>Warren (D-MA)</t>
  </si>
  <si>
    <t>Whitehouse (D-RI)</t>
  </si>
  <si>
    <t>Wyden (D-OR)</t>
  </si>
  <si>
    <t>Alabama:</t>
  </si>
  <si>
    <t>Alaska:</t>
  </si>
  <si>
    <t>Arizona:</t>
  </si>
  <si>
    <t>Arkansas:</t>
  </si>
  <si>
    <t>California:</t>
  </si>
  <si>
    <t>Colorado:</t>
  </si>
  <si>
    <t>Connecticut:</t>
  </si>
  <si>
    <t>Delaware:</t>
  </si>
  <si>
    <t>Florida:</t>
  </si>
  <si>
    <t>Georgia:</t>
  </si>
  <si>
    <t>Hawaii:</t>
  </si>
  <si>
    <t>Idaho:</t>
  </si>
  <si>
    <t>Illinois:</t>
  </si>
  <si>
    <t>Indiana:</t>
  </si>
  <si>
    <t>Iowa:</t>
  </si>
  <si>
    <t>Kansas:</t>
  </si>
  <si>
    <t>Kentucky:</t>
  </si>
  <si>
    <t>Louisiana:</t>
  </si>
  <si>
    <t>Maine:</t>
  </si>
  <si>
    <t>Maryland:</t>
  </si>
  <si>
    <t>Massachusetts:</t>
  </si>
  <si>
    <t>Michigan:</t>
  </si>
  <si>
    <t>Minnesota:</t>
  </si>
  <si>
    <t>Mississippi:</t>
  </si>
  <si>
    <t>Missouri:</t>
  </si>
  <si>
    <t>Montana:</t>
  </si>
  <si>
    <t>Nebraska:</t>
  </si>
  <si>
    <t>Nevada:</t>
  </si>
  <si>
    <t>New Hampshire:</t>
  </si>
  <si>
    <t>New Jersey:</t>
  </si>
  <si>
    <t>New Mexico:</t>
  </si>
  <si>
    <t>New York:</t>
  </si>
  <si>
    <t>North Carolina:</t>
  </si>
  <si>
    <t>North Dakota:</t>
  </si>
  <si>
    <t>Ohio:</t>
  </si>
  <si>
    <t>Oklahoma:</t>
  </si>
  <si>
    <t>Oregon:</t>
  </si>
  <si>
    <t>Pennsylvania:</t>
  </si>
  <si>
    <t>Rhode Island:</t>
  </si>
  <si>
    <t>South Carolina:</t>
  </si>
  <si>
    <t>South Dakota:</t>
  </si>
  <si>
    <t>Tennessee:</t>
  </si>
  <si>
    <t>Texas:</t>
  </si>
  <si>
    <t>Utah:</t>
  </si>
  <si>
    <t>Vermont:</t>
  </si>
  <si>
    <t>Virginia:</t>
  </si>
  <si>
    <t>Washington:</t>
  </si>
  <si>
    <t>West Virginia:</t>
  </si>
  <si>
    <t>Wisconsin:</t>
  </si>
  <si>
    <t>Wyoming:</t>
  </si>
  <si>
    <t>States</t>
  </si>
  <si>
    <t xml:space="preserve">Shelby </t>
  </si>
  <si>
    <t xml:space="preserve">Murkowski </t>
  </si>
  <si>
    <t xml:space="preserve">Kelly </t>
  </si>
  <si>
    <t xml:space="preserve">Boozman </t>
  </si>
  <si>
    <t xml:space="preserve">Feinstein </t>
  </si>
  <si>
    <t xml:space="preserve">Bennet </t>
  </si>
  <si>
    <t xml:space="preserve">Blumenthal </t>
  </si>
  <si>
    <t xml:space="preserve">Carper </t>
  </si>
  <si>
    <t xml:space="preserve">Rubio </t>
  </si>
  <si>
    <t xml:space="preserve">Ossoff </t>
  </si>
  <si>
    <t xml:space="preserve">Hirono </t>
  </si>
  <si>
    <t xml:space="preserve">Crapo </t>
  </si>
  <si>
    <t xml:space="preserve">Duckworth </t>
  </si>
  <si>
    <t xml:space="preserve">Braun </t>
  </si>
  <si>
    <t xml:space="preserve">Ernst </t>
  </si>
  <si>
    <t xml:space="preserve">Marshall </t>
  </si>
  <si>
    <t xml:space="preserve">McConnell </t>
  </si>
  <si>
    <t xml:space="preserve">Cassidy </t>
  </si>
  <si>
    <t xml:space="preserve">Collins </t>
  </si>
  <si>
    <t xml:space="preserve">Cardin </t>
  </si>
  <si>
    <t xml:space="preserve">Markey </t>
  </si>
  <si>
    <t xml:space="preserve">Peters </t>
  </si>
  <si>
    <t xml:space="preserve">Klobuchar </t>
  </si>
  <si>
    <t xml:space="preserve">Hyde-Smith </t>
  </si>
  <si>
    <t xml:space="preserve">Blunt </t>
  </si>
  <si>
    <t xml:space="preserve">Daines </t>
  </si>
  <si>
    <t xml:space="preserve">Fischer </t>
  </si>
  <si>
    <t xml:space="preserve">Cortez Masto </t>
  </si>
  <si>
    <t xml:space="preserve">Hassan </t>
  </si>
  <si>
    <t xml:space="preserve">Booker </t>
  </si>
  <si>
    <t xml:space="preserve">Heinrich </t>
  </si>
  <si>
    <t xml:space="preserve">Gillibrand </t>
  </si>
  <si>
    <t xml:space="preserve">Burr </t>
  </si>
  <si>
    <t xml:space="preserve">Cramer </t>
  </si>
  <si>
    <t xml:space="preserve">Brown </t>
  </si>
  <si>
    <t xml:space="preserve">Inhofe </t>
  </si>
  <si>
    <t xml:space="preserve">Merkley </t>
  </si>
  <si>
    <t xml:space="preserve">Casey </t>
  </si>
  <si>
    <t xml:space="preserve">Reed </t>
  </si>
  <si>
    <t xml:space="preserve">Graham </t>
  </si>
  <si>
    <t xml:space="preserve">Rounds </t>
  </si>
  <si>
    <t xml:space="preserve">Blackburn </t>
  </si>
  <si>
    <t xml:space="preserve">Cornyn </t>
  </si>
  <si>
    <t xml:space="preserve">Lee </t>
  </si>
  <si>
    <t xml:space="preserve">Leahy </t>
  </si>
  <si>
    <t xml:space="preserve">Kaine </t>
  </si>
  <si>
    <t xml:space="preserve">Cantwell </t>
  </si>
  <si>
    <t xml:space="preserve">Capito </t>
  </si>
  <si>
    <t xml:space="preserve">Baldwin </t>
  </si>
  <si>
    <t xml:space="preserve">Barrasso </t>
  </si>
  <si>
    <t>Senator-1</t>
  </si>
  <si>
    <t>R</t>
  </si>
  <si>
    <t>D</t>
  </si>
  <si>
    <t> Nay</t>
  </si>
  <si>
    <t> Yea</t>
  </si>
  <si>
    <t> Not Voting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</si>
  <si>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</si>
  <si>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</si>
  <si>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</si>
  <si>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</si>
  <si>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</si>
  <si>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</si>
  <si>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</si>
  <si>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</si>
  <si>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</si>
  <si>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</si>
  <si>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</si>
  <si>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</si>
  <si>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</si>
  <si>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</si>
  <si>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</si>
  <si>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</si>
  <si>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</si>
  <si>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</si>
  <si>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</si>
  <si>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</si>
  <si>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</si>
  <si>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</si>
  <si>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</si>
  <si>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</si>
  <si>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</si>
  <si>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</si>
  <si>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</si>
  <si>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</si>
  <si>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</si>
  <si>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</si>
  <si>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</si>
  <si>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</si>
  <si>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</si>
  <si>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</si>
  <si>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</si>
  <si>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</si>
  <si>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</si>
  <si>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</si>
  <si>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</si>
  <si>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</si>
  <si>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</si>
  <si>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</si>
  <si>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</si>
  <si>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</si>
  <si>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</si>
  <si>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</si>
  <si>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</si>
  <si>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</si>
  <si>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</si>
  <si>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</si>
  <si>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Republican/Democratic</t>
  </si>
  <si>
    <t>State Code</t>
  </si>
  <si>
    <t xml:space="preserve">Tuberville </t>
  </si>
  <si>
    <t xml:space="preserve">Sullivan </t>
  </si>
  <si>
    <t xml:space="preserve">Sinema </t>
  </si>
  <si>
    <t xml:space="preserve">Cotton </t>
  </si>
  <si>
    <t xml:space="preserve">Padilla </t>
  </si>
  <si>
    <t xml:space="preserve">Hickenlooper </t>
  </si>
  <si>
    <t xml:space="preserve">Murphy </t>
  </si>
  <si>
    <t xml:space="preserve">Coons </t>
  </si>
  <si>
    <t xml:space="preserve">Scott </t>
  </si>
  <si>
    <t xml:space="preserve">Warnock </t>
  </si>
  <si>
    <t xml:space="preserve">Schatz </t>
  </si>
  <si>
    <t xml:space="preserve">Risch </t>
  </si>
  <si>
    <t xml:space="preserve">Durbin </t>
  </si>
  <si>
    <t xml:space="preserve">Young </t>
  </si>
  <si>
    <t xml:space="preserve">Grassley </t>
  </si>
  <si>
    <t xml:space="preserve">Moran </t>
  </si>
  <si>
    <t xml:space="preserve">Paul </t>
  </si>
  <si>
    <t xml:space="preserve">Kennedy </t>
  </si>
  <si>
    <t xml:space="preserve">King </t>
  </si>
  <si>
    <t xml:space="preserve">Van Hollen </t>
  </si>
  <si>
    <t xml:space="preserve">Warren </t>
  </si>
  <si>
    <t xml:space="preserve">Stabenow </t>
  </si>
  <si>
    <t xml:space="preserve">Smith </t>
  </si>
  <si>
    <t xml:space="preserve">Wicker </t>
  </si>
  <si>
    <t xml:space="preserve">Hawley </t>
  </si>
  <si>
    <t xml:space="preserve">Tester </t>
  </si>
  <si>
    <t xml:space="preserve">Sasse </t>
  </si>
  <si>
    <t xml:space="preserve">Rosen </t>
  </si>
  <si>
    <t xml:space="preserve">Shaheen </t>
  </si>
  <si>
    <t xml:space="preserve">Menendez </t>
  </si>
  <si>
    <t xml:space="preserve">Lujan </t>
  </si>
  <si>
    <t xml:space="preserve">Schumer </t>
  </si>
  <si>
    <t xml:space="preserve">Tillis </t>
  </si>
  <si>
    <t xml:space="preserve">Hoeven </t>
  </si>
  <si>
    <t xml:space="preserve">Portman </t>
  </si>
  <si>
    <t xml:space="preserve">Lankford </t>
  </si>
  <si>
    <t xml:space="preserve">Wyden </t>
  </si>
  <si>
    <t xml:space="preserve">Toomey </t>
  </si>
  <si>
    <t xml:space="preserve">Whitehouse </t>
  </si>
  <si>
    <t xml:space="preserve">Thune </t>
  </si>
  <si>
    <t xml:space="preserve">Hagerty </t>
  </si>
  <si>
    <t xml:space="preserve">Cruz </t>
  </si>
  <si>
    <t xml:space="preserve">Romney </t>
  </si>
  <si>
    <t xml:space="preserve">Sanders </t>
  </si>
  <si>
    <t xml:space="preserve">Warner </t>
  </si>
  <si>
    <t xml:space="preserve">Murray </t>
  </si>
  <si>
    <t xml:space="preserve">Manchin </t>
  </si>
  <si>
    <t xml:space="preserve">Johnson </t>
  </si>
  <si>
    <t xml:space="preserve">Lummis </t>
  </si>
  <si>
    <t>I</t>
  </si>
  <si>
    <t>Vote-Status-2</t>
  </si>
  <si>
    <t>Vote-Status-1</t>
  </si>
  <si>
    <t>Senator-2</t>
  </si>
  <si>
    <t>Q6</t>
  </si>
  <si>
    <t>Q8</t>
  </si>
  <si>
    <t>Senator-Name</t>
  </si>
  <si>
    <t>D/R</t>
  </si>
  <si>
    <t>State-Code</t>
  </si>
  <si>
    <t>Vote-Status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</si>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</sst>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22222"/>
      <name val="Arial"/>
      <family val="2"/>
    </font>
    <font>
      <b/>
      <sz val="9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J19" sqref="J19"/>
    </sheetView>
  </sheetViews>
  <sheetFormatPr defaultRowHeight="14.4" x14ac:dyDescent="0.3"/>
  <cols>
    <col min="1" max="1" width="22.21875" bestFit="1" customWidth="1"/>
    <col min="3" max="3" width="10.109375" bestFit="1" customWidth="1"/>
    <col min="4" max="4" width="10.5546875" bestFit="1" customWidth="1"/>
  </cols>
  <sheetData>
    <row r="1" spans="1:6" x14ac:dyDescent="0.3">
      <c r="A1" s="4" t="s">
        <v>263</v>
      </c>
      <c r="B1" s="4" t="s">
        <v>264</v>
      </c>
      <c r="C1" s="4" t="s">
        <v>265</v>
      </c>
      <c r="D1" s="4" t="s">
        <v>266</v>
      </c>
      <c r="E1" s="4" t="s">
        <v>262</v>
      </c>
      <c r="F1" s="4"/>
    </row>
    <row r="2" spans="1:6" x14ac:dyDescent="0.3">
      <c r="A2" s="1" t="s">
        <v>148</v>
      </c>
      <c r="B2" t="s">
        <v>152</v>
      </c>
      <c r="C2" t="s">
        <v>204</v>
      </c>
      <c r="D2" t="s">
        <v>154</v>
      </c>
      <c r="E2">
        <f>IF(LEFT(A2,1)="W",1,0)</f>
        <v>0</v>
      </c>
    </row>
    <row r="3" spans="1:6" x14ac:dyDescent="0.3">
      <c r="A3" s="1" t="s">
        <v>149</v>
      </c>
      <c r="B3" t="s">
        <v>151</v>
      </c>
      <c r="C3" t="s">
        <v>205</v>
      </c>
      <c r="D3" t="s">
        <v>153</v>
      </c>
      <c r="E3">
        <f t="shared" ref="E3:E66" si="0">IF(LEFT(A3,1)="W",1,0)</f>
        <v>0</v>
      </c>
    </row>
    <row r="4" spans="1:6" x14ac:dyDescent="0.3">
      <c r="A4" s="1" t="s">
        <v>105</v>
      </c>
      <c r="B4" t="s">
        <v>152</v>
      </c>
      <c r="C4" t="s">
        <v>161</v>
      </c>
      <c r="D4" t="s">
        <v>154</v>
      </c>
      <c r="E4">
        <f t="shared" si="0"/>
        <v>0</v>
      </c>
    </row>
    <row r="5" spans="1:6" x14ac:dyDescent="0.3">
      <c r="A5" s="1" t="s">
        <v>141</v>
      </c>
      <c r="B5" t="s">
        <v>151</v>
      </c>
      <c r="C5" t="s">
        <v>197</v>
      </c>
      <c r="D5" t="s">
        <v>153</v>
      </c>
      <c r="E5">
        <f t="shared" si="0"/>
        <v>0</v>
      </c>
    </row>
    <row r="6" spans="1:6" x14ac:dyDescent="0.3">
      <c r="A6" s="1" t="s">
        <v>106</v>
      </c>
      <c r="B6" t="s">
        <v>152</v>
      </c>
      <c r="C6" t="s">
        <v>162</v>
      </c>
      <c r="D6" t="s">
        <v>154</v>
      </c>
      <c r="E6">
        <f t="shared" si="0"/>
        <v>0</v>
      </c>
    </row>
    <row r="7" spans="1:6" x14ac:dyDescent="0.3">
      <c r="A7" s="1" t="s">
        <v>124</v>
      </c>
      <c r="B7" t="s">
        <v>151</v>
      </c>
      <c r="C7" t="s">
        <v>180</v>
      </c>
      <c r="D7" t="s">
        <v>153</v>
      </c>
      <c r="E7">
        <f t="shared" si="0"/>
        <v>0</v>
      </c>
    </row>
    <row r="8" spans="1:6" x14ac:dyDescent="0.3">
      <c r="A8" s="1" t="s">
        <v>129</v>
      </c>
      <c r="B8" t="s">
        <v>152</v>
      </c>
      <c r="C8" t="s">
        <v>185</v>
      </c>
      <c r="D8" t="s">
        <v>154</v>
      </c>
      <c r="E8">
        <f t="shared" si="0"/>
        <v>0</v>
      </c>
    </row>
    <row r="9" spans="1:6" x14ac:dyDescent="0.3">
      <c r="A9" s="1" t="s">
        <v>103</v>
      </c>
      <c r="B9" t="s">
        <v>151</v>
      </c>
      <c r="C9" t="s">
        <v>159</v>
      </c>
      <c r="D9" t="s">
        <v>153</v>
      </c>
      <c r="E9">
        <f t="shared" si="0"/>
        <v>0</v>
      </c>
    </row>
    <row r="10" spans="1:6" x14ac:dyDescent="0.3">
      <c r="A10" s="1" t="s">
        <v>113</v>
      </c>
      <c r="B10" t="s">
        <v>151</v>
      </c>
      <c r="C10" t="s">
        <v>169</v>
      </c>
      <c r="D10" t="s">
        <v>153</v>
      </c>
      <c r="E10">
        <f t="shared" si="0"/>
        <v>0</v>
      </c>
    </row>
    <row r="11" spans="1:6" x14ac:dyDescent="0.3">
      <c r="A11" s="1" t="s">
        <v>134</v>
      </c>
      <c r="B11" t="s">
        <v>152</v>
      </c>
      <c r="C11" t="s">
        <v>190</v>
      </c>
      <c r="D11" t="s">
        <v>154</v>
      </c>
      <c r="E11">
        <f t="shared" si="0"/>
        <v>0</v>
      </c>
    </row>
    <row r="12" spans="1:6" x14ac:dyDescent="0.3">
      <c r="A12" s="1" t="s">
        <v>132</v>
      </c>
      <c r="B12" t="s">
        <v>151</v>
      </c>
      <c r="C12" t="s">
        <v>188</v>
      </c>
      <c r="D12" t="s">
        <v>153</v>
      </c>
      <c r="E12">
        <f t="shared" si="0"/>
        <v>0</v>
      </c>
    </row>
    <row r="13" spans="1:6" x14ac:dyDescent="0.3">
      <c r="A13" s="1" t="s">
        <v>146</v>
      </c>
      <c r="B13" t="s">
        <v>152</v>
      </c>
      <c r="C13" t="s">
        <v>202</v>
      </c>
      <c r="D13" t="s">
        <v>154</v>
      </c>
      <c r="E13">
        <f t="shared" si="0"/>
        <v>0</v>
      </c>
    </row>
    <row r="14" spans="1:6" x14ac:dyDescent="0.3">
      <c r="A14" s="1" t="s">
        <v>147</v>
      </c>
      <c r="B14" t="s">
        <v>151</v>
      </c>
      <c r="C14" t="s">
        <v>203</v>
      </c>
      <c r="D14" t="s">
        <v>153</v>
      </c>
      <c r="E14">
        <f t="shared" si="0"/>
        <v>0</v>
      </c>
    </row>
    <row r="15" spans="1:6" x14ac:dyDescent="0.3">
      <c r="A15" s="1" t="s">
        <v>119</v>
      </c>
      <c r="B15" t="s">
        <v>152</v>
      </c>
      <c r="C15" t="s">
        <v>175</v>
      </c>
      <c r="D15" t="s">
        <v>154</v>
      </c>
      <c r="E15">
        <f t="shared" si="0"/>
        <v>0</v>
      </c>
    </row>
    <row r="16" spans="1:6" x14ac:dyDescent="0.3">
      <c r="A16" s="1" t="s">
        <v>107</v>
      </c>
      <c r="B16" t="s">
        <v>152</v>
      </c>
      <c r="C16" t="s">
        <v>163</v>
      </c>
      <c r="D16" t="s">
        <v>154</v>
      </c>
      <c r="E16">
        <f t="shared" si="0"/>
        <v>0</v>
      </c>
    </row>
    <row r="17" spans="1:5" x14ac:dyDescent="0.3">
      <c r="A17" s="1" t="s">
        <v>137</v>
      </c>
      <c r="B17" t="s">
        <v>152</v>
      </c>
      <c r="C17" t="s">
        <v>193</v>
      </c>
      <c r="D17" t="s">
        <v>154</v>
      </c>
      <c r="E17">
        <f t="shared" si="0"/>
        <v>0</v>
      </c>
    </row>
    <row r="18" spans="1:5" x14ac:dyDescent="0.3">
      <c r="A18" s="1" t="s">
        <v>117</v>
      </c>
      <c r="B18" t="s">
        <v>151</v>
      </c>
      <c r="C18" t="s">
        <v>173</v>
      </c>
      <c r="D18" t="s">
        <v>153</v>
      </c>
      <c r="E18">
        <f t="shared" si="0"/>
        <v>0</v>
      </c>
    </row>
    <row r="19" spans="1:5" x14ac:dyDescent="0.3">
      <c r="A19" s="1" t="s">
        <v>118</v>
      </c>
      <c r="B19" t="s">
        <v>151</v>
      </c>
      <c r="C19" t="s">
        <v>174</v>
      </c>
      <c r="D19" t="s">
        <v>153</v>
      </c>
      <c r="E19">
        <f t="shared" si="0"/>
        <v>0</v>
      </c>
    </row>
    <row r="20" spans="1:5" x14ac:dyDescent="0.3">
      <c r="A20" s="1" t="s">
        <v>215</v>
      </c>
      <c r="B20" t="s">
        <v>152</v>
      </c>
      <c r="C20" t="s">
        <v>163</v>
      </c>
      <c r="D20" t="s">
        <v>154</v>
      </c>
      <c r="E20">
        <f t="shared" si="0"/>
        <v>0</v>
      </c>
    </row>
    <row r="21" spans="1:5" x14ac:dyDescent="0.3">
      <c r="A21" s="1" t="s">
        <v>142</v>
      </c>
      <c r="B21" t="s">
        <v>151</v>
      </c>
      <c r="C21" t="s">
        <v>198</v>
      </c>
      <c r="D21" t="s">
        <v>153</v>
      </c>
      <c r="E21">
        <f t="shared" si="0"/>
        <v>0</v>
      </c>
    </row>
    <row r="22" spans="1:5" x14ac:dyDescent="0.3">
      <c r="A22" s="1" t="s">
        <v>127</v>
      </c>
      <c r="B22" t="s">
        <v>152</v>
      </c>
      <c r="C22" t="s">
        <v>183</v>
      </c>
      <c r="D22" t="s">
        <v>154</v>
      </c>
      <c r="E22">
        <f t="shared" si="0"/>
        <v>0</v>
      </c>
    </row>
    <row r="23" spans="1:5" x14ac:dyDescent="0.3">
      <c r="A23" s="1" t="s">
        <v>211</v>
      </c>
      <c r="B23" t="s">
        <v>151</v>
      </c>
      <c r="C23" t="s">
        <v>159</v>
      </c>
      <c r="D23" t="s">
        <v>153</v>
      </c>
      <c r="E23">
        <f t="shared" si="0"/>
        <v>0</v>
      </c>
    </row>
    <row r="24" spans="1:5" x14ac:dyDescent="0.3">
      <c r="A24" s="1" t="s">
        <v>133</v>
      </c>
      <c r="B24" t="s">
        <v>151</v>
      </c>
      <c r="C24" t="s">
        <v>189</v>
      </c>
      <c r="D24" t="s">
        <v>153</v>
      </c>
      <c r="E24">
        <f t="shared" si="0"/>
        <v>0</v>
      </c>
    </row>
    <row r="25" spans="1:5" x14ac:dyDescent="0.3">
      <c r="A25" s="1" t="s">
        <v>111</v>
      </c>
      <c r="B25" t="s">
        <v>151</v>
      </c>
      <c r="C25" t="s">
        <v>167</v>
      </c>
      <c r="D25" t="s">
        <v>153</v>
      </c>
      <c r="E25">
        <f t="shared" si="0"/>
        <v>0</v>
      </c>
    </row>
    <row r="26" spans="1:5" x14ac:dyDescent="0.3">
      <c r="A26" s="1" t="s">
        <v>249</v>
      </c>
      <c r="B26" t="s">
        <v>151</v>
      </c>
      <c r="C26" t="s">
        <v>198</v>
      </c>
      <c r="D26" t="s">
        <v>153</v>
      </c>
      <c r="E26">
        <f t="shared" si="0"/>
        <v>0</v>
      </c>
    </row>
    <row r="27" spans="1:5" x14ac:dyDescent="0.3">
      <c r="A27" s="1" t="s">
        <v>125</v>
      </c>
      <c r="B27" t="s">
        <v>151</v>
      </c>
      <c r="C27" t="s">
        <v>181</v>
      </c>
      <c r="D27" t="s">
        <v>153</v>
      </c>
      <c r="E27">
        <f t="shared" si="0"/>
        <v>0</v>
      </c>
    </row>
    <row r="28" spans="1:5" x14ac:dyDescent="0.3">
      <c r="A28" s="1" t="s">
        <v>112</v>
      </c>
      <c r="B28" t="s">
        <v>152</v>
      </c>
      <c r="C28" t="s">
        <v>168</v>
      </c>
      <c r="D28" t="s">
        <v>154</v>
      </c>
      <c r="E28">
        <f t="shared" si="0"/>
        <v>0</v>
      </c>
    </row>
    <row r="29" spans="1:5" x14ac:dyDescent="0.3">
      <c r="A29" s="1" t="s">
        <v>220</v>
      </c>
      <c r="B29" t="s">
        <v>152</v>
      </c>
      <c r="C29" t="s">
        <v>168</v>
      </c>
      <c r="D29" t="s">
        <v>154</v>
      </c>
      <c r="E29">
        <f t="shared" si="0"/>
        <v>0</v>
      </c>
    </row>
    <row r="30" spans="1:5" x14ac:dyDescent="0.3">
      <c r="A30" s="1" t="s">
        <v>114</v>
      </c>
      <c r="B30" t="s">
        <v>151</v>
      </c>
      <c r="C30" t="s">
        <v>170</v>
      </c>
      <c r="D30" t="s">
        <v>153</v>
      </c>
      <c r="E30">
        <f t="shared" si="0"/>
        <v>0</v>
      </c>
    </row>
    <row r="31" spans="1:5" x14ac:dyDescent="0.3">
      <c r="A31" s="1" t="s">
        <v>104</v>
      </c>
      <c r="B31" t="s">
        <v>152</v>
      </c>
      <c r="C31" t="s">
        <v>160</v>
      </c>
      <c r="D31" t="s">
        <v>154</v>
      </c>
      <c r="E31">
        <f t="shared" si="0"/>
        <v>0</v>
      </c>
    </row>
    <row r="32" spans="1:5" x14ac:dyDescent="0.3">
      <c r="A32" s="1" t="s">
        <v>126</v>
      </c>
      <c r="B32" t="s">
        <v>151</v>
      </c>
      <c r="C32" t="s">
        <v>182</v>
      </c>
      <c r="D32" t="s">
        <v>153</v>
      </c>
      <c r="E32">
        <f t="shared" si="0"/>
        <v>0</v>
      </c>
    </row>
    <row r="33" spans="1:5" x14ac:dyDescent="0.3">
      <c r="A33" s="1" t="s">
        <v>131</v>
      </c>
      <c r="B33" t="s">
        <v>152</v>
      </c>
      <c r="C33" t="s">
        <v>187</v>
      </c>
      <c r="D33" t="s">
        <v>154</v>
      </c>
      <c r="E33">
        <f t="shared" si="0"/>
        <v>0</v>
      </c>
    </row>
    <row r="34" spans="1:5" x14ac:dyDescent="0.3">
      <c r="A34" s="1" t="s">
        <v>139</v>
      </c>
      <c r="B34" t="s">
        <v>151</v>
      </c>
      <c r="C34" t="s">
        <v>195</v>
      </c>
      <c r="D34" t="s">
        <v>153</v>
      </c>
      <c r="E34">
        <f t="shared" si="0"/>
        <v>0</v>
      </c>
    </row>
    <row r="35" spans="1:5" x14ac:dyDescent="0.3">
      <c r="A35" s="1" t="s">
        <v>222</v>
      </c>
      <c r="B35" t="s">
        <v>151</v>
      </c>
      <c r="C35" t="s">
        <v>170</v>
      </c>
      <c r="D35" t="s">
        <v>153</v>
      </c>
      <c r="E35">
        <f t="shared" si="0"/>
        <v>0</v>
      </c>
    </row>
    <row r="36" spans="1:5" x14ac:dyDescent="0.3">
      <c r="A36" s="1" t="s">
        <v>248</v>
      </c>
      <c r="B36" t="s">
        <v>151</v>
      </c>
      <c r="C36" t="s">
        <v>197</v>
      </c>
      <c r="D36" t="s">
        <v>153</v>
      </c>
      <c r="E36">
        <f t="shared" si="0"/>
        <v>0</v>
      </c>
    </row>
    <row r="37" spans="1:5" x14ac:dyDescent="0.3">
      <c r="A37" s="1" t="s">
        <v>128</v>
      </c>
      <c r="B37" t="s">
        <v>152</v>
      </c>
      <c r="C37" t="s">
        <v>184</v>
      </c>
      <c r="D37" t="s">
        <v>154</v>
      </c>
      <c r="E37">
        <f t="shared" si="0"/>
        <v>0</v>
      </c>
    </row>
    <row r="38" spans="1:5" x14ac:dyDescent="0.3">
      <c r="A38" s="1" t="s">
        <v>232</v>
      </c>
      <c r="B38" t="s">
        <v>151</v>
      </c>
      <c r="C38" t="s">
        <v>180</v>
      </c>
      <c r="D38" t="s">
        <v>153</v>
      </c>
      <c r="E38">
        <f t="shared" si="0"/>
        <v>0</v>
      </c>
    </row>
    <row r="39" spans="1:5" x14ac:dyDescent="0.3">
      <c r="A39" s="1" t="s">
        <v>130</v>
      </c>
      <c r="B39" t="s">
        <v>152</v>
      </c>
      <c r="C39" t="s">
        <v>186</v>
      </c>
      <c r="D39" t="s">
        <v>154</v>
      </c>
      <c r="E39">
        <f t="shared" si="0"/>
        <v>0</v>
      </c>
    </row>
    <row r="40" spans="1:5" x14ac:dyDescent="0.3">
      <c r="A40" s="1" t="s">
        <v>213</v>
      </c>
      <c r="B40" t="s">
        <v>152</v>
      </c>
      <c r="C40" t="s">
        <v>161</v>
      </c>
      <c r="D40" t="s">
        <v>154</v>
      </c>
      <c r="E40">
        <f t="shared" si="0"/>
        <v>0</v>
      </c>
    </row>
    <row r="41" spans="1:5" x14ac:dyDescent="0.3">
      <c r="A41" s="1" t="s">
        <v>110</v>
      </c>
      <c r="B41" t="s">
        <v>152</v>
      </c>
      <c r="C41" t="s">
        <v>166</v>
      </c>
      <c r="D41" t="s">
        <v>154</v>
      </c>
      <c r="E41">
        <f t="shared" si="0"/>
        <v>0</v>
      </c>
    </row>
    <row r="42" spans="1:5" x14ac:dyDescent="0.3">
      <c r="A42" s="1" t="s">
        <v>241</v>
      </c>
      <c r="B42" t="s">
        <v>151</v>
      </c>
      <c r="C42" t="s">
        <v>189</v>
      </c>
      <c r="D42" t="s">
        <v>153</v>
      </c>
      <c r="E42">
        <f t="shared" si="0"/>
        <v>0</v>
      </c>
    </row>
    <row r="43" spans="1:5" x14ac:dyDescent="0.3">
      <c r="A43" s="1" t="s">
        <v>123</v>
      </c>
      <c r="B43" t="s">
        <v>151</v>
      </c>
      <c r="C43" t="s">
        <v>179</v>
      </c>
      <c r="D43" t="s">
        <v>153</v>
      </c>
      <c r="E43">
        <f t="shared" si="0"/>
        <v>0</v>
      </c>
    </row>
    <row r="44" spans="1:5" x14ac:dyDescent="0.3">
      <c r="A44" s="1" t="s">
        <v>135</v>
      </c>
      <c r="B44" t="s">
        <v>151</v>
      </c>
      <c r="C44" t="s">
        <v>191</v>
      </c>
      <c r="D44" t="s">
        <v>153</v>
      </c>
      <c r="E44">
        <f t="shared" si="0"/>
        <v>0</v>
      </c>
    </row>
    <row r="45" spans="1:5" x14ac:dyDescent="0.3">
      <c r="A45" s="1" t="s">
        <v>255</v>
      </c>
      <c r="B45" t="s">
        <v>151</v>
      </c>
      <c r="C45" t="s">
        <v>204</v>
      </c>
      <c r="D45" t="s">
        <v>153</v>
      </c>
      <c r="E45">
        <f t="shared" si="0"/>
        <v>0</v>
      </c>
    </row>
    <row r="46" spans="1:5" x14ac:dyDescent="0.3">
      <c r="A46" s="1" t="s">
        <v>145</v>
      </c>
      <c r="B46" t="s">
        <v>152</v>
      </c>
      <c r="C46" t="s">
        <v>201</v>
      </c>
      <c r="D46" t="s">
        <v>154</v>
      </c>
      <c r="E46">
        <f t="shared" si="0"/>
        <v>0</v>
      </c>
    </row>
    <row r="47" spans="1:5" x14ac:dyDescent="0.3">
      <c r="A47" s="1" t="s">
        <v>102</v>
      </c>
      <c r="B47" t="s">
        <v>152</v>
      </c>
      <c r="C47" t="s">
        <v>158</v>
      </c>
      <c r="D47" t="s">
        <v>154</v>
      </c>
      <c r="E47">
        <f t="shared" si="0"/>
        <v>0</v>
      </c>
    </row>
    <row r="48" spans="1:5" x14ac:dyDescent="0.3">
      <c r="A48" s="1" t="s">
        <v>225</v>
      </c>
      <c r="B48" t="s">
        <v>151</v>
      </c>
      <c r="C48" t="s">
        <v>173</v>
      </c>
      <c r="D48" t="s">
        <v>153</v>
      </c>
      <c r="E48">
        <f t="shared" si="0"/>
        <v>0</v>
      </c>
    </row>
    <row r="49" spans="1:5" x14ac:dyDescent="0.3">
      <c r="A49" s="1" t="s">
        <v>226</v>
      </c>
      <c r="B49" t="s">
        <v>257</v>
      </c>
      <c r="C49" t="s">
        <v>174</v>
      </c>
      <c r="D49" t="s">
        <v>154</v>
      </c>
      <c r="E49">
        <f t="shared" si="0"/>
        <v>0</v>
      </c>
    </row>
    <row r="50" spans="1:5" x14ac:dyDescent="0.3">
      <c r="A50" s="1" t="s">
        <v>122</v>
      </c>
      <c r="B50" t="s">
        <v>152</v>
      </c>
      <c r="C50" t="s">
        <v>178</v>
      </c>
      <c r="D50" t="s">
        <v>154</v>
      </c>
      <c r="E50">
        <f t="shared" si="0"/>
        <v>0</v>
      </c>
    </row>
    <row r="51" spans="1:5" x14ac:dyDescent="0.3">
      <c r="A51" s="1" t="s">
        <v>243</v>
      </c>
      <c r="B51" t="s">
        <v>151</v>
      </c>
      <c r="C51" t="s">
        <v>191</v>
      </c>
      <c r="D51" t="s">
        <v>153</v>
      </c>
      <c r="E51">
        <f t="shared" si="0"/>
        <v>0</v>
      </c>
    </row>
    <row r="52" spans="1:5" x14ac:dyDescent="0.3">
      <c r="A52" s="1" t="s">
        <v>144</v>
      </c>
      <c r="B52" t="s">
        <v>152</v>
      </c>
      <c r="C52" t="s">
        <v>200</v>
      </c>
      <c r="D52" t="s">
        <v>154</v>
      </c>
      <c r="E52">
        <f t="shared" si="0"/>
        <v>0</v>
      </c>
    </row>
    <row r="53" spans="1:5" x14ac:dyDescent="0.3">
      <c r="A53" s="1" t="s">
        <v>143</v>
      </c>
      <c r="B53" t="s">
        <v>151</v>
      </c>
      <c r="C53" t="s">
        <v>199</v>
      </c>
      <c r="D53" t="s">
        <v>153</v>
      </c>
      <c r="E53">
        <f t="shared" si="0"/>
        <v>0</v>
      </c>
    </row>
    <row r="54" spans="1:5" x14ac:dyDescent="0.3">
      <c r="A54" s="1" t="s">
        <v>238</v>
      </c>
      <c r="B54" t="s">
        <v>152</v>
      </c>
      <c r="C54" t="s">
        <v>186</v>
      </c>
      <c r="D54" t="s">
        <v>154</v>
      </c>
      <c r="E54">
        <f t="shared" si="0"/>
        <v>0</v>
      </c>
    </row>
    <row r="55" spans="1:5" x14ac:dyDescent="0.3">
      <c r="A55" s="1" t="s">
        <v>256</v>
      </c>
      <c r="B55" t="s">
        <v>151</v>
      </c>
      <c r="C55" t="s">
        <v>205</v>
      </c>
      <c r="D55" t="s">
        <v>153</v>
      </c>
      <c r="E55">
        <f t="shared" si="0"/>
        <v>0</v>
      </c>
    </row>
    <row r="56" spans="1:5" x14ac:dyDescent="0.3">
      <c r="A56" s="1" t="s">
        <v>254</v>
      </c>
      <c r="B56" t="s">
        <v>152</v>
      </c>
      <c r="C56" t="s">
        <v>203</v>
      </c>
      <c r="D56" t="s">
        <v>154</v>
      </c>
      <c r="E56">
        <f t="shared" si="0"/>
        <v>0</v>
      </c>
    </row>
    <row r="57" spans="1:5" x14ac:dyDescent="0.3">
      <c r="A57" s="1" t="s">
        <v>120</v>
      </c>
      <c r="B57" t="s">
        <v>152</v>
      </c>
      <c r="C57" t="s">
        <v>176</v>
      </c>
      <c r="D57" t="s">
        <v>154</v>
      </c>
      <c r="E57">
        <f t="shared" si="0"/>
        <v>0</v>
      </c>
    </row>
    <row r="58" spans="1:5" x14ac:dyDescent="0.3">
      <c r="A58" s="1" t="s">
        <v>115</v>
      </c>
      <c r="B58" t="s">
        <v>151</v>
      </c>
      <c r="C58" t="s">
        <v>171</v>
      </c>
      <c r="D58" t="s">
        <v>155</v>
      </c>
      <c r="E58">
        <f t="shared" si="0"/>
        <v>0</v>
      </c>
    </row>
    <row r="59" spans="1:5" x14ac:dyDescent="0.3">
      <c r="A59" s="1" t="s">
        <v>116</v>
      </c>
      <c r="B59" t="s">
        <v>151</v>
      </c>
      <c r="C59" t="s">
        <v>172</v>
      </c>
      <c r="D59" t="s">
        <v>153</v>
      </c>
      <c r="E59">
        <f t="shared" si="0"/>
        <v>0</v>
      </c>
    </row>
    <row r="60" spans="1:5" x14ac:dyDescent="0.3">
      <c r="A60" s="1" t="s">
        <v>237</v>
      </c>
      <c r="B60" t="s">
        <v>152</v>
      </c>
      <c r="C60" t="s">
        <v>185</v>
      </c>
      <c r="D60" t="s">
        <v>154</v>
      </c>
      <c r="E60">
        <f t="shared" si="0"/>
        <v>0</v>
      </c>
    </row>
    <row r="61" spans="1:5" x14ac:dyDescent="0.3">
      <c r="A61" s="1" t="s">
        <v>136</v>
      </c>
      <c r="B61" t="s">
        <v>152</v>
      </c>
      <c r="C61" t="s">
        <v>192</v>
      </c>
      <c r="D61" t="s">
        <v>154</v>
      </c>
      <c r="E61">
        <f t="shared" si="0"/>
        <v>0</v>
      </c>
    </row>
    <row r="62" spans="1:5" x14ac:dyDescent="0.3">
      <c r="A62" s="1" t="s">
        <v>223</v>
      </c>
      <c r="B62" t="s">
        <v>151</v>
      </c>
      <c r="C62" t="s">
        <v>171</v>
      </c>
      <c r="D62" t="s">
        <v>155</v>
      </c>
      <c r="E62">
        <f t="shared" si="0"/>
        <v>0</v>
      </c>
    </row>
    <row r="63" spans="1:5" x14ac:dyDescent="0.3">
      <c r="A63" s="1" t="s">
        <v>101</v>
      </c>
      <c r="B63" t="s">
        <v>151</v>
      </c>
      <c r="C63" t="s">
        <v>157</v>
      </c>
      <c r="D63" t="s">
        <v>153</v>
      </c>
      <c r="E63">
        <f t="shared" si="0"/>
        <v>0</v>
      </c>
    </row>
    <row r="64" spans="1:5" x14ac:dyDescent="0.3">
      <c r="A64" s="1" t="s">
        <v>214</v>
      </c>
      <c r="B64" t="s">
        <v>152</v>
      </c>
      <c r="C64" t="s">
        <v>162</v>
      </c>
      <c r="D64" t="s">
        <v>154</v>
      </c>
      <c r="E64">
        <f t="shared" si="0"/>
        <v>0</v>
      </c>
    </row>
    <row r="65" spans="1:5" x14ac:dyDescent="0.3">
      <c r="A65" s="1" t="s">
        <v>253</v>
      </c>
      <c r="B65" t="s">
        <v>152</v>
      </c>
      <c r="C65" t="s">
        <v>202</v>
      </c>
      <c r="D65" t="s">
        <v>154</v>
      </c>
      <c r="E65">
        <f t="shared" si="0"/>
        <v>0</v>
      </c>
    </row>
    <row r="66" spans="1:5" x14ac:dyDescent="0.3">
      <c r="A66" s="1" t="s">
        <v>109</v>
      </c>
      <c r="B66" t="s">
        <v>152</v>
      </c>
      <c r="C66" t="s">
        <v>165</v>
      </c>
      <c r="D66" t="s">
        <v>154</v>
      </c>
      <c r="E66">
        <f t="shared" si="0"/>
        <v>0</v>
      </c>
    </row>
    <row r="67" spans="1:5" x14ac:dyDescent="0.3">
      <c r="A67" s="1" t="s">
        <v>212</v>
      </c>
      <c r="B67" t="s">
        <v>152</v>
      </c>
      <c r="C67" t="s">
        <v>160</v>
      </c>
      <c r="D67" t="s">
        <v>154</v>
      </c>
      <c r="E67">
        <f t="shared" ref="E67:E101" si="1">IF(LEFT(A67,1)="W",1,0)</f>
        <v>0</v>
      </c>
    </row>
    <row r="68" spans="1:5" x14ac:dyDescent="0.3">
      <c r="A68" s="1" t="s">
        <v>224</v>
      </c>
      <c r="B68" t="s">
        <v>151</v>
      </c>
      <c r="C68" t="s">
        <v>172</v>
      </c>
      <c r="D68" t="s">
        <v>153</v>
      </c>
      <c r="E68">
        <f t="shared" si="1"/>
        <v>0</v>
      </c>
    </row>
    <row r="69" spans="1:5" x14ac:dyDescent="0.3">
      <c r="A69" s="1" t="s">
        <v>121</v>
      </c>
      <c r="B69" t="s">
        <v>152</v>
      </c>
      <c r="C69" t="s">
        <v>177</v>
      </c>
      <c r="D69" t="s">
        <v>154</v>
      </c>
      <c r="E69">
        <f t="shared" si="1"/>
        <v>0</v>
      </c>
    </row>
    <row r="70" spans="1:5" x14ac:dyDescent="0.3">
      <c r="A70" s="1" t="s">
        <v>242</v>
      </c>
      <c r="B70" t="s">
        <v>151</v>
      </c>
      <c r="C70" t="s">
        <v>190</v>
      </c>
      <c r="D70" t="s">
        <v>155</v>
      </c>
      <c r="E70">
        <f t="shared" si="1"/>
        <v>0</v>
      </c>
    </row>
    <row r="71" spans="1:5" x14ac:dyDescent="0.3">
      <c r="A71" s="1" t="s">
        <v>138</v>
      </c>
      <c r="B71" t="s">
        <v>152</v>
      </c>
      <c r="C71" t="s">
        <v>194</v>
      </c>
      <c r="D71" t="s">
        <v>154</v>
      </c>
      <c r="E71">
        <f t="shared" si="1"/>
        <v>0</v>
      </c>
    </row>
    <row r="72" spans="1:5" x14ac:dyDescent="0.3">
      <c r="A72" s="1" t="s">
        <v>219</v>
      </c>
      <c r="B72" t="s">
        <v>151</v>
      </c>
      <c r="C72" t="s">
        <v>167</v>
      </c>
      <c r="D72" t="s">
        <v>153</v>
      </c>
      <c r="E72">
        <f t="shared" si="1"/>
        <v>0</v>
      </c>
    </row>
    <row r="73" spans="1:5" x14ac:dyDescent="0.3">
      <c r="A73" s="1" t="s">
        <v>250</v>
      </c>
      <c r="B73" t="s">
        <v>151</v>
      </c>
      <c r="C73" t="s">
        <v>199</v>
      </c>
      <c r="D73" t="s">
        <v>153</v>
      </c>
      <c r="E73">
        <f t="shared" si="1"/>
        <v>0</v>
      </c>
    </row>
    <row r="74" spans="1:5" x14ac:dyDescent="0.3">
      <c r="A74" s="1" t="s">
        <v>235</v>
      </c>
      <c r="B74" t="s">
        <v>152</v>
      </c>
      <c r="C74" t="s">
        <v>183</v>
      </c>
      <c r="D74" t="s">
        <v>154</v>
      </c>
      <c r="E74">
        <f t="shared" si="1"/>
        <v>0</v>
      </c>
    </row>
    <row r="75" spans="1:5" x14ac:dyDescent="0.3">
      <c r="A75" s="1" t="s">
        <v>140</v>
      </c>
      <c r="B75" t="s">
        <v>151</v>
      </c>
      <c r="C75" t="s">
        <v>196</v>
      </c>
      <c r="D75" t="s">
        <v>155</v>
      </c>
      <c r="E75">
        <f t="shared" si="1"/>
        <v>0</v>
      </c>
    </row>
    <row r="76" spans="1:5" x14ac:dyDescent="0.3">
      <c r="A76" s="1" t="s">
        <v>108</v>
      </c>
      <c r="B76" t="s">
        <v>151</v>
      </c>
      <c r="C76" t="s">
        <v>164</v>
      </c>
      <c r="D76" t="s">
        <v>153</v>
      </c>
      <c r="E76">
        <f t="shared" si="1"/>
        <v>0</v>
      </c>
    </row>
    <row r="77" spans="1:5" x14ac:dyDescent="0.3">
      <c r="A77" s="1" t="s">
        <v>251</v>
      </c>
      <c r="B77" t="s">
        <v>257</v>
      </c>
      <c r="C77" t="s">
        <v>200</v>
      </c>
      <c r="D77" t="s">
        <v>155</v>
      </c>
      <c r="E77">
        <f t="shared" si="1"/>
        <v>0</v>
      </c>
    </row>
    <row r="78" spans="1:5" x14ac:dyDescent="0.3">
      <c r="A78" s="1" t="s">
        <v>234</v>
      </c>
      <c r="B78" t="s">
        <v>151</v>
      </c>
      <c r="C78" t="s">
        <v>182</v>
      </c>
      <c r="D78" t="s">
        <v>153</v>
      </c>
      <c r="E78">
        <f t="shared" si="1"/>
        <v>0</v>
      </c>
    </row>
    <row r="79" spans="1:5" x14ac:dyDescent="0.3">
      <c r="A79" s="1" t="s">
        <v>218</v>
      </c>
      <c r="B79" t="s">
        <v>152</v>
      </c>
      <c r="C79" t="s">
        <v>166</v>
      </c>
      <c r="D79" t="s">
        <v>154</v>
      </c>
      <c r="E79">
        <f t="shared" si="1"/>
        <v>0</v>
      </c>
    </row>
    <row r="80" spans="1:5" x14ac:dyDescent="0.3">
      <c r="A80" s="1" t="s">
        <v>239</v>
      </c>
      <c r="B80" t="s">
        <v>152</v>
      </c>
      <c r="C80" t="s">
        <v>187</v>
      </c>
      <c r="D80" t="s">
        <v>154</v>
      </c>
      <c r="E80">
        <f t="shared" si="1"/>
        <v>0</v>
      </c>
    </row>
    <row r="81" spans="1:5" x14ac:dyDescent="0.3">
      <c r="A81" s="1" t="s">
        <v>216</v>
      </c>
      <c r="B81" t="s">
        <v>151</v>
      </c>
      <c r="C81" t="s">
        <v>164</v>
      </c>
      <c r="D81" t="s">
        <v>153</v>
      </c>
      <c r="E81">
        <f t="shared" si="1"/>
        <v>0</v>
      </c>
    </row>
    <row r="82" spans="1:5" x14ac:dyDescent="0.3">
      <c r="A82" s="1" t="s">
        <v>216</v>
      </c>
      <c r="B82" t="s">
        <v>151</v>
      </c>
      <c r="C82" t="s">
        <v>195</v>
      </c>
      <c r="D82" t="s">
        <v>153</v>
      </c>
      <c r="E82">
        <f t="shared" si="1"/>
        <v>0</v>
      </c>
    </row>
    <row r="83" spans="1:5" x14ac:dyDescent="0.3">
      <c r="A83" s="1" t="s">
        <v>236</v>
      </c>
      <c r="B83" t="s">
        <v>152</v>
      </c>
      <c r="C83" t="s">
        <v>184</v>
      </c>
      <c r="D83" t="s">
        <v>154</v>
      </c>
      <c r="E83">
        <f t="shared" si="1"/>
        <v>0</v>
      </c>
    </row>
    <row r="84" spans="1:5" x14ac:dyDescent="0.3">
      <c r="A84" s="1" t="s">
        <v>100</v>
      </c>
      <c r="B84" t="s">
        <v>151</v>
      </c>
      <c r="C84" t="s">
        <v>156</v>
      </c>
      <c r="D84" t="s">
        <v>153</v>
      </c>
      <c r="E84">
        <f t="shared" si="1"/>
        <v>0</v>
      </c>
    </row>
    <row r="85" spans="1:5" x14ac:dyDescent="0.3">
      <c r="A85" s="1" t="s">
        <v>210</v>
      </c>
      <c r="B85" t="s">
        <v>152</v>
      </c>
      <c r="C85" t="s">
        <v>158</v>
      </c>
      <c r="D85" t="s">
        <v>154</v>
      </c>
      <c r="E85">
        <f t="shared" si="1"/>
        <v>0</v>
      </c>
    </row>
    <row r="86" spans="1:5" x14ac:dyDescent="0.3">
      <c r="A86" s="1" t="s">
        <v>230</v>
      </c>
      <c r="B86" t="s">
        <v>152</v>
      </c>
      <c r="C86" t="s">
        <v>178</v>
      </c>
      <c r="D86" t="s">
        <v>154</v>
      </c>
      <c r="E86">
        <f t="shared" si="1"/>
        <v>0</v>
      </c>
    </row>
    <row r="87" spans="1:5" x14ac:dyDescent="0.3">
      <c r="A87" s="1" t="s">
        <v>229</v>
      </c>
      <c r="B87" t="s">
        <v>152</v>
      </c>
      <c r="C87" t="s">
        <v>177</v>
      </c>
      <c r="D87" t="s">
        <v>154</v>
      </c>
      <c r="E87">
        <f t="shared" si="1"/>
        <v>0</v>
      </c>
    </row>
    <row r="88" spans="1:5" x14ac:dyDescent="0.3">
      <c r="A88" s="1" t="s">
        <v>209</v>
      </c>
      <c r="B88" t="s">
        <v>151</v>
      </c>
      <c r="C88" t="s">
        <v>157</v>
      </c>
      <c r="D88" t="s">
        <v>153</v>
      </c>
      <c r="E88">
        <f t="shared" si="1"/>
        <v>0</v>
      </c>
    </row>
    <row r="89" spans="1:5" x14ac:dyDescent="0.3">
      <c r="A89" s="1" t="s">
        <v>233</v>
      </c>
      <c r="B89" t="s">
        <v>152</v>
      </c>
      <c r="C89" t="s">
        <v>181</v>
      </c>
      <c r="D89" t="s">
        <v>154</v>
      </c>
      <c r="E89">
        <f t="shared" si="1"/>
        <v>0</v>
      </c>
    </row>
    <row r="90" spans="1:5" x14ac:dyDescent="0.3">
      <c r="A90" s="1" t="s">
        <v>247</v>
      </c>
      <c r="B90" t="s">
        <v>151</v>
      </c>
      <c r="C90" t="s">
        <v>196</v>
      </c>
      <c r="D90" t="s">
        <v>153</v>
      </c>
      <c r="E90">
        <f t="shared" si="1"/>
        <v>0</v>
      </c>
    </row>
    <row r="91" spans="1:5" x14ac:dyDescent="0.3">
      <c r="A91" s="1" t="s">
        <v>240</v>
      </c>
      <c r="B91" t="s">
        <v>151</v>
      </c>
      <c r="C91" t="s">
        <v>188</v>
      </c>
      <c r="D91" t="s">
        <v>155</v>
      </c>
      <c r="E91">
        <f t="shared" si="1"/>
        <v>0</v>
      </c>
    </row>
    <row r="92" spans="1:5" x14ac:dyDescent="0.3">
      <c r="A92" s="1" t="s">
        <v>245</v>
      </c>
      <c r="B92" t="s">
        <v>151</v>
      </c>
      <c r="C92" t="s">
        <v>193</v>
      </c>
      <c r="D92" t="s">
        <v>153</v>
      </c>
      <c r="E92">
        <f t="shared" si="1"/>
        <v>0</v>
      </c>
    </row>
    <row r="93" spans="1:5" x14ac:dyDescent="0.3">
      <c r="A93" s="1" t="s">
        <v>208</v>
      </c>
      <c r="B93" t="s">
        <v>151</v>
      </c>
      <c r="C93" t="s">
        <v>156</v>
      </c>
      <c r="D93" t="s">
        <v>153</v>
      </c>
      <c r="E93">
        <f t="shared" si="1"/>
        <v>0</v>
      </c>
    </row>
    <row r="94" spans="1:5" x14ac:dyDescent="0.3">
      <c r="A94" s="1" t="s">
        <v>227</v>
      </c>
      <c r="B94" t="s">
        <v>152</v>
      </c>
      <c r="C94" t="s">
        <v>175</v>
      </c>
      <c r="D94" t="s">
        <v>154</v>
      </c>
      <c r="E94">
        <f t="shared" si="1"/>
        <v>0</v>
      </c>
    </row>
    <row r="95" spans="1:5" x14ac:dyDescent="0.3">
      <c r="A95" s="1" t="s">
        <v>252</v>
      </c>
      <c r="B95" t="s">
        <v>152</v>
      </c>
      <c r="C95" t="s">
        <v>201</v>
      </c>
      <c r="D95" t="s">
        <v>154</v>
      </c>
      <c r="E95">
        <f t="shared" si="1"/>
        <v>1</v>
      </c>
    </row>
    <row r="96" spans="1:5" x14ac:dyDescent="0.3">
      <c r="A96" s="1" t="s">
        <v>217</v>
      </c>
      <c r="B96" t="s">
        <v>152</v>
      </c>
      <c r="C96" t="s">
        <v>165</v>
      </c>
      <c r="D96" t="s">
        <v>154</v>
      </c>
      <c r="E96">
        <f t="shared" si="1"/>
        <v>1</v>
      </c>
    </row>
    <row r="97" spans="1:5" x14ac:dyDescent="0.3">
      <c r="A97" s="1" t="s">
        <v>228</v>
      </c>
      <c r="B97" t="s">
        <v>152</v>
      </c>
      <c r="C97" t="s">
        <v>176</v>
      </c>
      <c r="D97" t="s">
        <v>154</v>
      </c>
      <c r="E97">
        <f t="shared" si="1"/>
        <v>1</v>
      </c>
    </row>
    <row r="98" spans="1:5" x14ac:dyDescent="0.3">
      <c r="A98" s="1" t="s">
        <v>246</v>
      </c>
      <c r="B98" t="s">
        <v>152</v>
      </c>
      <c r="C98" t="s">
        <v>194</v>
      </c>
      <c r="D98" t="s">
        <v>154</v>
      </c>
      <c r="E98">
        <f t="shared" si="1"/>
        <v>1</v>
      </c>
    </row>
    <row r="99" spans="1:5" x14ac:dyDescent="0.3">
      <c r="A99" s="1" t="s">
        <v>231</v>
      </c>
      <c r="B99" t="s">
        <v>151</v>
      </c>
      <c r="C99" t="s">
        <v>179</v>
      </c>
      <c r="D99" t="s">
        <v>153</v>
      </c>
      <c r="E99">
        <f t="shared" si="1"/>
        <v>1</v>
      </c>
    </row>
    <row r="100" spans="1:5" x14ac:dyDescent="0.3">
      <c r="A100" s="1" t="s">
        <v>244</v>
      </c>
      <c r="B100" t="s">
        <v>152</v>
      </c>
      <c r="C100" t="s">
        <v>192</v>
      </c>
      <c r="D100" t="s">
        <v>154</v>
      </c>
      <c r="E100">
        <f t="shared" si="1"/>
        <v>1</v>
      </c>
    </row>
    <row r="101" spans="1:5" x14ac:dyDescent="0.3">
      <c r="A101" s="1" t="s">
        <v>221</v>
      </c>
      <c r="B101" t="s">
        <v>151</v>
      </c>
      <c r="C101" t="s">
        <v>169</v>
      </c>
      <c r="D101" t="s">
        <v>153</v>
      </c>
      <c r="E101">
        <f t="shared" si="1"/>
        <v>0</v>
      </c>
    </row>
  </sheetData>
  <autoFilter ref="A1:E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"/>
  <sheetViews>
    <sheetView workbookViewId="0">
      <selection activeCell="G25" sqref="G25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4"/>
  <sheetViews>
    <sheetView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2" width="19.109375" customWidth="1"/>
    <col min="3" max="3" width="27.44140625" customWidth="1"/>
    <col min="4" max="4" width="9.88671875" bestFit="1" customWidth="1"/>
    <col min="5" max="5" width="12.21875" bestFit="1" customWidth="1"/>
    <col min="6" max="6" width="22.21875" bestFit="1" customWidth="1"/>
    <col min="7" max="7" width="21" bestFit="1" customWidth="1"/>
    <col min="8" max="8" width="12.21875" bestFit="1" customWidth="1"/>
  </cols>
  <sheetData>
    <row r="1" spans="1:11" x14ac:dyDescent="0.3">
      <c r="A1" s="4" t="s">
        <v>99</v>
      </c>
      <c r="B1" s="4" t="s">
        <v>150</v>
      </c>
      <c r="C1" s="4" t="s">
        <v>206</v>
      </c>
      <c r="D1" s="4" t="s">
        <v>207</v>
      </c>
      <c r="E1" s="4" t="s">
        <v>259</v>
      </c>
      <c r="F1" s="4" t="s">
        <v>260</v>
      </c>
      <c r="G1" s="4" t="s">
        <v>206</v>
      </c>
      <c r="H1" s="4" t="s">
        <v>258</v>
      </c>
      <c r="I1" s="4" t="s">
        <v>261</v>
      </c>
      <c r="J1" s="4" t="s">
        <v>261</v>
      </c>
      <c r="K1" s="4" t="s">
        <v>267</v>
      </c>
    </row>
    <row r="2" spans="1:11" x14ac:dyDescent="0.3">
      <c r="A2" s="2" t="s">
        <v>49</v>
      </c>
      <c r="B2" t="s">
        <v>100</v>
      </c>
      <c r="C2" t="s">
        <v>151</v>
      </c>
      <c r="D2" t="s">
        <v>156</v>
      </c>
      <c r="E2" t="s">
        <v>153</v>
      </c>
      <c r="F2" s="3" t="s">
        <v>208</v>
      </c>
      <c r="G2" t="s">
        <v>151</v>
      </c>
      <c r="H2" t="s">
        <v>153</v>
      </c>
      <c r="I2" t="b">
        <f>AND(C2="R",G2="R")</f>
        <v>1</v>
      </c>
      <c r="J2">
        <f>IF(AND(C2="R",G2="R"),1,0)</f>
        <v>1</v>
      </c>
      <c r="K2" t="b">
        <f>OR(H2=" Not Voting ",E2=" Not Voting ")</f>
        <v>0</v>
      </c>
    </row>
    <row r="3" spans="1:11" x14ac:dyDescent="0.3">
      <c r="A3" s="2" t="s">
        <v>50</v>
      </c>
      <c r="B3" t="s">
        <v>101</v>
      </c>
      <c r="C3" t="s">
        <v>151</v>
      </c>
      <c r="D3" t="s">
        <v>157</v>
      </c>
      <c r="E3" t="s">
        <v>153</v>
      </c>
      <c r="F3" s="3" t="s">
        <v>209</v>
      </c>
      <c r="G3" t="s">
        <v>151</v>
      </c>
      <c r="H3" t="s">
        <v>153</v>
      </c>
      <c r="I3" t="b">
        <f t="shared" ref="I3:I51" si="0">AND(C3="R",G3="R")</f>
        <v>1</v>
      </c>
      <c r="J3">
        <f t="shared" ref="J3:J51" si="1">IF(AND(C3="R",G3="R"),1,0)</f>
        <v>1</v>
      </c>
      <c r="K3" t="b">
        <f t="shared" ref="K3:K51" si="2">OR(H3=" Not Voting ",E3=" Not Voting ")</f>
        <v>0</v>
      </c>
    </row>
    <row r="4" spans="1:11" x14ac:dyDescent="0.3">
      <c r="A4" s="2" t="s">
        <v>51</v>
      </c>
      <c r="B4" t="s">
        <v>102</v>
      </c>
      <c r="C4" t="s">
        <v>152</v>
      </c>
      <c r="D4" t="s">
        <v>158</v>
      </c>
      <c r="E4" t="s">
        <v>154</v>
      </c>
      <c r="F4" s="3" t="s">
        <v>210</v>
      </c>
      <c r="G4" t="s">
        <v>152</v>
      </c>
      <c r="H4" t="s">
        <v>154</v>
      </c>
      <c r="I4" t="b">
        <f t="shared" si="0"/>
        <v>0</v>
      </c>
      <c r="J4">
        <f t="shared" si="1"/>
        <v>0</v>
      </c>
      <c r="K4" t="b">
        <f t="shared" si="2"/>
        <v>0</v>
      </c>
    </row>
    <row r="5" spans="1:11" x14ac:dyDescent="0.3">
      <c r="A5" s="2" t="s">
        <v>52</v>
      </c>
      <c r="B5" t="s">
        <v>103</v>
      </c>
      <c r="C5" t="s">
        <v>151</v>
      </c>
      <c r="D5" t="s">
        <v>159</v>
      </c>
      <c r="E5" t="s">
        <v>153</v>
      </c>
      <c r="F5" s="3" t="s">
        <v>211</v>
      </c>
      <c r="G5" t="s">
        <v>151</v>
      </c>
      <c r="H5" t="s">
        <v>153</v>
      </c>
      <c r="I5" t="b">
        <f t="shared" si="0"/>
        <v>1</v>
      </c>
      <c r="J5">
        <f t="shared" si="1"/>
        <v>1</v>
      </c>
      <c r="K5" t="b">
        <f t="shared" si="2"/>
        <v>0</v>
      </c>
    </row>
    <row r="6" spans="1:11" x14ac:dyDescent="0.3">
      <c r="A6" s="2" t="s">
        <v>53</v>
      </c>
      <c r="B6" t="s">
        <v>104</v>
      </c>
      <c r="C6" t="s">
        <v>152</v>
      </c>
      <c r="D6" t="s">
        <v>160</v>
      </c>
      <c r="E6" t="s">
        <v>154</v>
      </c>
      <c r="F6" s="3" t="s">
        <v>212</v>
      </c>
      <c r="G6" t="s">
        <v>152</v>
      </c>
      <c r="H6" t="s">
        <v>154</v>
      </c>
      <c r="I6" t="b">
        <f t="shared" si="0"/>
        <v>0</v>
      </c>
      <c r="J6">
        <f t="shared" si="1"/>
        <v>0</v>
      </c>
      <c r="K6" t="b">
        <f t="shared" si="2"/>
        <v>0</v>
      </c>
    </row>
    <row r="7" spans="1:11" x14ac:dyDescent="0.3">
      <c r="A7" s="2" t="s">
        <v>54</v>
      </c>
      <c r="B7" t="s">
        <v>105</v>
      </c>
      <c r="C7" t="s">
        <v>152</v>
      </c>
      <c r="D7" t="s">
        <v>161</v>
      </c>
      <c r="E7" t="s">
        <v>154</v>
      </c>
      <c r="F7" s="3" t="s">
        <v>213</v>
      </c>
      <c r="G7" t="s">
        <v>152</v>
      </c>
      <c r="H7" t="s">
        <v>154</v>
      </c>
      <c r="I7" t="b">
        <f t="shared" si="0"/>
        <v>0</v>
      </c>
      <c r="J7">
        <f t="shared" si="1"/>
        <v>0</v>
      </c>
      <c r="K7" t="b">
        <f t="shared" si="2"/>
        <v>0</v>
      </c>
    </row>
    <row r="8" spans="1:11" x14ac:dyDescent="0.3">
      <c r="A8" s="2" t="s">
        <v>55</v>
      </c>
      <c r="B8" t="s">
        <v>106</v>
      </c>
      <c r="C8" t="s">
        <v>152</v>
      </c>
      <c r="D8" t="s">
        <v>162</v>
      </c>
      <c r="E8" t="s">
        <v>154</v>
      </c>
      <c r="F8" s="3" t="s">
        <v>214</v>
      </c>
      <c r="G8" t="s">
        <v>152</v>
      </c>
      <c r="H8" t="s">
        <v>154</v>
      </c>
      <c r="I8" t="b">
        <f t="shared" si="0"/>
        <v>0</v>
      </c>
      <c r="J8">
        <f t="shared" si="1"/>
        <v>0</v>
      </c>
      <c r="K8" t="b">
        <f t="shared" si="2"/>
        <v>0</v>
      </c>
    </row>
    <row r="9" spans="1:11" x14ac:dyDescent="0.3">
      <c r="A9" s="2" t="s">
        <v>56</v>
      </c>
      <c r="B9" t="s">
        <v>107</v>
      </c>
      <c r="C9" t="s">
        <v>152</v>
      </c>
      <c r="D9" t="s">
        <v>163</v>
      </c>
      <c r="E9" t="s">
        <v>154</v>
      </c>
      <c r="F9" s="3" t="s">
        <v>215</v>
      </c>
      <c r="G9" t="s">
        <v>152</v>
      </c>
      <c r="H9" t="s">
        <v>154</v>
      </c>
      <c r="I9" t="b">
        <f t="shared" si="0"/>
        <v>0</v>
      </c>
      <c r="J9">
        <f t="shared" si="1"/>
        <v>0</v>
      </c>
      <c r="K9" t="b">
        <f t="shared" si="2"/>
        <v>0</v>
      </c>
    </row>
    <row r="10" spans="1:11" x14ac:dyDescent="0.3">
      <c r="A10" s="2" t="s">
        <v>57</v>
      </c>
      <c r="B10" t="s">
        <v>108</v>
      </c>
      <c r="C10" t="s">
        <v>151</v>
      </c>
      <c r="D10" t="s">
        <v>164</v>
      </c>
      <c r="E10" t="s">
        <v>153</v>
      </c>
      <c r="F10" s="3" t="s">
        <v>216</v>
      </c>
      <c r="G10" t="s">
        <v>151</v>
      </c>
      <c r="H10" t="s">
        <v>153</v>
      </c>
      <c r="I10" t="b">
        <f t="shared" si="0"/>
        <v>1</v>
      </c>
      <c r="J10">
        <f t="shared" si="1"/>
        <v>1</v>
      </c>
      <c r="K10" t="b">
        <f t="shared" si="2"/>
        <v>0</v>
      </c>
    </row>
    <row r="11" spans="1:11" x14ac:dyDescent="0.3">
      <c r="A11" s="2" t="s">
        <v>58</v>
      </c>
      <c r="B11" t="s">
        <v>109</v>
      </c>
      <c r="C11" t="s">
        <v>152</v>
      </c>
      <c r="D11" t="s">
        <v>165</v>
      </c>
      <c r="E11" t="s">
        <v>154</v>
      </c>
      <c r="F11" s="3" t="s">
        <v>217</v>
      </c>
      <c r="G11" t="s">
        <v>152</v>
      </c>
      <c r="H11" t="s">
        <v>154</v>
      </c>
      <c r="I11" t="b">
        <f t="shared" si="0"/>
        <v>0</v>
      </c>
      <c r="J11">
        <f t="shared" si="1"/>
        <v>0</v>
      </c>
      <c r="K11" t="b">
        <f t="shared" si="2"/>
        <v>0</v>
      </c>
    </row>
    <row r="12" spans="1:11" x14ac:dyDescent="0.3">
      <c r="A12" s="2" t="s">
        <v>59</v>
      </c>
      <c r="B12" t="s">
        <v>110</v>
      </c>
      <c r="C12" t="s">
        <v>152</v>
      </c>
      <c r="D12" t="s">
        <v>166</v>
      </c>
      <c r="E12" t="s">
        <v>154</v>
      </c>
      <c r="F12" s="3" t="s">
        <v>218</v>
      </c>
      <c r="G12" t="s">
        <v>152</v>
      </c>
      <c r="H12" t="s">
        <v>154</v>
      </c>
      <c r="I12" t="b">
        <f t="shared" si="0"/>
        <v>0</v>
      </c>
      <c r="J12">
        <f t="shared" si="1"/>
        <v>0</v>
      </c>
      <c r="K12" t="b">
        <f t="shared" si="2"/>
        <v>0</v>
      </c>
    </row>
    <row r="13" spans="1:11" x14ac:dyDescent="0.3">
      <c r="A13" s="2" t="s">
        <v>60</v>
      </c>
      <c r="B13" t="s">
        <v>111</v>
      </c>
      <c r="C13" t="s">
        <v>151</v>
      </c>
      <c r="D13" t="s">
        <v>167</v>
      </c>
      <c r="E13" t="s">
        <v>153</v>
      </c>
      <c r="F13" s="3" t="s">
        <v>219</v>
      </c>
      <c r="G13" t="s">
        <v>151</v>
      </c>
      <c r="H13" t="s">
        <v>153</v>
      </c>
      <c r="I13" t="b">
        <f t="shared" si="0"/>
        <v>1</v>
      </c>
      <c r="J13">
        <f t="shared" si="1"/>
        <v>1</v>
      </c>
      <c r="K13" t="b">
        <f t="shared" si="2"/>
        <v>0</v>
      </c>
    </row>
    <row r="14" spans="1:11" x14ac:dyDescent="0.3">
      <c r="A14" s="2" t="s">
        <v>61</v>
      </c>
      <c r="B14" t="s">
        <v>112</v>
      </c>
      <c r="C14" t="s">
        <v>152</v>
      </c>
      <c r="D14" t="s">
        <v>168</v>
      </c>
      <c r="E14" t="s">
        <v>154</v>
      </c>
      <c r="F14" s="3" t="s">
        <v>220</v>
      </c>
      <c r="G14" t="s">
        <v>152</v>
      </c>
      <c r="H14" t="s">
        <v>154</v>
      </c>
      <c r="I14" t="b">
        <f t="shared" si="0"/>
        <v>0</v>
      </c>
      <c r="J14">
        <f t="shared" si="1"/>
        <v>0</v>
      </c>
      <c r="K14" t="b">
        <f t="shared" si="2"/>
        <v>0</v>
      </c>
    </row>
    <row r="15" spans="1:11" x14ac:dyDescent="0.3">
      <c r="A15" s="2" t="s">
        <v>62</v>
      </c>
      <c r="B15" t="s">
        <v>113</v>
      </c>
      <c r="C15" t="s">
        <v>151</v>
      </c>
      <c r="D15" t="s">
        <v>169</v>
      </c>
      <c r="E15" t="s">
        <v>153</v>
      </c>
      <c r="F15" s="3" t="s">
        <v>221</v>
      </c>
      <c r="G15" t="s">
        <v>151</v>
      </c>
      <c r="H15" t="s">
        <v>153</v>
      </c>
      <c r="I15" t="b">
        <f t="shared" si="0"/>
        <v>1</v>
      </c>
      <c r="J15">
        <f t="shared" si="1"/>
        <v>1</v>
      </c>
      <c r="K15" t="b">
        <f t="shared" si="2"/>
        <v>0</v>
      </c>
    </row>
    <row r="16" spans="1:11" x14ac:dyDescent="0.3">
      <c r="A16" s="2" t="s">
        <v>63</v>
      </c>
      <c r="B16" t="s">
        <v>114</v>
      </c>
      <c r="C16" t="s">
        <v>151</v>
      </c>
      <c r="D16" t="s">
        <v>170</v>
      </c>
      <c r="E16" t="s">
        <v>153</v>
      </c>
      <c r="F16" s="3" t="s">
        <v>222</v>
      </c>
      <c r="G16" t="s">
        <v>151</v>
      </c>
      <c r="H16" t="s">
        <v>153</v>
      </c>
      <c r="I16" t="b">
        <f t="shared" si="0"/>
        <v>1</v>
      </c>
      <c r="J16">
        <f t="shared" si="1"/>
        <v>1</v>
      </c>
      <c r="K16" t="b">
        <f t="shared" si="2"/>
        <v>0</v>
      </c>
    </row>
    <row r="17" spans="1:11" x14ac:dyDescent="0.3">
      <c r="A17" s="2" t="s">
        <v>64</v>
      </c>
      <c r="B17" t="s">
        <v>115</v>
      </c>
      <c r="C17" t="s">
        <v>151</v>
      </c>
      <c r="D17" t="s">
        <v>171</v>
      </c>
      <c r="E17" t="s">
        <v>155</v>
      </c>
      <c r="F17" s="3" t="s">
        <v>223</v>
      </c>
      <c r="G17" t="s">
        <v>151</v>
      </c>
      <c r="H17" t="s">
        <v>155</v>
      </c>
      <c r="I17" t="b">
        <f t="shared" si="0"/>
        <v>1</v>
      </c>
      <c r="J17">
        <f t="shared" si="1"/>
        <v>1</v>
      </c>
      <c r="K17" t="b">
        <f t="shared" si="2"/>
        <v>0</v>
      </c>
    </row>
    <row r="18" spans="1:11" x14ac:dyDescent="0.3">
      <c r="A18" s="2" t="s">
        <v>65</v>
      </c>
      <c r="B18" t="s">
        <v>116</v>
      </c>
      <c r="C18" t="s">
        <v>151</v>
      </c>
      <c r="D18" t="s">
        <v>172</v>
      </c>
      <c r="E18" t="s">
        <v>153</v>
      </c>
      <c r="F18" s="3" t="s">
        <v>224</v>
      </c>
      <c r="G18" t="s">
        <v>151</v>
      </c>
      <c r="H18" t="s">
        <v>153</v>
      </c>
      <c r="I18" t="b">
        <f t="shared" si="0"/>
        <v>1</v>
      </c>
      <c r="J18">
        <f t="shared" si="1"/>
        <v>1</v>
      </c>
      <c r="K18" t="b">
        <f t="shared" si="2"/>
        <v>0</v>
      </c>
    </row>
    <row r="19" spans="1:11" x14ac:dyDescent="0.3">
      <c r="A19" s="2" t="s">
        <v>66</v>
      </c>
      <c r="B19" t="s">
        <v>117</v>
      </c>
      <c r="C19" t="s">
        <v>151</v>
      </c>
      <c r="D19" t="s">
        <v>173</v>
      </c>
      <c r="E19" t="s">
        <v>153</v>
      </c>
      <c r="F19" s="3" t="s">
        <v>225</v>
      </c>
      <c r="G19" t="s">
        <v>151</v>
      </c>
      <c r="H19" t="s">
        <v>153</v>
      </c>
      <c r="I19" t="b">
        <f t="shared" si="0"/>
        <v>1</v>
      </c>
      <c r="J19">
        <f t="shared" si="1"/>
        <v>1</v>
      </c>
      <c r="K19" t="b">
        <f t="shared" si="2"/>
        <v>0</v>
      </c>
    </row>
    <row r="20" spans="1:11" x14ac:dyDescent="0.3">
      <c r="A20" s="2" t="s">
        <v>67</v>
      </c>
      <c r="B20" t="s">
        <v>118</v>
      </c>
      <c r="C20" t="s">
        <v>151</v>
      </c>
      <c r="D20" t="s">
        <v>174</v>
      </c>
      <c r="E20" t="s">
        <v>153</v>
      </c>
      <c r="F20" s="3" t="s">
        <v>226</v>
      </c>
      <c r="G20" t="s">
        <v>257</v>
      </c>
      <c r="H20" t="s">
        <v>154</v>
      </c>
      <c r="I20" t="b">
        <f t="shared" si="0"/>
        <v>0</v>
      </c>
      <c r="J20">
        <f t="shared" si="1"/>
        <v>0</v>
      </c>
      <c r="K20" t="b">
        <f t="shared" si="2"/>
        <v>0</v>
      </c>
    </row>
    <row r="21" spans="1:11" x14ac:dyDescent="0.3">
      <c r="A21" s="2" t="s">
        <v>68</v>
      </c>
      <c r="B21" t="s">
        <v>119</v>
      </c>
      <c r="C21" t="s">
        <v>152</v>
      </c>
      <c r="D21" t="s">
        <v>175</v>
      </c>
      <c r="E21" t="s">
        <v>154</v>
      </c>
      <c r="F21" s="3" t="s">
        <v>227</v>
      </c>
      <c r="G21" t="s">
        <v>152</v>
      </c>
      <c r="H21" t="s">
        <v>154</v>
      </c>
      <c r="I21" t="b">
        <f t="shared" si="0"/>
        <v>0</v>
      </c>
      <c r="J21">
        <f t="shared" si="1"/>
        <v>0</v>
      </c>
      <c r="K21" t="b">
        <f t="shared" si="2"/>
        <v>0</v>
      </c>
    </row>
    <row r="22" spans="1:11" x14ac:dyDescent="0.3">
      <c r="A22" s="2" t="s">
        <v>69</v>
      </c>
      <c r="B22" t="s">
        <v>120</v>
      </c>
      <c r="C22" t="s">
        <v>152</v>
      </c>
      <c r="D22" t="s">
        <v>176</v>
      </c>
      <c r="E22" t="s">
        <v>154</v>
      </c>
      <c r="F22" s="3" t="s">
        <v>228</v>
      </c>
      <c r="G22" t="s">
        <v>152</v>
      </c>
      <c r="H22" t="s">
        <v>154</v>
      </c>
      <c r="I22" t="b">
        <f t="shared" si="0"/>
        <v>0</v>
      </c>
      <c r="J22">
        <f t="shared" si="1"/>
        <v>0</v>
      </c>
      <c r="K22" t="b">
        <f t="shared" si="2"/>
        <v>0</v>
      </c>
    </row>
    <row r="23" spans="1:11" x14ac:dyDescent="0.3">
      <c r="A23" s="2" t="s">
        <v>70</v>
      </c>
      <c r="B23" t="s">
        <v>121</v>
      </c>
      <c r="C23" t="s">
        <v>152</v>
      </c>
      <c r="D23" t="s">
        <v>177</v>
      </c>
      <c r="E23" t="s">
        <v>154</v>
      </c>
      <c r="F23" s="3" t="s">
        <v>229</v>
      </c>
      <c r="G23" t="s">
        <v>152</v>
      </c>
      <c r="H23" t="s">
        <v>154</v>
      </c>
      <c r="I23" t="b">
        <f t="shared" si="0"/>
        <v>0</v>
      </c>
      <c r="J23">
        <f t="shared" si="1"/>
        <v>0</v>
      </c>
      <c r="K23" t="b">
        <f t="shared" si="2"/>
        <v>0</v>
      </c>
    </row>
    <row r="24" spans="1:11" x14ac:dyDescent="0.3">
      <c r="A24" s="2" t="s">
        <v>71</v>
      </c>
      <c r="B24" t="s">
        <v>122</v>
      </c>
      <c r="C24" t="s">
        <v>152</v>
      </c>
      <c r="D24" t="s">
        <v>178</v>
      </c>
      <c r="E24" t="s">
        <v>154</v>
      </c>
      <c r="F24" s="3" t="s">
        <v>230</v>
      </c>
      <c r="G24" t="s">
        <v>152</v>
      </c>
      <c r="H24" t="s">
        <v>154</v>
      </c>
      <c r="I24" t="b">
        <f t="shared" si="0"/>
        <v>0</v>
      </c>
      <c r="J24">
        <f t="shared" si="1"/>
        <v>0</v>
      </c>
      <c r="K24" t="b">
        <f t="shared" si="2"/>
        <v>0</v>
      </c>
    </row>
    <row r="25" spans="1:11" x14ac:dyDescent="0.3">
      <c r="A25" s="2" t="s">
        <v>72</v>
      </c>
      <c r="B25" t="s">
        <v>123</v>
      </c>
      <c r="C25" t="s">
        <v>151</v>
      </c>
      <c r="D25" t="s">
        <v>179</v>
      </c>
      <c r="E25" t="s">
        <v>153</v>
      </c>
      <c r="F25" s="3" t="s">
        <v>231</v>
      </c>
      <c r="G25" t="s">
        <v>151</v>
      </c>
      <c r="H25" t="s">
        <v>153</v>
      </c>
      <c r="I25" t="b">
        <f t="shared" si="0"/>
        <v>1</v>
      </c>
      <c r="J25">
        <f t="shared" si="1"/>
        <v>1</v>
      </c>
      <c r="K25" t="b">
        <f t="shared" si="2"/>
        <v>0</v>
      </c>
    </row>
    <row r="26" spans="1:11" x14ac:dyDescent="0.3">
      <c r="A26" s="2" t="s">
        <v>73</v>
      </c>
      <c r="B26" t="s">
        <v>124</v>
      </c>
      <c r="C26" t="s">
        <v>151</v>
      </c>
      <c r="D26" t="s">
        <v>180</v>
      </c>
      <c r="E26" t="s">
        <v>153</v>
      </c>
      <c r="F26" s="3" t="s">
        <v>232</v>
      </c>
      <c r="G26" t="s">
        <v>151</v>
      </c>
      <c r="H26" t="s">
        <v>153</v>
      </c>
      <c r="I26" t="b">
        <f t="shared" si="0"/>
        <v>1</v>
      </c>
      <c r="J26">
        <f t="shared" si="1"/>
        <v>1</v>
      </c>
      <c r="K26" t="b">
        <f t="shared" si="2"/>
        <v>0</v>
      </c>
    </row>
    <row r="27" spans="1:11" x14ac:dyDescent="0.3">
      <c r="A27" s="2" t="s">
        <v>74</v>
      </c>
      <c r="B27" t="s">
        <v>125</v>
      </c>
      <c r="C27" t="s">
        <v>151</v>
      </c>
      <c r="D27" t="s">
        <v>181</v>
      </c>
      <c r="E27" t="s">
        <v>153</v>
      </c>
      <c r="F27" s="3" t="s">
        <v>233</v>
      </c>
      <c r="G27" t="s">
        <v>152</v>
      </c>
      <c r="H27" t="s">
        <v>154</v>
      </c>
      <c r="I27" t="b">
        <f t="shared" si="0"/>
        <v>0</v>
      </c>
      <c r="J27">
        <f t="shared" si="1"/>
        <v>0</v>
      </c>
      <c r="K27" t="b">
        <f t="shared" si="2"/>
        <v>0</v>
      </c>
    </row>
    <row r="28" spans="1:11" x14ac:dyDescent="0.3">
      <c r="A28" s="2" t="s">
        <v>75</v>
      </c>
      <c r="B28" t="s">
        <v>126</v>
      </c>
      <c r="C28" t="s">
        <v>151</v>
      </c>
      <c r="D28" t="s">
        <v>182</v>
      </c>
      <c r="E28" t="s">
        <v>153</v>
      </c>
      <c r="F28" s="3" t="s">
        <v>234</v>
      </c>
      <c r="G28" t="s">
        <v>151</v>
      </c>
      <c r="H28" t="s">
        <v>153</v>
      </c>
      <c r="I28" t="b">
        <f t="shared" si="0"/>
        <v>1</v>
      </c>
      <c r="J28">
        <f t="shared" si="1"/>
        <v>1</v>
      </c>
      <c r="K28" t="b">
        <f t="shared" si="2"/>
        <v>0</v>
      </c>
    </row>
    <row r="29" spans="1:11" x14ac:dyDescent="0.3">
      <c r="A29" s="2" t="s">
        <v>76</v>
      </c>
      <c r="B29" t="s">
        <v>127</v>
      </c>
      <c r="C29" t="s">
        <v>152</v>
      </c>
      <c r="D29" t="s">
        <v>183</v>
      </c>
      <c r="E29" t="s">
        <v>154</v>
      </c>
      <c r="F29" s="3" t="s">
        <v>235</v>
      </c>
      <c r="G29" t="s">
        <v>152</v>
      </c>
      <c r="H29" t="s">
        <v>154</v>
      </c>
      <c r="I29" t="b">
        <f t="shared" si="0"/>
        <v>0</v>
      </c>
      <c r="J29">
        <f t="shared" si="1"/>
        <v>0</v>
      </c>
      <c r="K29" t="b">
        <f t="shared" si="2"/>
        <v>0</v>
      </c>
    </row>
    <row r="30" spans="1:11" x14ac:dyDescent="0.3">
      <c r="A30" s="2" t="s">
        <v>77</v>
      </c>
      <c r="B30" t="s">
        <v>128</v>
      </c>
      <c r="C30" t="s">
        <v>152</v>
      </c>
      <c r="D30" t="s">
        <v>184</v>
      </c>
      <c r="E30" t="s">
        <v>154</v>
      </c>
      <c r="F30" s="3" t="s">
        <v>236</v>
      </c>
      <c r="G30" t="s">
        <v>152</v>
      </c>
      <c r="H30" t="s">
        <v>154</v>
      </c>
      <c r="I30" t="b">
        <f t="shared" si="0"/>
        <v>0</v>
      </c>
      <c r="J30">
        <f t="shared" si="1"/>
        <v>0</v>
      </c>
      <c r="K30" t="b">
        <f t="shared" si="2"/>
        <v>0</v>
      </c>
    </row>
    <row r="31" spans="1:11" x14ac:dyDescent="0.3">
      <c r="A31" s="2" t="s">
        <v>78</v>
      </c>
      <c r="B31" t="s">
        <v>129</v>
      </c>
      <c r="C31" t="s">
        <v>152</v>
      </c>
      <c r="D31" t="s">
        <v>185</v>
      </c>
      <c r="E31" t="s">
        <v>154</v>
      </c>
      <c r="F31" s="3" t="s">
        <v>237</v>
      </c>
      <c r="G31" t="s">
        <v>152</v>
      </c>
      <c r="H31" t="s">
        <v>154</v>
      </c>
      <c r="I31" t="b">
        <f t="shared" si="0"/>
        <v>0</v>
      </c>
      <c r="J31">
        <f t="shared" si="1"/>
        <v>0</v>
      </c>
      <c r="K31" t="b">
        <f t="shared" si="2"/>
        <v>0</v>
      </c>
    </row>
    <row r="32" spans="1:11" x14ac:dyDescent="0.3">
      <c r="A32" s="2" t="s">
        <v>79</v>
      </c>
      <c r="B32" t="s">
        <v>130</v>
      </c>
      <c r="C32" t="s">
        <v>152</v>
      </c>
      <c r="D32" t="s">
        <v>186</v>
      </c>
      <c r="E32" t="s">
        <v>154</v>
      </c>
      <c r="F32" s="3" t="s">
        <v>238</v>
      </c>
      <c r="G32" t="s">
        <v>152</v>
      </c>
      <c r="H32" t="s">
        <v>154</v>
      </c>
      <c r="I32" t="b">
        <f t="shared" si="0"/>
        <v>0</v>
      </c>
      <c r="J32">
        <f t="shared" si="1"/>
        <v>0</v>
      </c>
      <c r="K32" t="b">
        <f t="shared" si="2"/>
        <v>0</v>
      </c>
    </row>
    <row r="33" spans="1:11" x14ac:dyDescent="0.3">
      <c r="A33" s="2" t="s">
        <v>80</v>
      </c>
      <c r="B33" t="s">
        <v>131</v>
      </c>
      <c r="C33" t="s">
        <v>152</v>
      </c>
      <c r="D33" t="s">
        <v>187</v>
      </c>
      <c r="E33" t="s">
        <v>154</v>
      </c>
      <c r="F33" s="3" t="s">
        <v>239</v>
      </c>
      <c r="G33" t="s">
        <v>152</v>
      </c>
      <c r="H33" t="s">
        <v>154</v>
      </c>
      <c r="I33" t="b">
        <f t="shared" si="0"/>
        <v>0</v>
      </c>
      <c r="J33">
        <f t="shared" si="1"/>
        <v>0</v>
      </c>
      <c r="K33" t="b">
        <f t="shared" si="2"/>
        <v>0</v>
      </c>
    </row>
    <row r="34" spans="1:11" x14ac:dyDescent="0.3">
      <c r="A34" s="2" t="s">
        <v>81</v>
      </c>
      <c r="B34" t="s">
        <v>132</v>
      </c>
      <c r="C34" t="s">
        <v>151</v>
      </c>
      <c r="D34" t="s">
        <v>188</v>
      </c>
      <c r="E34" t="s">
        <v>153</v>
      </c>
      <c r="F34" s="3" t="s">
        <v>240</v>
      </c>
      <c r="G34" t="s">
        <v>151</v>
      </c>
      <c r="H34" t="s">
        <v>155</v>
      </c>
      <c r="I34" t="b">
        <f t="shared" si="0"/>
        <v>1</v>
      </c>
      <c r="J34">
        <f t="shared" si="1"/>
        <v>1</v>
      </c>
      <c r="K34" t="b">
        <f t="shared" si="2"/>
        <v>0</v>
      </c>
    </row>
    <row r="35" spans="1:11" x14ac:dyDescent="0.3">
      <c r="A35" s="2" t="s">
        <v>82</v>
      </c>
      <c r="B35" t="s">
        <v>133</v>
      </c>
      <c r="C35" t="s">
        <v>151</v>
      </c>
      <c r="D35" t="s">
        <v>189</v>
      </c>
      <c r="E35" t="s">
        <v>153</v>
      </c>
      <c r="F35" s="3" t="s">
        <v>241</v>
      </c>
      <c r="G35" t="s">
        <v>151</v>
      </c>
      <c r="H35" t="s">
        <v>153</v>
      </c>
      <c r="I35" t="b">
        <f t="shared" si="0"/>
        <v>1</v>
      </c>
      <c r="J35">
        <f t="shared" si="1"/>
        <v>1</v>
      </c>
      <c r="K35" t="b">
        <f t="shared" si="2"/>
        <v>0</v>
      </c>
    </row>
    <row r="36" spans="1:11" x14ac:dyDescent="0.3">
      <c r="A36" s="2" t="s">
        <v>83</v>
      </c>
      <c r="B36" t="s">
        <v>134</v>
      </c>
      <c r="C36" t="s">
        <v>152</v>
      </c>
      <c r="D36" t="s">
        <v>190</v>
      </c>
      <c r="E36" t="s">
        <v>154</v>
      </c>
      <c r="F36" s="3" t="s">
        <v>242</v>
      </c>
      <c r="G36" t="s">
        <v>151</v>
      </c>
      <c r="H36" t="s">
        <v>155</v>
      </c>
      <c r="I36" t="b">
        <f t="shared" si="0"/>
        <v>0</v>
      </c>
      <c r="J36">
        <f t="shared" si="1"/>
        <v>0</v>
      </c>
      <c r="K36" t="b">
        <f t="shared" si="2"/>
        <v>0</v>
      </c>
    </row>
    <row r="37" spans="1:11" x14ac:dyDescent="0.3">
      <c r="A37" s="2" t="s">
        <v>84</v>
      </c>
      <c r="B37" t="s">
        <v>135</v>
      </c>
      <c r="C37" t="s">
        <v>151</v>
      </c>
      <c r="D37" t="s">
        <v>191</v>
      </c>
      <c r="E37" t="s">
        <v>153</v>
      </c>
      <c r="F37" s="3" t="s">
        <v>243</v>
      </c>
      <c r="G37" t="s">
        <v>151</v>
      </c>
      <c r="H37" t="s">
        <v>153</v>
      </c>
      <c r="I37" t="b">
        <f t="shared" si="0"/>
        <v>1</v>
      </c>
      <c r="J37">
        <f t="shared" si="1"/>
        <v>1</v>
      </c>
      <c r="K37" t="b">
        <f t="shared" si="2"/>
        <v>0</v>
      </c>
    </row>
    <row r="38" spans="1:11" x14ac:dyDescent="0.3">
      <c r="A38" s="2" t="s">
        <v>85</v>
      </c>
      <c r="B38" t="s">
        <v>136</v>
      </c>
      <c r="C38" t="s">
        <v>152</v>
      </c>
      <c r="D38" t="s">
        <v>192</v>
      </c>
      <c r="E38" t="s">
        <v>154</v>
      </c>
      <c r="F38" s="3" t="s">
        <v>244</v>
      </c>
      <c r="G38" t="s">
        <v>152</v>
      </c>
      <c r="H38" t="s">
        <v>154</v>
      </c>
      <c r="I38" t="b">
        <f t="shared" si="0"/>
        <v>0</v>
      </c>
      <c r="J38">
        <f t="shared" si="1"/>
        <v>0</v>
      </c>
      <c r="K38" t="b">
        <f t="shared" si="2"/>
        <v>0</v>
      </c>
    </row>
    <row r="39" spans="1:11" x14ac:dyDescent="0.3">
      <c r="A39" s="2" t="s">
        <v>86</v>
      </c>
      <c r="B39" t="s">
        <v>137</v>
      </c>
      <c r="C39" t="s">
        <v>152</v>
      </c>
      <c r="D39" t="s">
        <v>193</v>
      </c>
      <c r="E39" t="s">
        <v>154</v>
      </c>
      <c r="F39" s="3" t="s">
        <v>245</v>
      </c>
      <c r="G39" t="s">
        <v>151</v>
      </c>
      <c r="H39" t="s">
        <v>153</v>
      </c>
      <c r="I39" t="b">
        <f t="shared" si="0"/>
        <v>0</v>
      </c>
      <c r="J39">
        <f t="shared" si="1"/>
        <v>0</v>
      </c>
      <c r="K39" t="b">
        <f t="shared" si="2"/>
        <v>0</v>
      </c>
    </row>
    <row r="40" spans="1:11" x14ac:dyDescent="0.3">
      <c r="A40" s="2" t="s">
        <v>87</v>
      </c>
      <c r="B40" t="s">
        <v>138</v>
      </c>
      <c r="C40" t="s">
        <v>152</v>
      </c>
      <c r="D40" t="s">
        <v>194</v>
      </c>
      <c r="E40" t="s">
        <v>154</v>
      </c>
      <c r="F40" s="3" t="s">
        <v>246</v>
      </c>
      <c r="G40" t="s">
        <v>152</v>
      </c>
      <c r="H40" t="s">
        <v>154</v>
      </c>
      <c r="I40" t="b">
        <f t="shared" si="0"/>
        <v>0</v>
      </c>
      <c r="J40">
        <f t="shared" si="1"/>
        <v>0</v>
      </c>
      <c r="K40" t="b">
        <f t="shared" si="2"/>
        <v>0</v>
      </c>
    </row>
    <row r="41" spans="1:11" x14ac:dyDescent="0.3">
      <c r="A41" s="2" t="s">
        <v>88</v>
      </c>
      <c r="B41" t="s">
        <v>139</v>
      </c>
      <c r="C41" t="s">
        <v>151</v>
      </c>
      <c r="D41" t="s">
        <v>195</v>
      </c>
      <c r="E41" t="s">
        <v>153</v>
      </c>
      <c r="F41" s="3" t="s">
        <v>216</v>
      </c>
      <c r="G41" t="s">
        <v>151</v>
      </c>
      <c r="H41" t="s">
        <v>153</v>
      </c>
      <c r="I41" t="b">
        <f t="shared" si="0"/>
        <v>1</v>
      </c>
      <c r="J41">
        <f t="shared" si="1"/>
        <v>1</v>
      </c>
      <c r="K41" t="b">
        <f t="shared" si="2"/>
        <v>0</v>
      </c>
    </row>
    <row r="42" spans="1:11" x14ac:dyDescent="0.3">
      <c r="A42" s="2" t="s">
        <v>89</v>
      </c>
      <c r="B42" t="s">
        <v>140</v>
      </c>
      <c r="C42" t="s">
        <v>151</v>
      </c>
      <c r="D42" t="s">
        <v>196</v>
      </c>
      <c r="E42" t="s">
        <v>155</v>
      </c>
      <c r="F42" s="3" t="s">
        <v>247</v>
      </c>
      <c r="G42" t="s">
        <v>151</v>
      </c>
      <c r="H42" t="s">
        <v>153</v>
      </c>
      <c r="I42" t="b">
        <f t="shared" si="0"/>
        <v>1</v>
      </c>
      <c r="J42">
        <f t="shared" si="1"/>
        <v>1</v>
      </c>
      <c r="K42" t="b">
        <f t="shared" si="2"/>
        <v>0</v>
      </c>
    </row>
    <row r="43" spans="1:11" x14ac:dyDescent="0.3">
      <c r="A43" s="2" t="s">
        <v>90</v>
      </c>
      <c r="B43" t="s">
        <v>141</v>
      </c>
      <c r="C43" t="s">
        <v>151</v>
      </c>
      <c r="D43" t="s">
        <v>197</v>
      </c>
      <c r="E43" t="s">
        <v>153</v>
      </c>
      <c r="F43" s="3" t="s">
        <v>248</v>
      </c>
      <c r="G43" t="s">
        <v>151</v>
      </c>
      <c r="H43" t="s">
        <v>153</v>
      </c>
      <c r="I43" t="b">
        <f t="shared" si="0"/>
        <v>1</v>
      </c>
      <c r="J43">
        <f t="shared" si="1"/>
        <v>1</v>
      </c>
      <c r="K43" t="b">
        <f t="shared" si="2"/>
        <v>0</v>
      </c>
    </row>
    <row r="44" spans="1:11" x14ac:dyDescent="0.3">
      <c r="A44" s="2" t="s">
        <v>91</v>
      </c>
      <c r="B44" t="s">
        <v>142</v>
      </c>
      <c r="C44" t="s">
        <v>151</v>
      </c>
      <c r="D44" t="s">
        <v>198</v>
      </c>
      <c r="E44" t="s">
        <v>153</v>
      </c>
      <c r="F44" s="3" t="s">
        <v>249</v>
      </c>
      <c r="G44" t="s">
        <v>151</v>
      </c>
      <c r="H44" t="s">
        <v>153</v>
      </c>
      <c r="I44" t="b">
        <f t="shared" si="0"/>
        <v>1</v>
      </c>
      <c r="J44">
        <f t="shared" si="1"/>
        <v>1</v>
      </c>
      <c r="K44" t="b">
        <f t="shared" si="2"/>
        <v>0</v>
      </c>
    </row>
    <row r="45" spans="1:11" x14ac:dyDescent="0.3">
      <c r="A45" s="2" t="s">
        <v>92</v>
      </c>
      <c r="B45" t="s">
        <v>143</v>
      </c>
      <c r="C45" t="s">
        <v>151</v>
      </c>
      <c r="D45" t="s">
        <v>199</v>
      </c>
      <c r="E45" t="s">
        <v>153</v>
      </c>
      <c r="F45" s="3" t="s">
        <v>250</v>
      </c>
      <c r="G45" t="s">
        <v>151</v>
      </c>
      <c r="H45" t="s">
        <v>153</v>
      </c>
      <c r="I45" t="b">
        <f t="shared" si="0"/>
        <v>1</v>
      </c>
      <c r="J45">
        <f t="shared" si="1"/>
        <v>1</v>
      </c>
      <c r="K45" t="b">
        <f t="shared" si="2"/>
        <v>0</v>
      </c>
    </row>
    <row r="46" spans="1:11" x14ac:dyDescent="0.3">
      <c r="A46" s="2" t="s">
        <v>93</v>
      </c>
      <c r="B46" t="s">
        <v>144</v>
      </c>
      <c r="C46" t="s">
        <v>152</v>
      </c>
      <c r="D46" t="s">
        <v>200</v>
      </c>
      <c r="E46" t="s">
        <v>154</v>
      </c>
      <c r="F46" s="3" t="s">
        <v>251</v>
      </c>
      <c r="G46" t="s">
        <v>257</v>
      </c>
      <c r="H46" t="s">
        <v>155</v>
      </c>
      <c r="I46" t="b">
        <f t="shared" si="0"/>
        <v>0</v>
      </c>
      <c r="J46">
        <f t="shared" si="1"/>
        <v>0</v>
      </c>
      <c r="K46" t="b">
        <f t="shared" si="2"/>
        <v>0</v>
      </c>
    </row>
    <row r="47" spans="1:11" x14ac:dyDescent="0.3">
      <c r="A47" s="2" t="s">
        <v>94</v>
      </c>
      <c r="B47" t="s">
        <v>145</v>
      </c>
      <c r="C47" t="s">
        <v>152</v>
      </c>
      <c r="D47" t="s">
        <v>201</v>
      </c>
      <c r="E47" t="s">
        <v>154</v>
      </c>
      <c r="F47" s="3" t="s">
        <v>252</v>
      </c>
      <c r="G47" t="s">
        <v>152</v>
      </c>
      <c r="H47" t="s">
        <v>154</v>
      </c>
      <c r="I47" t="b">
        <f t="shared" si="0"/>
        <v>0</v>
      </c>
      <c r="J47">
        <f t="shared" si="1"/>
        <v>0</v>
      </c>
      <c r="K47" t="b">
        <f t="shared" si="2"/>
        <v>0</v>
      </c>
    </row>
    <row r="48" spans="1:11" x14ac:dyDescent="0.3">
      <c r="A48" s="2" t="s">
        <v>95</v>
      </c>
      <c r="B48" t="s">
        <v>146</v>
      </c>
      <c r="C48" t="s">
        <v>152</v>
      </c>
      <c r="D48" t="s">
        <v>202</v>
      </c>
      <c r="E48" t="s">
        <v>154</v>
      </c>
      <c r="F48" s="3" t="s">
        <v>253</v>
      </c>
      <c r="G48" t="s">
        <v>152</v>
      </c>
      <c r="H48" t="s">
        <v>154</v>
      </c>
      <c r="I48" t="b">
        <f t="shared" si="0"/>
        <v>0</v>
      </c>
      <c r="J48">
        <f t="shared" si="1"/>
        <v>0</v>
      </c>
      <c r="K48" t="b">
        <f t="shared" si="2"/>
        <v>0</v>
      </c>
    </row>
    <row r="49" spans="1:11" x14ac:dyDescent="0.3">
      <c r="A49" s="2" t="s">
        <v>96</v>
      </c>
      <c r="B49" t="s">
        <v>147</v>
      </c>
      <c r="C49" t="s">
        <v>151</v>
      </c>
      <c r="D49" t="s">
        <v>203</v>
      </c>
      <c r="E49" t="s">
        <v>153</v>
      </c>
      <c r="F49" s="3" t="s">
        <v>254</v>
      </c>
      <c r="G49" t="s">
        <v>152</v>
      </c>
      <c r="H49" t="s">
        <v>154</v>
      </c>
      <c r="I49" t="b">
        <f t="shared" si="0"/>
        <v>0</v>
      </c>
      <c r="J49">
        <f t="shared" si="1"/>
        <v>0</v>
      </c>
      <c r="K49" t="b">
        <f t="shared" si="2"/>
        <v>0</v>
      </c>
    </row>
    <row r="50" spans="1:11" x14ac:dyDescent="0.3">
      <c r="A50" s="2" t="s">
        <v>97</v>
      </c>
      <c r="B50" t="s">
        <v>148</v>
      </c>
      <c r="C50" t="s">
        <v>152</v>
      </c>
      <c r="D50" t="s">
        <v>204</v>
      </c>
      <c r="E50" t="s">
        <v>154</v>
      </c>
      <c r="F50" s="3" t="s">
        <v>255</v>
      </c>
      <c r="G50" t="s">
        <v>151</v>
      </c>
      <c r="H50" t="s">
        <v>153</v>
      </c>
      <c r="I50" t="b">
        <f t="shared" si="0"/>
        <v>0</v>
      </c>
      <c r="J50">
        <f t="shared" si="1"/>
        <v>0</v>
      </c>
      <c r="K50" t="b">
        <f t="shared" si="2"/>
        <v>0</v>
      </c>
    </row>
    <row r="51" spans="1:11" x14ac:dyDescent="0.3">
      <c r="A51" s="2" t="s">
        <v>98</v>
      </c>
      <c r="B51" t="s">
        <v>149</v>
      </c>
      <c r="C51" t="s">
        <v>151</v>
      </c>
      <c r="D51" t="s">
        <v>205</v>
      </c>
      <c r="E51" t="s">
        <v>153</v>
      </c>
      <c r="F51" s="3" t="s">
        <v>256</v>
      </c>
      <c r="G51" t="s">
        <v>151</v>
      </c>
      <c r="H51" t="s">
        <v>153</v>
      </c>
      <c r="I51" t="b">
        <f t="shared" si="0"/>
        <v>1</v>
      </c>
      <c r="J51">
        <f t="shared" si="1"/>
        <v>1</v>
      </c>
      <c r="K51" t="b">
        <f t="shared" si="2"/>
        <v>0</v>
      </c>
    </row>
    <row r="52" spans="1:11" x14ac:dyDescent="0.3">
      <c r="A52" s="3"/>
      <c r="B52" s="3"/>
    </row>
    <row r="54" spans="1:11" x14ac:dyDescent="0.3">
      <c r="A54" s="3"/>
      <c r="B54" s="3"/>
    </row>
    <row r="56" spans="1:11" x14ac:dyDescent="0.3">
      <c r="A56" s="3"/>
      <c r="B56" s="3"/>
    </row>
    <row r="58" spans="1:11" x14ac:dyDescent="0.3">
      <c r="A58" s="3"/>
      <c r="B58" s="3"/>
    </row>
    <row r="60" spans="1:11" x14ac:dyDescent="0.3">
      <c r="A60" s="3"/>
      <c r="B60" s="3"/>
    </row>
    <row r="62" spans="1:11" x14ac:dyDescent="0.3">
      <c r="A62" s="3"/>
      <c r="B62" s="3"/>
    </row>
    <row r="64" spans="1:11" x14ac:dyDescent="0.3">
      <c r="A64" s="3"/>
      <c r="B64" s="3"/>
    </row>
    <row r="66" spans="1:2" x14ac:dyDescent="0.3">
      <c r="A66" s="3"/>
      <c r="B66" s="3"/>
    </row>
    <row r="68" spans="1:2" x14ac:dyDescent="0.3">
      <c r="A68" s="3"/>
      <c r="B68" s="3"/>
    </row>
    <row r="70" spans="1:2" x14ac:dyDescent="0.3">
      <c r="A70" s="3"/>
      <c r="B70" s="3"/>
    </row>
    <row r="72" spans="1:2" x14ac:dyDescent="0.3">
      <c r="A72" s="3"/>
      <c r="B72" s="3"/>
    </row>
    <row r="74" spans="1:2" x14ac:dyDescent="0.3">
      <c r="A74" s="3"/>
      <c r="B74" s="3"/>
    </row>
    <row r="76" spans="1:2" x14ac:dyDescent="0.3">
      <c r="A76" s="3"/>
      <c r="B76" s="3"/>
    </row>
    <row r="78" spans="1:2" x14ac:dyDescent="0.3">
      <c r="A78" s="3"/>
      <c r="B78" s="3"/>
    </row>
    <row r="80" spans="1:2" x14ac:dyDescent="0.3">
      <c r="A80" s="3"/>
      <c r="B80" s="3"/>
    </row>
    <row r="82" spans="1:2" x14ac:dyDescent="0.3">
      <c r="A82" s="3"/>
      <c r="B82" s="3"/>
    </row>
    <row r="84" spans="1:2" x14ac:dyDescent="0.3">
      <c r="A84" s="3"/>
      <c r="B84" s="3"/>
    </row>
    <row r="86" spans="1:2" x14ac:dyDescent="0.3">
      <c r="A86" s="3"/>
      <c r="B86" s="3"/>
    </row>
    <row r="88" spans="1:2" x14ac:dyDescent="0.3">
      <c r="A88" s="3"/>
      <c r="B88" s="3"/>
    </row>
    <row r="90" spans="1:2" x14ac:dyDescent="0.3">
      <c r="A90" s="3"/>
      <c r="B90" s="3"/>
    </row>
    <row r="92" spans="1:2" x14ac:dyDescent="0.3">
      <c r="A92" s="3"/>
      <c r="B92" s="3"/>
    </row>
    <row r="94" spans="1:2" x14ac:dyDescent="0.3">
      <c r="A94" s="3"/>
      <c r="B94" s="3"/>
    </row>
    <row r="96" spans="1:2" x14ac:dyDescent="0.3">
      <c r="A96" s="3"/>
      <c r="B96" s="3"/>
    </row>
    <row r="98" spans="1:2" x14ac:dyDescent="0.3">
      <c r="A98" s="3"/>
      <c r="B98" s="3"/>
    </row>
    <row r="100" spans="1:2" x14ac:dyDescent="0.3">
      <c r="A100" s="3"/>
      <c r="B100" s="3"/>
    </row>
    <row r="102" spans="1:2" x14ac:dyDescent="0.3">
      <c r="A102" s="3"/>
      <c r="B102" s="3"/>
    </row>
    <row r="104" spans="1:2" x14ac:dyDescent="0.3">
      <c r="A104" s="3"/>
      <c r="B104" s="3"/>
    </row>
    <row r="106" spans="1:2" x14ac:dyDescent="0.3">
      <c r="A106" s="3"/>
      <c r="B106" s="3"/>
    </row>
    <row r="108" spans="1:2" x14ac:dyDescent="0.3">
      <c r="A108" s="3"/>
      <c r="B108" s="3"/>
    </row>
    <row r="110" spans="1:2" x14ac:dyDescent="0.3">
      <c r="A110" s="3"/>
      <c r="B110" s="3"/>
    </row>
    <row r="112" spans="1:2" x14ac:dyDescent="0.3">
      <c r="A112" s="3"/>
      <c r="B112" s="3"/>
    </row>
    <row r="114" spans="1:2" x14ac:dyDescent="0.3">
      <c r="A114" s="3"/>
      <c r="B114" s="3"/>
    </row>
    <row r="116" spans="1:2" x14ac:dyDescent="0.3">
      <c r="A116" s="3"/>
      <c r="B116" s="3"/>
    </row>
    <row r="118" spans="1:2" x14ac:dyDescent="0.3">
      <c r="A118" s="3"/>
      <c r="B118" s="3"/>
    </row>
    <row r="120" spans="1:2" x14ac:dyDescent="0.3">
      <c r="A120" s="3"/>
      <c r="B120" s="3"/>
    </row>
    <row r="122" spans="1:2" x14ac:dyDescent="0.3">
      <c r="A122" s="3"/>
      <c r="B122" s="3"/>
    </row>
    <row r="124" spans="1:2" x14ac:dyDescent="0.3">
      <c r="A124" s="3"/>
      <c r="B124" s="3"/>
    </row>
    <row r="126" spans="1:2" x14ac:dyDescent="0.3">
      <c r="A126" s="3"/>
      <c r="B126" s="3"/>
    </row>
    <row r="128" spans="1:2" x14ac:dyDescent="0.3">
      <c r="A128" s="3"/>
      <c r="B128" s="3"/>
    </row>
    <row r="130" spans="1:2" x14ac:dyDescent="0.3">
      <c r="A130" s="3"/>
      <c r="B130" s="3"/>
    </row>
    <row r="132" spans="1:2" x14ac:dyDescent="0.3">
      <c r="A132" s="3"/>
      <c r="B132" s="3"/>
    </row>
    <row r="134" spans="1:2" x14ac:dyDescent="0.3">
      <c r="A134" s="3"/>
      <c r="B134" s="3"/>
    </row>
    <row r="136" spans="1:2" x14ac:dyDescent="0.3">
      <c r="A136" s="3"/>
      <c r="B136" s="3"/>
    </row>
    <row r="138" spans="1:2" x14ac:dyDescent="0.3">
      <c r="A138" s="3"/>
      <c r="B138" s="3"/>
    </row>
    <row r="140" spans="1:2" x14ac:dyDescent="0.3">
      <c r="A140" s="3"/>
      <c r="B140" s="3"/>
    </row>
    <row r="142" spans="1:2" x14ac:dyDescent="0.3">
      <c r="A142" s="3"/>
      <c r="B142" s="3"/>
    </row>
    <row r="144" spans="1:2" x14ac:dyDescent="0.3">
      <c r="A144" s="3"/>
      <c r="B144" s="3"/>
    </row>
    <row r="146" spans="1:2" x14ac:dyDescent="0.3">
      <c r="A146" s="3"/>
      <c r="B146" s="3"/>
    </row>
    <row r="148" spans="1:2" x14ac:dyDescent="0.3">
      <c r="A148" s="3"/>
      <c r="B148" s="3"/>
    </row>
    <row r="150" spans="1:2" x14ac:dyDescent="0.3">
      <c r="A150" s="3"/>
      <c r="B150" s="3"/>
    </row>
    <row r="152" spans="1:2" x14ac:dyDescent="0.3">
      <c r="A152" s="3"/>
      <c r="B152" s="3"/>
    </row>
    <row r="154" spans="1:2" x14ac:dyDescent="0.3">
      <c r="A154" s="3"/>
      <c r="B154" s="3"/>
    </row>
    <row r="156" spans="1:2" x14ac:dyDescent="0.3">
      <c r="A156" s="3"/>
      <c r="B156" s="3"/>
    </row>
    <row r="158" spans="1:2" x14ac:dyDescent="0.3">
      <c r="A158" s="3"/>
      <c r="B158" s="3"/>
    </row>
    <row r="160" spans="1:2" x14ac:dyDescent="0.3">
      <c r="A160" s="3"/>
      <c r="B160" s="3"/>
    </row>
    <row r="162" spans="1:2" x14ac:dyDescent="0.3">
      <c r="A162" s="3"/>
      <c r="B162" s="3"/>
    </row>
    <row r="164" spans="1:2" x14ac:dyDescent="0.3">
      <c r="A164" s="3"/>
      <c r="B164" s="3"/>
    </row>
    <row r="166" spans="1:2" x14ac:dyDescent="0.3">
      <c r="A166" s="3"/>
      <c r="B166" s="3"/>
    </row>
    <row r="168" spans="1:2" x14ac:dyDescent="0.3">
      <c r="A168" s="3"/>
      <c r="B168" s="3"/>
    </row>
    <row r="170" spans="1:2" x14ac:dyDescent="0.3">
      <c r="A170" s="3"/>
      <c r="B170" s="3"/>
    </row>
    <row r="172" spans="1:2" x14ac:dyDescent="0.3">
      <c r="A172" s="3"/>
      <c r="B172" s="3"/>
    </row>
    <row r="174" spans="1:2" x14ac:dyDescent="0.3">
      <c r="A174" s="3"/>
      <c r="B174" s="3"/>
    </row>
    <row r="176" spans="1:2" x14ac:dyDescent="0.3">
      <c r="A176" s="3"/>
      <c r="B176" s="3"/>
    </row>
    <row r="178" spans="1:2" x14ac:dyDescent="0.3">
      <c r="A178" s="3"/>
      <c r="B178" s="3"/>
    </row>
    <row r="180" spans="1:2" x14ac:dyDescent="0.3">
      <c r="A180" s="3"/>
      <c r="B180" s="3"/>
    </row>
    <row r="182" spans="1:2" x14ac:dyDescent="0.3">
      <c r="A182" s="3"/>
      <c r="B182" s="3"/>
    </row>
    <row r="184" spans="1:2" x14ac:dyDescent="0.3">
      <c r="A184" s="3"/>
      <c r="B184" s="3"/>
    </row>
    <row r="186" spans="1:2" x14ac:dyDescent="0.3">
      <c r="A186" s="3"/>
      <c r="B186" s="3"/>
    </row>
    <row r="188" spans="1:2" x14ac:dyDescent="0.3">
      <c r="A188" s="3"/>
      <c r="B188" s="3"/>
    </row>
    <row r="190" spans="1:2" x14ac:dyDescent="0.3">
      <c r="A190" s="3"/>
      <c r="B190" s="3"/>
    </row>
    <row r="192" spans="1:2" x14ac:dyDescent="0.3">
      <c r="A192" s="3"/>
      <c r="B192" s="3"/>
    </row>
    <row r="194" spans="1:2" x14ac:dyDescent="0.3">
      <c r="A194" s="3"/>
      <c r="B194" s="3"/>
    </row>
    <row r="196" spans="1:2" x14ac:dyDescent="0.3">
      <c r="A196" s="3"/>
      <c r="B196" s="3"/>
    </row>
    <row r="198" spans="1:2" x14ac:dyDescent="0.3">
      <c r="A198" s="3"/>
      <c r="B198" s="3"/>
    </row>
    <row r="200" spans="1:2" x14ac:dyDescent="0.3">
      <c r="A200" s="3"/>
      <c r="B200" s="3"/>
    </row>
    <row r="202" spans="1:2" x14ac:dyDescent="0.3">
      <c r="A202" s="3"/>
      <c r="B202" s="3"/>
    </row>
    <row r="204" spans="1:2" x14ac:dyDescent="0.3">
      <c r="A204" s="3"/>
      <c r="B204" s="3"/>
    </row>
    <row r="206" spans="1:2" x14ac:dyDescent="0.3">
      <c r="A206" s="3"/>
      <c r="B206" s="3"/>
    </row>
    <row r="208" spans="1:2" x14ac:dyDescent="0.3">
      <c r="A208" s="3"/>
      <c r="B208" s="3"/>
    </row>
    <row r="210" spans="1:2" x14ac:dyDescent="0.3">
      <c r="A210" s="3"/>
      <c r="B210" s="3"/>
    </row>
    <row r="212" spans="1:2" x14ac:dyDescent="0.3">
      <c r="A212" s="3"/>
      <c r="B212" s="3"/>
    </row>
    <row r="214" spans="1:2" x14ac:dyDescent="0.3">
      <c r="A214" s="3"/>
      <c r="B214" s="3"/>
    </row>
    <row r="216" spans="1:2" x14ac:dyDescent="0.3">
      <c r="A216" s="3"/>
      <c r="B216" s="3"/>
    </row>
    <row r="218" spans="1:2" x14ac:dyDescent="0.3">
      <c r="A218" s="3"/>
      <c r="B218" s="3"/>
    </row>
    <row r="220" spans="1:2" x14ac:dyDescent="0.3">
      <c r="A220" s="3"/>
      <c r="B220" s="3"/>
    </row>
    <row r="222" spans="1:2" x14ac:dyDescent="0.3">
      <c r="A222" s="3"/>
      <c r="B222" s="3"/>
    </row>
    <row r="224" spans="1:2" x14ac:dyDescent="0.3">
      <c r="A224" s="3"/>
      <c r="B224" s="3"/>
    </row>
    <row r="226" spans="1:2" x14ac:dyDescent="0.3">
      <c r="A226" s="3"/>
      <c r="B226" s="3"/>
    </row>
    <row r="228" spans="1:2" x14ac:dyDescent="0.3">
      <c r="A228" s="3"/>
      <c r="B228" s="3"/>
    </row>
    <row r="230" spans="1:2" x14ac:dyDescent="0.3">
      <c r="A230" s="3"/>
      <c r="B230" s="3"/>
    </row>
    <row r="232" spans="1:2" x14ac:dyDescent="0.3">
      <c r="A232" s="3"/>
      <c r="B232" s="3"/>
    </row>
    <row r="234" spans="1:2" x14ac:dyDescent="0.3">
      <c r="A234" s="3"/>
      <c r="B234" s="3"/>
    </row>
    <row r="236" spans="1:2" x14ac:dyDescent="0.3">
      <c r="A236" s="3"/>
      <c r="B236" s="3"/>
    </row>
    <row r="238" spans="1:2" x14ac:dyDescent="0.3">
      <c r="A238" s="3"/>
      <c r="B238" s="3"/>
    </row>
    <row r="240" spans="1:2" x14ac:dyDescent="0.3">
      <c r="A240" s="3"/>
      <c r="B240" s="3"/>
    </row>
    <row r="242" spans="1:2" x14ac:dyDescent="0.3">
      <c r="A242" s="3"/>
      <c r="B242" s="3"/>
    </row>
    <row r="244" spans="1:2" x14ac:dyDescent="0.3">
      <c r="A244" s="3"/>
      <c r="B244" s="3"/>
    </row>
    <row r="246" spans="1:2" x14ac:dyDescent="0.3">
      <c r="A246" s="3"/>
      <c r="B246" s="3"/>
    </row>
    <row r="248" spans="1:2" x14ac:dyDescent="0.3">
      <c r="A248" s="3"/>
      <c r="B248" s="3"/>
    </row>
    <row r="250" spans="1:2" x14ac:dyDescent="0.3">
      <c r="A250" s="3"/>
      <c r="B250" s="3"/>
    </row>
    <row r="252" spans="1:2" x14ac:dyDescent="0.3">
      <c r="A252" s="3"/>
      <c r="B252" s="3"/>
    </row>
    <row r="254" spans="1:2" x14ac:dyDescent="0.3">
      <c r="A254" s="3"/>
      <c r="B254" s="3"/>
    </row>
    <row r="256" spans="1:2" x14ac:dyDescent="0.3">
      <c r="A256" s="3"/>
      <c r="B256" s="3"/>
    </row>
    <row r="258" spans="1:2" x14ac:dyDescent="0.3">
      <c r="A258" s="3"/>
      <c r="B258" s="3"/>
    </row>
    <row r="260" spans="1:2" x14ac:dyDescent="0.3">
      <c r="A260" s="3"/>
      <c r="B260" s="3"/>
    </row>
    <row r="262" spans="1:2" x14ac:dyDescent="0.3">
      <c r="A262" s="3"/>
      <c r="B262" s="3"/>
    </row>
    <row r="264" spans="1:2" x14ac:dyDescent="0.3">
      <c r="A264" s="3"/>
      <c r="B264" s="3"/>
    </row>
    <row r="266" spans="1:2" x14ac:dyDescent="0.3">
      <c r="A266" s="3"/>
      <c r="B266" s="3"/>
    </row>
    <row r="268" spans="1:2" x14ac:dyDescent="0.3">
      <c r="A268" s="3"/>
      <c r="B268" s="3"/>
    </row>
    <row r="270" spans="1:2" x14ac:dyDescent="0.3">
      <c r="A270" s="3"/>
      <c r="B270" s="3"/>
    </row>
    <row r="272" spans="1:2" x14ac:dyDescent="0.3">
      <c r="A272" s="3"/>
      <c r="B272" s="3"/>
    </row>
    <row r="274" spans="1:2" x14ac:dyDescent="0.3">
      <c r="A274" s="3"/>
      <c r="B274" s="3"/>
    </row>
    <row r="276" spans="1:2" x14ac:dyDescent="0.3">
      <c r="A276" s="3"/>
      <c r="B276" s="3"/>
    </row>
    <row r="278" spans="1:2" x14ac:dyDescent="0.3">
      <c r="A278" s="3"/>
      <c r="B278" s="3"/>
    </row>
    <row r="280" spans="1:2" x14ac:dyDescent="0.3">
      <c r="A280" s="3"/>
      <c r="B280" s="3"/>
    </row>
    <row r="282" spans="1:2" x14ac:dyDescent="0.3">
      <c r="A282" s="3"/>
      <c r="B282" s="3"/>
    </row>
    <row r="284" spans="1:2" x14ac:dyDescent="0.3">
      <c r="A284" s="3"/>
      <c r="B284" s="3"/>
    </row>
  </sheetData>
  <autoFilter ref="A1:K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Senator-List</vt:lpstr>
      <vt:lpstr>Grouped-by-Vote-Position</vt:lpstr>
      <vt:lpstr>Grouped-by-Home-state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2023-11-10T05:29:48Z</dcterms:created>
  <dcterms:modified xsi:type="dcterms:W3CDTF">2023-11-10T15:43:00Z</dcterms:modified>
</cp:coreProperties>
</file>