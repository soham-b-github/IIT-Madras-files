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oham_Bhattacharya\0_IIT_Madras\2_Diploma\Sept22_Term\0_BDM_Assignments\"/>
    </mc:Choice>
  </mc:AlternateContent>
  <bookViews>
    <workbookView xWindow="0" yWindow="0" windowWidth="23040" windowHeight="9780" tabRatio="954"/>
  </bookViews>
  <sheets>
    <sheet name="SKU Master" sheetId="1" r:id="rId1"/>
    <sheet name="Open STK" sheetId="2" r:id="rId2"/>
    <sheet name="Open STK Sorted" sheetId="6" r:id="rId3"/>
    <sheet name="Stock Transfer" sheetId="3" r:id="rId4"/>
    <sheet name="Pivot Table" sheetId="7" r:id="rId5"/>
    <sheet name="Madras Ledger" sheetId="8" r:id="rId6"/>
    <sheet name="Madras Sales" sheetId="10" r:id="rId7"/>
    <sheet name="Revenue Pareto" sheetId="12" r:id="rId8"/>
    <sheet name="Volume Analysis" sheetId="14" r:id="rId9"/>
    <sheet name="Rev_Vol" sheetId="15" r:id="rId10"/>
    <sheet name="Daily Revenue" sheetId="16" r:id="rId11"/>
    <sheet name="Cochin Ledger" sheetId="17" r:id="rId12"/>
    <sheet name="C_Sales" sheetId="19" r:id="rId13"/>
    <sheet name="Sales Data" sheetId="4" r:id="rId14"/>
  </sheets>
  <definedNames>
    <definedName name="_xlnm._FilterDatabase" localSheetId="2" hidden="1">'Open STK Sorted'!$A$1:$E$31</definedName>
    <definedName name="_xlnm._FilterDatabase" localSheetId="9" hidden="1">Rev_Vol!$E$3:$O$33</definedName>
    <definedName name="_xlnm._FilterDatabase" localSheetId="7" hidden="1">'Revenue Pareto'!$D$3:$G$33</definedName>
    <definedName name="_xlnm._FilterDatabase" localSheetId="13" hidden="1">'Sales Data'!$A$1:$G$1351</definedName>
    <definedName name="_xlnm._FilterDatabase" localSheetId="8" hidden="1">'Volume Analysis'!$D$3:$G$33</definedName>
    <definedName name="_xlchart.v1.0" hidden="1">'Revenue Pareto'!$D$4:$D$33</definedName>
    <definedName name="_xlchart.v1.1" hidden="1">'Revenue Pareto'!$E$3</definedName>
    <definedName name="_xlchart.v1.10" hidden="1">'Volume Analysis'!$F$3</definedName>
    <definedName name="_xlchart.v1.11" hidden="1">'Volume Analysis'!$F$4:$F$33</definedName>
    <definedName name="_xlchart.v1.12" hidden="1">'Volume Analysis'!$G$3</definedName>
    <definedName name="_xlchart.v1.13" hidden="1">'Volume Analysis'!$G$4:$G$33</definedName>
    <definedName name="_xlchart.v1.14" hidden="1">'Volume Analysis'!$D$4:$D$33</definedName>
    <definedName name="_xlchart.v1.15" hidden="1">'Volume Analysis'!$E$3</definedName>
    <definedName name="_xlchart.v1.16" hidden="1">'Volume Analysis'!$E$4:$E$33</definedName>
    <definedName name="_xlchart.v1.17" hidden="1">'Volume Analysis'!$F$3</definedName>
    <definedName name="_xlchart.v1.18" hidden="1">'Volume Analysis'!$F$4:$F$33</definedName>
    <definedName name="_xlchart.v1.19" hidden="1">'Volume Analysis'!$G$3</definedName>
    <definedName name="_xlchart.v1.2" hidden="1">'Revenue Pareto'!$E$4:$E$33</definedName>
    <definedName name="_xlchart.v1.20" hidden="1">'Volume Analysis'!$G$4:$G$33</definedName>
    <definedName name="_xlchart.v1.3" hidden="1">'Revenue Pareto'!$F$3</definedName>
    <definedName name="_xlchart.v1.4" hidden="1">'Revenue Pareto'!$F$4:$F$33</definedName>
    <definedName name="_xlchart.v1.5" hidden="1">'Revenue Pareto'!$G$3</definedName>
    <definedName name="_xlchart.v1.6" hidden="1">'Revenue Pareto'!$G$4:$G$33</definedName>
    <definedName name="_xlchart.v1.7" hidden="1">'Volume Analysis'!$D$4:$D$33</definedName>
    <definedName name="_xlchart.v1.8" hidden="1">'Volume Analysis'!$E$3</definedName>
    <definedName name="_xlchart.v1.9" hidden="1">'Volume Analysis'!$E$4:$E$33</definedName>
  </definedNames>
  <calcPr calcId="162913"/>
  <pivotCaches>
    <pivotCache cacheId="6" r:id="rId15"/>
    <pivotCache cacheId="14" r:id="rId16"/>
    <pivotCache cacheId="28" r:id="rId17"/>
  </pivotCaches>
</workbook>
</file>

<file path=xl/calcChain.xml><?xml version="1.0" encoding="utf-8"?>
<calcChain xmlns="http://schemas.openxmlformats.org/spreadsheetml/2006/main">
  <c r="BN5" i="17" l="1"/>
  <c r="BN4" i="17"/>
  <c r="BG1" i="17"/>
  <c r="BF2" i="17"/>
  <c r="BF4" i="17"/>
  <c r="BI4" i="17" s="1"/>
  <c r="BG4" i="17"/>
  <c r="BH4" i="17"/>
  <c r="BF5" i="17"/>
  <c r="BI5" i="17" s="1"/>
  <c r="BG5" i="17"/>
  <c r="BH5" i="17"/>
  <c r="BF6" i="17"/>
  <c r="BI6" i="17" s="1"/>
  <c r="BG6" i="17"/>
  <c r="BH6" i="17"/>
  <c r="BF7" i="17"/>
  <c r="BI7" i="17" s="1"/>
  <c r="BG7" i="17"/>
  <c r="BH7" i="17"/>
  <c r="BF8" i="17"/>
  <c r="BI8" i="17" s="1"/>
  <c r="BG8" i="17"/>
  <c r="BH8" i="17"/>
  <c r="BF9" i="17"/>
  <c r="BI9" i="17" s="1"/>
  <c r="BG9" i="17"/>
  <c r="BH9" i="17"/>
  <c r="BF10" i="17"/>
  <c r="BI10" i="17" s="1"/>
  <c r="BG10" i="17"/>
  <c r="BH10" i="17"/>
  <c r="BF11" i="17"/>
  <c r="BI11" i="17" s="1"/>
  <c r="BG11" i="17"/>
  <c r="BH11" i="17"/>
  <c r="BF12" i="17"/>
  <c r="BI12" i="17" s="1"/>
  <c r="BG12" i="17"/>
  <c r="BH12" i="17"/>
  <c r="BF13" i="17"/>
  <c r="BI13" i="17" s="1"/>
  <c r="BG13" i="17"/>
  <c r="BH13" i="17"/>
  <c r="BF14" i="17"/>
  <c r="BI14" i="17" s="1"/>
  <c r="BG14" i="17"/>
  <c r="BH14" i="17"/>
  <c r="BF15" i="17"/>
  <c r="BI15" i="17" s="1"/>
  <c r="BG15" i="17"/>
  <c r="BH15" i="17"/>
  <c r="BF16" i="17"/>
  <c r="BI16" i="17" s="1"/>
  <c r="BG16" i="17"/>
  <c r="BH16" i="17"/>
  <c r="BF17" i="17"/>
  <c r="BI17" i="17" s="1"/>
  <c r="BG17" i="17"/>
  <c r="BH17" i="17"/>
  <c r="BF18" i="17"/>
  <c r="BI18" i="17" s="1"/>
  <c r="BG18" i="17"/>
  <c r="BH18" i="17"/>
  <c r="BF19" i="17"/>
  <c r="BI19" i="17" s="1"/>
  <c r="BG19" i="17"/>
  <c r="BH19" i="17"/>
  <c r="BF20" i="17"/>
  <c r="BI20" i="17" s="1"/>
  <c r="BG20" i="17"/>
  <c r="BH20" i="17"/>
  <c r="BF21" i="17"/>
  <c r="BI21" i="17" s="1"/>
  <c r="BG21" i="17"/>
  <c r="BH21" i="17"/>
  <c r="BF22" i="17"/>
  <c r="BI22" i="17" s="1"/>
  <c r="BG22" i="17"/>
  <c r="BH22" i="17"/>
  <c r="BF23" i="17"/>
  <c r="BI23" i="17" s="1"/>
  <c r="BG23" i="17"/>
  <c r="BH23" i="17"/>
  <c r="BF24" i="17"/>
  <c r="BI24" i="17" s="1"/>
  <c r="BG24" i="17"/>
  <c r="BH24" i="17"/>
  <c r="BF25" i="17"/>
  <c r="BI25" i="17" s="1"/>
  <c r="BG25" i="17"/>
  <c r="BH25" i="17"/>
  <c r="BF26" i="17"/>
  <c r="BI26" i="17" s="1"/>
  <c r="BG26" i="17"/>
  <c r="BH26" i="17"/>
  <c r="BF27" i="17"/>
  <c r="BI27" i="17" s="1"/>
  <c r="BG27" i="17"/>
  <c r="BH27" i="17"/>
  <c r="BF28" i="17"/>
  <c r="BI28" i="17" s="1"/>
  <c r="BG28" i="17"/>
  <c r="BH28" i="17"/>
  <c r="BF29" i="17"/>
  <c r="BI29" i="17" s="1"/>
  <c r="BG29" i="17"/>
  <c r="BH29" i="17"/>
  <c r="BF30" i="17"/>
  <c r="BI30" i="17" s="1"/>
  <c r="BG30" i="17"/>
  <c r="BH30" i="17"/>
  <c r="BF31" i="17"/>
  <c r="BI31" i="17" s="1"/>
  <c r="BG31" i="17"/>
  <c r="BH31" i="17"/>
  <c r="BF32" i="17"/>
  <c r="BI32" i="17" s="1"/>
  <c r="BG32" i="17"/>
  <c r="BH32" i="17"/>
  <c r="BF33" i="17"/>
  <c r="BI33" i="17" s="1"/>
  <c r="BG33" i="17"/>
  <c r="BH33" i="17"/>
  <c r="AM1" i="17"/>
  <c r="AQ1" i="17" s="1"/>
  <c r="AL4" i="17"/>
  <c r="AO4" i="17" s="1"/>
  <c r="AP4" i="17" s="1"/>
  <c r="AM4" i="17"/>
  <c r="AN4" i="17"/>
  <c r="AQ4" i="17"/>
  <c r="AL5" i="17"/>
  <c r="AM5" i="17"/>
  <c r="AN5" i="17"/>
  <c r="AQ5" i="17"/>
  <c r="AL6" i="17"/>
  <c r="AM6" i="17"/>
  <c r="AN6" i="17"/>
  <c r="AQ6" i="17"/>
  <c r="AR6" i="17"/>
  <c r="AL7" i="17"/>
  <c r="AM7" i="17"/>
  <c r="AN7" i="17"/>
  <c r="AQ7" i="17"/>
  <c r="AR7" i="17"/>
  <c r="AL8" i="17"/>
  <c r="AO8" i="17" s="1"/>
  <c r="AP8" i="17" s="1"/>
  <c r="AM8" i="17"/>
  <c r="AN8" i="17"/>
  <c r="AQ8" i="17"/>
  <c r="AR8" i="17"/>
  <c r="AL9" i="17"/>
  <c r="AM9" i="17"/>
  <c r="AN9" i="17"/>
  <c r="AQ9" i="17"/>
  <c r="AR9" i="17"/>
  <c r="AL10" i="17"/>
  <c r="AM10" i="17"/>
  <c r="AN10" i="17"/>
  <c r="AQ10" i="17"/>
  <c r="AR10" i="17"/>
  <c r="AL11" i="17"/>
  <c r="AM11" i="17"/>
  <c r="AN11" i="17"/>
  <c r="AQ11" i="17"/>
  <c r="AR11" i="17"/>
  <c r="AL12" i="17"/>
  <c r="AO12" i="17" s="1"/>
  <c r="AP12" i="17" s="1"/>
  <c r="AS12" i="17" s="1"/>
  <c r="AT12" i="17" s="1"/>
  <c r="AM12" i="17"/>
  <c r="AN12" i="17"/>
  <c r="AQ12" i="17"/>
  <c r="AR12" i="17"/>
  <c r="AL13" i="17"/>
  <c r="AM13" i="17"/>
  <c r="AN13" i="17"/>
  <c r="AQ13" i="17"/>
  <c r="AR13" i="17"/>
  <c r="AL14" i="17"/>
  <c r="AM14" i="17"/>
  <c r="AN14" i="17"/>
  <c r="AQ14" i="17"/>
  <c r="AR14" i="17"/>
  <c r="AL15" i="17"/>
  <c r="AO15" i="17" s="1"/>
  <c r="AM15" i="17"/>
  <c r="AN15" i="17"/>
  <c r="AP15" i="17"/>
  <c r="AS15" i="17" s="1"/>
  <c r="AT15" i="17" s="1"/>
  <c r="AQ15" i="17"/>
  <c r="AR15" i="17"/>
  <c r="AL16" i="17"/>
  <c r="AO16" i="17" s="1"/>
  <c r="AP16" i="17" s="1"/>
  <c r="AS16" i="17" s="1"/>
  <c r="AT16" i="17" s="1"/>
  <c r="AM16" i="17"/>
  <c r="AN16" i="17"/>
  <c r="AQ16" i="17"/>
  <c r="AR16" i="17"/>
  <c r="AL17" i="17"/>
  <c r="AM17" i="17"/>
  <c r="AN17" i="17"/>
  <c r="AQ17" i="17"/>
  <c r="AR17" i="17"/>
  <c r="AL18" i="17"/>
  <c r="AM18" i="17"/>
  <c r="AN18" i="17"/>
  <c r="AQ18" i="17"/>
  <c r="AR18" i="17"/>
  <c r="AL19" i="17"/>
  <c r="AO19" i="17" s="1"/>
  <c r="AM19" i="17"/>
  <c r="AN19" i="17"/>
  <c r="AP19" i="17"/>
  <c r="AS19" i="17" s="1"/>
  <c r="AT19" i="17" s="1"/>
  <c r="AQ19" i="17"/>
  <c r="AR19" i="17"/>
  <c r="AL20" i="17"/>
  <c r="AO20" i="17" s="1"/>
  <c r="AP20" i="17" s="1"/>
  <c r="AM20" i="17"/>
  <c r="AN20" i="17"/>
  <c r="AQ20" i="17"/>
  <c r="AR20" i="17"/>
  <c r="AL21" i="17"/>
  <c r="AM21" i="17"/>
  <c r="AN21" i="17"/>
  <c r="AO21" i="17" s="1"/>
  <c r="AP21" i="17" s="1"/>
  <c r="AS21" i="17" s="1"/>
  <c r="AT21" i="17" s="1"/>
  <c r="AQ21" i="17"/>
  <c r="AR21" i="17"/>
  <c r="AL22" i="17"/>
  <c r="AM22" i="17"/>
  <c r="AN22" i="17"/>
  <c r="AO22" i="17" s="1"/>
  <c r="AP22" i="17" s="1"/>
  <c r="AS22" i="17" s="1"/>
  <c r="AT22" i="17" s="1"/>
  <c r="AQ22" i="17"/>
  <c r="AR22" i="17"/>
  <c r="AL23" i="17"/>
  <c r="AM23" i="17"/>
  <c r="AN23" i="17"/>
  <c r="AQ23" i="17"/>
  <c r="AR23" i="17"/>
  <c r="AL24" i="17"/>
  <c r="AM24" i="17"/>
  <c r="AN24" i="17"/>
  <c r="AQ24" i="17"/>
  <c r="AR24" i="17"/>
  <c r="AL25" i="17"/>
  <c r="AM25" i="17"/>
  <c r="AO25" i="17" s="1"/>
  <c r="AP25" i="17" s="1"/>
  <c r="AN25" i="17"/>
  <c r="AQ25" i="17"/>
  <c r="AR25" i="17"/>
  <c r="AL26" i="17"/>
  <c r="AM26" i="17"/>
  <c r="AN26" i="17"/>
  <c r="AQ26" i="17"/>
  <c r="AR26" i="17"/>
  <c r="AL27" i="17"/>
  <c r="AM27" i="17"/>
  <c r="AN27" i="17"/>
  <c r="AQ27" i="17"/>
  <c r="AR27" i="17"/>
  <c r="AL28" i="17"/>
  <c r="AM28" i="17"/>
  <c r="AN28" i="17"/>
  <c r="AQ28" i="17"/>
  <c r="AR28" i="17"/>
  <c r="AL29" i="17"/>
  <c r="AM29" i="17"/>
  <c r="AN29" i="17"/>
  <c r="AQ29" i="17"/>
  <c r="AR29" i="17"/>
  <c r="AL30" i="17"/>
  <c r="AM30" i="17"/>
  <c r="AN30" i="17"/>
  <c r="AQ30" i="17"/>
  <c r="AR30" i="17"/>
  <c r="AL31" i="17"/>
  <c r="AM31" i="17"/>
  <c r="AO31" i="17" s="1"/>
  <c r="AP31" i="17" s="1"/>
  <c r="AS31" i="17" s="1"/>
  <c r="AT31" i="17" s="1"/>
  <c r="AN31" i="17"/>
  <c r="AQ31" i="17"/>
  <c r="AR31" i="17"/>
  <c r="AL32" i="17"/>
  <c r="AM32" i="17"/>
  <c r="AO32" i="17" s="1"/>
  <c r="AP32" i="17" s="1"/>
  <c r="AS32" i="17" s="1"/>
  <c r="AT32" i="17" s="1"/>
  <c r="AN32" i="17"/>
  <c r="AQ32" i="17"/>
  <c r="AR32" i="17"/>
  <c r="AL33" i="17"/>
  <c r="AM33" i="17"/>
  <c r="AO33" i="17" s="1"/>
  <c r="AP33" i="17" s="1"/>
  <c r="AS33" i="17" s="1"/>
  <c r="AT33" i="17" s="1"/>
  <c r="AN33" i="17"/>
  <c r="AQ33" i="17"/>
  <c r="AR33" i="17"/>
  <c r="O1" i="17"/>
  <c r="S1" i="17"/>
  <c r="W1" i="17"/>
  <c r="AA1" i="17"/>
  <c r="N2" i="17"/>
  <c r="R2" i="17"/>
  <c r="N4" i="17"/>
  <c r="O4" i="17"/>
  <c r="Q4" i="17" s="1"/>
  <c r="R4" i="17" s="1"/>
  <c r="P4" i="17"/>
  <c r="S4" i="17"/>
  <c r="T4" i="17"/>
  <c r="N5" i="17"/>
  <c r="O5" i="17"/>
  <c r="Q5" i="17" s="1"/>
  <c r="R5" i="17" s="1"/>
  <c r="P5" i="17"/>
  <c r="S5" i="17"/>
  <c r="T5" i="17"/>
  <c r="U5" i="17"/>
  <c r="V5" i="17" s="1"/>
  <c r="N6" i="17"/>
  <c r="O6" i="17"/>
  <c r="P6" i="17"/>
  <c r="Q6" i="17" s="1"/>
  <c r="R6" i="17" s="1"/>
  <c r="U6" i="17" s="1"/>
  <c r="V6" i="17" s="1"/>
  <c r="S6" i="17"/>
  <c r="T6" i="17"/>
  <c r="AB6" i="17"/>
  <c r="N7" i="17"/>
  <c r="O7" i="17"/>
  <c r="P7" i="17"/>
  <c r="Q7" i="17"/>
  <c r="R7" i="17" s="1"/>
  <c r="S7" i="17"/>
  <c r="T7" i="17"/>
  <c r="X7" i="17"/>
  <c r="AB7" i="17"/>
  <c r="N8" i="17"/>
  <c r="O8" i="17"/>
  <c r="Q8" i="17" s="1"/>
  <c r="R8" i="17" s="1"/>
  <c r="P8" i="17"/>
  <c r="S8" i="17"/>
  <c r="T8" i="17"/>
  <c r="N9" i="17"/>
  <c r="O9" i="17"/>
  <c r="Q9" i="17" s="1"/>
  <c r="R9" i="17" s="1"/>
  <c r="P9" i="17"/>
  <c r="S9" i="17"/>
  <c r="T9" i="17"/>
  <c r="U9" i="17"/>
  <c r="V9" i="17" s="1"/>
  <c r="N10" i="17"/>
  <c r="O10" i="17"/>
  <c r="P10" i="17"/>
  <c r="Q10" i="17" s="1"/>
  <c r="R10" i="17" s="1"/>
  <c r="U10" i="17" s="1"/>
  <c r="V10" i="17" s="1"/>
  <c r="S10" i="17"/>
  <c r="T10" i="17"/>
  <c r="AB10" i="17"/>
  <c r="N11" i="17"/>
  <c r="O11" i="17"/>
  <c r="P11" i="17"/>
  <c r="Q11" i="17"/>
  <c r="R11" i="17" s="1"/>
  <c r="S11" i="17"/>
  <c r="T11" i="17"/>
  <c r="X11" i="17"/>
  <c r="AB11" i="17"/>
  <c r="N12" i="17"/>
  <c r="O12" i="17"/>
  <c r="Q12" i="17" s="1"/>
  <c r="R12" i="17" s="1"/>
  <c r="P12" i="17"/>
  <c r="S12" i="17"/>
  <c r="T12" i="17"/>
  <c r="N13" i="17"/>
  <c r="O13" i="17"/>
  <c r="Q13" i="17" s="1"/>
  <c r="R13" i="17" s="1"/>
  <c r="P13" i="17"/>
  <c r="S13" i="17"/>
  <c r="T13" i="17"/>
  <c r="U13" i="17"/>
  <c r="V13" i="17" s="1"/>
  <c r="N14" i="17"/>
  <c r="O14" i="17"/>
  <c r="P14" i="17"/>
  <c r="Q14" i="17" s="1"/>
  <c r="R14" i="17" s="1"/>
  <c r="U14" i="17" s="1"/>
  <c r="V14" i="17" s="1"/>
  <c r="S14" i="17"/>
  <c r="T14" i="17"/>
  <c r="AB14" i="17"/>
  <c r="N15" i="17"/>
  <c r="O15" i="17"/>
  <c r="P15" i="17"/>
  <c r="Q15" i="17"/>
  <c r="R15" i="17" s="1"/>
  <c r="S15" i="17"/>
  <c r="T15" i="17"/>
  <c r="X15" i="17"/>
  <c r="AB15" i="17"/>
  <c r="N16" i="17"/>
  <c r="O16" i="17"/>
  <c r="Q16" i="17" s="1"/>
  <c r="R16" i="17" s="1"/>
  <c r="P16" i="17"/>
  <c r="S16" i="17"/>
  <c r="T16" i="17"/>
  <c r="N17" i="17"/>
  <c r="O17" i="17"/>
  <c r="Q17" i="17" s="1"/>
  <c r="R17" i="17" s="1"/>
  <c r="P17" i="17"/>
  <c r="S17" i="17"/>
  <c r="T17" i="17"/>
  <c r="U17" i="17"/>
  <c r="V17" i="17" s="1"/>
  <c r="N18" i="17"/>
  <c r="O18" i="17"/>
  <c r="P18" i="17"/>
  <c r="Q18" i="17" s="1"/>
  <c r="R18" i="17" s="1"/>
  <c r="U18" i="17" s="1"/>
  <c r="V18" i="17" s="1"/>
  <c r="S18" i="17"/>
  <c r="T18" i="17"/>
  <c r="AB18" i="17"/>
  <c r="N19" i="17"/>
  <c r="O19" i="17"/>
  <c r="P19" i="17"/>
  <c r="Q19" i="17"/>
  <c r="R19" i="17" s="1"/>
  <c r="S19" i="17"/>
  <c r="T19" i="17"/>
  <c r="X19" i="17"/>
  <c r="AB19" i="17"/>
  <c r="N20" i="17"/>
  <c r="O20" i="17"/>
  <c r="Q20" i="17" s="1"/>
  <c r="R20" i="17" s="1"/>
  <c r="P20" i="17"/>
  <c r="S20" i="17"/>
  <c r="T20" i="17"/>
  <c r="N21" i="17"/>
  <c r="Q21" i="17" s="1"/>
  <c r="R21" i="17" s="1"/>
  <c r="U21" i="17" s="1"/>
  <c r="V21" i="17" s="1"/>
  <c r="O21" i="17"/>
  <c r="P21" i="17"/>
  <c r="S21" i="17"/>
  <c r="T21" i="17"/>
  <c r="N22" i="17"/>
  <c r="Q22" i="17" s="1"/>
  <c r="R22" i="17" s="1"/>
  <c r="U22" i="17" s="1"/>
  <c r="V22" i="17" s="1"/>
  <c r="O22" i="17"/>
  <c r="P22" i="17"/>
  <c r="S22" i="17"/>
  <c r="T22" i="17"/>
  <c r="N23" i="17"/>
  <c r="Q23" i="17" s="1"/>
  <c r="R23" i="17" s="1"/>
  <c r="U23" i="17" s="1"/>
  <c r="O23" i="17"/>
  <c r="P23" i="17"/>
  <c r="S23" i="17"/>
  <c r="T23" i="17"/>
  <c r="V23" i="17"/>
  <c r="N24" i="17"/>
  <c r="Q24" i="17" s="1"/>
  <c r="O24" i="17"/>
  <c r="P24" i="17"/>
  <c r="R24" i="17"/>
  <c r="U24" i="17" s="1"/>
  <c r="V24" i="17" s="1"/>
  <c r="S24" i="17"/>
  <c r="T24" i="17"/>
  <c r="N25" i="17"/>
  <c r="Q25" i="17" s="1"/>
  <c r="O25" i="17"/>
  <c r="P25" i="17"/>
  <c r="R25" i="17"/>
  <c r="U25" i="17" s="1"/>
  <c r="V25" i="17" s="1"/>
  <c r="S25" i="17"/>
  <c r="T25" i="17"/>
  <c r="AA25" i="17"/>
  <c r="N26" i="17"/>
  <c r="Q26" i="17" s="1"/>
  <c r="R26" i="17" s="1"/>
  <c r="U26" i="17" s="1"/>
  <c r="V26" i="17" s="1"/>
  <c r="O26" i="17"/>
  <c r="P26" i="17"/>
  <c r="S26" i="17"/>
  <c r="T26" i="17"/>
  <c r="AA26" i="17"/>
  <c r="N27" i="17"/>
  <c r="O27" i="17"/>
  <c r="P27" i="17"/>
  <c r="Q27" i="17"/>
  <c r="R27" i="17" s="1"/>
  <c r="U27" i="17" s="1"/>
  <c r="V27" i="17" s="1"/>
  <c r="S27" i="17"/>
  <c r="T27" i="17"/>
  <c r="X27" i="17"/>
  <c r="N28" i="17"/>
  <c r="O28" i="17"/>
  <c r="P28" i="17"/>
  <c r="Q28" i="17"/>
  <c r="R28" i="17" s="1"/>
  <c r="U28" i="17" s="1"/>
  <c r="V28" i="17" s="1"/>
  <c r="S28" i="17"/>
  <c r="T28" i="17"/>
  <c r="X28" i="17"/>
  <c r="N29" i="17"/>
  <c r="O29" i="17"/>
  <c r="P29" i="17"/>
  <c r="Q29" i="17"/>
  <c r="R29" i="17" s="1"/>
  <c r="U29" i="17" s="1"/>
  <c r="V29" i="17" s="1"/>
  <c r="S29" i="17"/>
  <c r="T29" i="17"/>
  <c r="X29" i="17"/>
  <c r="N30" i="17"/>
  <c r="O30" i="17"/>
  <c r="P30" i="17"/>
  <c r="Q30" i="17"/>
  <c r="R30" i="17" s="1"/>
  <c r="U30" i="17" s="1"/>
  <c r="V30" i="17" s="1"/>
  <c r="S30" i="17"/>
  <c r="T30" i="17"/>
  <c r="X30" i="17"/>
  <c r="N31" i="17"/>
  <c r="O31" i="17"/>
  <c r="P31" i="17"/>
  <c r="Q31" i="17"/>
  <c r="R31" i="17" s="1"/>
  <c r="U31" i="17" s="1"/>
  <c r="V31" i="17" s="1"/>
  <c r="S31" i="17"/>
  <c r="T31" i="17"/>
  <c r="X31" i="17"/>
  <c r="N32" i="17"/>
  <c r="O32" i="17"/>
  <c r="P32" i="17"/>
  <c r="Q32" i="17"/>
  <c r="R32" i="17" s="1"/>
  <c r="U32" i="17" s="1"/>
  <c r="V32" i="17" s="1"/>
  <c r="S32" i="17"/>
  <c r="T32" i="17"/>
  <c r="X32" i="17"/>
  <c r="N33" i="17"/>
  <c r="O33" i="17"/>
  <c r="P33" i="17"/>
  <c r="Q33" i="17"/>
  <c r="R33" i="17" s="1"/>
  <c r="U33" i="17" s="1"/>
  <c r="V33" i="17" s="1"/>
  <c r="S33" i="17"/>
  <c r="T33" i="17"/>
  <c r="X33" i="17"/>
  <c r="K1" i="17"/>
  <c r="J2" i="17" s="1"/>
  <c r="J4" i="17"/>
  <c r="M4" i="17" s="1"/>
  <c r="K4" i="17"/>
  <c r="L4" i="17"/>
  <c r="J5" i="17"/>
  <c r="M5" i="17" s="1"/>
  <c r="K5" i="17"/>
  <c r="L5" i="17"/>
  <c r="J6" i="17"/>
  <c r="M6" i="17" s="1"/>
  <c r="K6" i="17"/>
  <c r="L6" i="17"/>
  <c r="J7" i="17"/>
  <c r="M7" i="17" s="1"/>
  <c r="K7" i="17"/>
  <c r="L7" i="17"/>
  <c r="J8" i="17"/>
  <c r="M8" i="17" s="1"/>
  <c r="K8" i="17"/>
  <c r="L8" i="17"/>
  <c r="J9" i="17"/>
  <c r="M9" i="17" s="1"/>
  <c r="K9" i="17"/>
  <c r="L9" i="17"/>
  <c r="J10" i="17"/>
  <c r="M10" i="17" s="1"/>
  <c r="K10" i="17"/>
  <c r="L10" i="17"/>
  <c r="J11" i="17"/>
  <c r="M11" i="17" s="1"/>
  <c r="K11" i="17"/>
  <c r="L11" i="17"/>
  <c r="J12" i="17"/>
  <c r="M12" i="17" s="1"/>
  <c r="K12" i="17"/>
  <c r="L12" i="17"/>
  <c r="J13" i="17"/>
  <c r="M13" i="17" s="1"/>
  <c r="K13" i="17"/>
  <c r="L13" i="17"/>
  <c r="J14" i="17"/>
  <c r="M14" i="17" s="1"/>
  <c r="K14" i="17"/>
  <c r="L14" i="17"/>
  <c r="J15" i="17"/>
  <c r="M15" i="17" s="1"/>
  <c r="K15" i="17"/>
  <c r="L15" i="17"/>
  <c r="J16" i="17"/>
  <c r="M16" i="17" s="1"/>
  <c r="K16" i="17"/>
  <c r="L16" i="17"/>
  <c r="J17" i="17"/>
  <c r="M17" i="17" s="1"/>
  <c r="K17" i="17"/>
  <c r="L17" i="17"/>
  <c r="J18" i="17"/>
  <c r="M18" i="17" s="1"/>
  <c r="K18" i="17"/>
  <c r="L18" i="17"/>
  <c r="J19" i="17"/>
  <c r="M19" i="17" s="1"/>
  <c r="K19" i="17"/>
  <c r="L19" i="17"/>
  <c r="J20" i="17"/>
  <c r="M20" i="17" s="1"/>
  <c r="K20" i="17"/>
  <c r="L20" i="17"/>
  <c r="J21" i="17"/>
  <c r="M21" i="17" s="1"/>
  <c r="K21" i="17"/>
  <c r="L21" i="17"/>
  <c r="J22" i="17"/>
  <c r="M22" i="17" s="1"/>
  <c r="K22" i="17"/>
  <c r="L22" i="17"/>
  <c r="J23" i="17"/>
  <c r="M23" i="17" s="1"/>
  <c r="K23" i="17"/>
  <c r="L23" i="17"/>
  <c r="J24" i="17"/>
  <c r="M24" i="17" s="1"/>
  <c r="K24" i="17"/>
  <c r="L24" i="17"/>
  <c r="J25" i="17"/>
  <c r="M25" i="17" s="1"/>
  <c r="K25" i="17"/>
  <c r="L25" i="17"/>
  <c r="J26" i="17"/>
  <c r="M26" i="17" s="1"/>
  <c r="K26" i="17"/>
  <c r="L26" i="17"/>
  <c r="J27" i="17"/>
  <c r="M27" i="17" s="1"/>
  <c r="K27" i="17"/>
  <c r="L27" i="17"/>
  <c r="J28" i="17"/>
  <c r="M28" i="17" s="1"/>
  <c r="K28" i="17"/>
  <c r="L28" i="17"/>
  <c r="J29" i="17"/>
  <c r="M29" i="17" s="1"/>
  <c r="K29" i="17"/>
  <c r="L29" i="17"/>
  <c r="J30" i="17"/>
  <c r="M30" i="17" s="1"/>
  <c r="K30" i="17"/>
  <c r="L30" i="17"/>
  <c r="J31" i="17"/>
  <c r="M31" i="17" s="1"/>
  <c r="K31" i="17"/>
  <c r="L31" i="17"/>
  <c r="J32" i="17"/>
  <c r="M32" i="17" s="1"/>
  <c r="K32" i="17"/>
  <c r="L32" i="17"/>
  <c r="J33" i="17"/>
  <c r="M33" i="17" s="1"/>
  <c r="K33" i="17"/>
  <c r="L33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4" i="17"/>
  <c r="D5" i="17"/>
  <c r="D6" i="17"/>
  <c r="D7" i="17"/>
  <c r="D8" i="17"/>
  <c r="D9" i="17"/>
  <c r="D10" i="17"/>
  <c r="D11" i="17"/>
  <c r="D12" i="17"/>
  <c r="D13" i="17"/>
  <c r="D14" i="17"/>
  <c r="D15" i="17"/>
  <c r="E15" i="17" s="1"/>
  <c r="F15" i="17" s="1"/>
  <c r="D16" i="17"/>
  <c r="D17" i="17"/>
  <c r="D18" i="17"/>
  <c r="D19" i="17"/>
  <c r="E19" i="17" s="1"/>
  <c r="F19" i="17" s="1"/>
  <c r="D20" i="17"/>
  <c r="D21" i="17"/>
  <c r="D22" i="17"/>
  <c r="D23" i="17"/>
  <c r="E23" i="17" s="1"/>
  <c r="F23" i="17" s="1"/>
  <c r="D24" i="17"/>
  <c r="D25" i="17"/>
  <c r="D26" i="17"/>
  <c r="D27" i="17"/>
  <c r="E27" i="17" s="1"/>
  <c r="F27" i="17" s="1"/>
  <c r="D28" i="17"/>
  <c r="D29" i="17"/>
  <c r="D30" i="17"/>
  <c r="E30" i="17" s="1"/>
  <c r="F30" i="17" s="1"/>
  <c r="D31" i="17"/>
  <c r="E31" i="17" s="1"/>
  <c r="F31" i="17" s="1"/>
  <c r="D32" i="17"/>
  <c r="D33" i="17"/>
  <c r="D4" i="17"/>
  <c r="E10" i="17"/>
  <c r="F10" i="17" s="1"/>
  <c r="E11" i="17"/>
  <c r="F11" i="17" s="1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4" i="17"/>
  <c r="B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4" i="17"/>
  <c r="E4" i="17" s="1"/>
  <c r="F4" i="17" s="1"/>
  <c r="E26" i="17"/>
  <c r="F26" i="17" s="1"/>
  <c r="E22" i="17"/>
  <c r="F22" i="17" s="1"/>
  <c r="E18" i="17"/>
  <c r="F18" i="17" s="1"/>
  <c r="E14" i="17"/>
  <c r="F14" i="17" s="1"/>
  <c r="E6" i="17"/>
  <c r="F6" i="17" s="1"/>
  <c r="I6" i="17" s="1"/>
  <c r="B2" i="17"/>
  <c r="G1" i="17"/>
  <c r="L9" i="16"/>
  <c r="L8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5" i="16"/>
  <c r="F6" i="16"/>
  <c r="F7" i="16"/>
  <c r="F8" i="16" s="1"/>
  <c r="F9" i="16" s="1"/>
  <c r="F10" i="16" s="1"/>
  <c r="F11" i="16" s="1"/>
  <c r="F12" i="16" s="1"/>
  <c r="F13" i="16" s="1"/>
  <c r="F14" i="16" s="1"/>
  <c r="F15" i="16" s="1"/>
  <c r="F16" i="16" s="1"/>
  <c r="F17" i="16" s="1"/>
  <c r="F18" i="16" s="1"/>
  <c r="F5" i="16"/>
  <c r="F5" i="14"/>
  <c r="F6" i="14" s="1"/>
  <c r="F7" i="14" s="1"/>
  <c r="F8" i="14" s="1"/>
  <c r="F9" i="14" s="1"/>
  <c r="F10" i="14" s="1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31" i="14" s="1"/>
  <c r="F32" i="14" s="1"/>
  <c r="F33" i="14" s="1"/>
  <c r="C48" i="12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3" i="4"/>
  <c r="G2" i="4"/>
  <c r="G5" i="16"/>
  <c r="G9" i="16"/>
  <c r="G13" i="16"/>
  <c r="G17" i="16"/>
  <c r="G16" i="16"/>
  <c r="G6" i="16"/>
  <c r="G10" i="16"/>
  <c r="G14" i="16"/>
  <c r="G18" i="16"/>
  <c r="G12" i="16"/>
  <c r="G7" i="16"/>
  <c r="G11" i="16"/>
  <c r="G15" i="16"/>
  <c r="G8" i="16"/>
  <c r="G4" i="16"/>
  <c r="G5" i="14"/>
  <c r="G9" i="14"/>
  <c r="G13" i="14"/>
  <c r="G17" i="14"/>
  <c r="G21" i="14"/>
  <c r="G25" i="14"/>
  <c r="G29" i="14"/>
  <c r="G33" i="14"/>
  <c r="G6" i="14"/>
  <c r="G10" i="14"/>
  <c r="G14" i="14"/>
  <c r="G18" i="14"/>
  <c r="G22" i="14"/>
  <c r="G26" i="14"/>
  <c r="G30" i="14"/>
  <c r="G12" i="14"/>
  <c r="G16" i="14"/>
  <c r="G24" i="14"/>
  <c r="G32" i="14"/>
  <c r="G7" i="14"/>
  <c r="G11" i="14"/>
  <c r="G15" i="14"/>
  <c r="G19" i="14"/>
  <c r="G23" i="14"/>
  <c r="G27" i="14"/>
  <c r="G31" i="14"/>
  <c r="G8" i="14"/>
  <c r="G20" i="14"/>
  <c r="G28" i="14"/>
  <c r="G4" i="14"/>
  <c r="G4" i="12"/>
  <c r="AO27" i="17" l="1"/>
  <c r="AP27" i="17" s="1"/>
  <c r="AS27" i="17" s="1"/>
  <c r="AT27" i="17" s="1"/>
  <c r="AO24" i="17"/>
  <c r="AP24" i="17" s="1"/>
  <c r="AS24" i="17" s="1"/>
  <c r="AT24" i="17" s="1"/>
  <c r="AO23" i="17"/>
  <c r="AP23" i="17" s="1"/>
  <c r="AS23" i="17" s="1"/>
  <c r="AT23" i="17" s="1"/>
  <c r="AO29" i="17"/>
  <c r="AP29" i="17" s="1"/>
  <c r="AS29" i="17" s="1"/>
  <c r="AT29" i="17" s="1"/>
  <c r="AO28" i="17"/>
  <c r="AP28" i="17" s="1"/>
  <c r="AS28" i="17" s="1"/>
  <c r="AT28" i="17" s="1"/>
  <c r="AS25" i="17"/>
  <c r="AT25" i="17" s="1"/>
  <c r="AS20" i="17"/>
  <c r="AT20" i="17" s="1"/>
  <c r="AS4" i="17"/>
  <c r="AT4" i="17" s="1"/>
  <c r="AO30" i="17"/>
  <c r="AP30" i="17" s="1"/>
  <c r="AS30" i="17" s="1"/>
  <c r="AT30" i="17" s="1"/>
  <c r="AO26" i="17"/>
  <c r="AP26" i="17" s="1"/>
  <c r="AS26" i="17" s="1"/>
  <c r="AT26" i="17" s="1"/>
  <c r="AS8" i="17"/>
  <c r="AT8" i="17" s="1"/>
  <c r="AO17" i="17"/>
  <c r="AP17" i="17" s="1"/>
  <c r="AS17" i="17" s="1"/>
  <c r="AT17" i="17" s="1"/>
  <c r="AO13" i="17"/>
  <c r="AP13" i="17" s="1"/>
  <c r="AS13" i="17" s="1"/>
  <c r="AT13" i="17" s="1"/>
  <c r="AO9" i="17"/>
  <c r="AP9" i="17" s="1"/>
  <c r="AS9" i="17" s="1"/>
  <c r="AT9" i="17" s="1"/>
  <c r="AO5" i="17"/>
  <c r="AP5" i="17" s="1"/>
  <c r="AO18" i="17"/>
  <c r="AP18" i="17" s="1"/>
  <c r="AS18" i="17" s="1"/>
  <c r="AT18" i="17" s="1"/>
  <c r="AO14" i="17"/>
  <c r="AP14" i="17" s="1"/>
  <c r="AS14" i="17" s="1"/>
  <c r="AT14" i="17" s="1"/>
  <c r="AO10" i="17"/>
  <c r="AP10" i="17" s="1"/>
  <c r="AS10" i="17" s="1"/>
  <c r="AT10" i="17" s="1"/>
  <c r="AO6" i="17"/>
  <c r="AP6" i="17" s="1"/>
  <c r="AS6" i="17" s="1"/>
  <c r="AT6" i="17" s="1"/>
  <c r="AO11" i="17"/>
  <c r="AP11" i="17" s="1"/>
  <c r="AS11" i="17" s="1"/>
  <c r="AT11" i="17" s="1"/>
  <c r="AO7" i="17"/>
  <c r="AP7" i="17" s="1"/>
  <c r="AS7" i="17" s="1"/>
  <c r="AT7" i="17" s="1"/>
  <c r="AR4" i="17"/>
  <c r="AR5" i="17"/>
  <c r="AU1" i="17"/>
  <c r="AP2" i="17"/>
  <c r="AL2" i="17"/>
  <c r="Y28" i="17"/>
  <c r="Z28" i="17" s="1"/>
  <c r="Y17" i="17"/>
  <c r="Z17" i="17" s="1"/>
  <c r="AC17" i="17" s="1"/>
  <c r="AD17" i="17" s="1"/>
  <c r="Y6" i="17"/>
  <c r="Z6" i="17" s="1"/>
  <c r="AC6" i="17" s="1"/>
  <c r="AD6" i="17" s="1"/>
  <c r="AE1" i="17"/>
  <c r="AA4" i="17"/>
  <c r="AB5" i="17"/>
  <c r="AA8" i="17"/>
  <c r="AB9" i="17"/>
  <c r="AA12" i="17"/>
  <c r="AB13" i="17"/>
  <c r="AA16" i="17"/>
  <c r="AB17" i="17"/>
  <c r="AA20" i="17"/>
  <c r="AA21" i="17"/>
  <c r="AA22" i="17"/>
  <c r="AA23" i="17"/>
  <c r="AA24" i="17"/>
  <c r="AB4" i="17"/>
  <c r="AA7" i="17"/>
  <c r="AB8" i="17"/>
  <c r="AA11" i="17"/>
  <c r="AB12" i="17"/>
  <c r="AA15" i="17"/>
  <c r="AB16" i="17"/>
  <c r="AA19" i="17"/>
  <c r="AB20" i="17"/>
  <c r="AB21" i="17"/>
  <c r="AB22" i="17"/>
  <c r="AB23" i="17"/>
  <c r="AB24" i="17"/>
  <c r="AB25" i="17"/>
  <c r="AB26" i="17"/>
  <c r="AB33" i="17"/>
  <c r="AB32" i="17"/>
  <c r="AB31" i="17"/>
  <c r="AB30" i="17"/>
  <c r="AB29" i="17"/>
  <c r="AB28" i="17"/>
  <c r="AB27" i="17"/>
  <c r="U19" i="17"/>
  <c r="V19" i="17" s="1"/>
  <c r="AA18" i="17"/>
  <c r="U15" i="17"/>
  <c r="V15" i="17" s="1"/>
  <c r="AA14" i="17"/>
  <c r="U11" i="17"/>
  <c r="V11" i="17" s="1"/>
  <c r="AA10" i="17"/>
  <c r="U7" i="17"/>
  <c r="V7" i="17" s="1"/>
  <c r="Y7" i="17" s="1"/>
  <c r="Z7" i="17" s="1"/>
  <c r="AC7" i="17" s="1"/>
  <c r="AD7" i="17" s="1"/>
  <c r="AA6" i="17"/>
  <c r="Z2" i="17"/>
  <c r="V2" i="17"/>
  <c r="W5" i="17"/>
  <c r="Y5" i="17" s="1"/>
  <c r="Z5" i="17" s="1"/>
  <c r="AC5" i="17" s="1"/>
  <c r="AD5" i="17" s="1"/>
  <c r="X6" i="17"/>
  <c r="W9" i="17"/>
  <c r="Y9" i="17" s="1"/>
  <c r="Z9" i="17" s="1"/>
  <c r="AC9" i="17" s="1"/>
  <c r="AD9" i="17" s="1"/>
  <c r="X10" i="17"/>
  <c r="W13" i="17"/>
  <c r="Y13" i="17" s="1"/>
  <c r="Z13" i="17" s="1"/>
  <c r="AC13" i="17" s="1"/>
  <c r="AD13" i="17" s="1"/>
  <c r="X14" i="17"/>
  <c r="W17" i="17"/>
  <c r="X18" i="17"/>
  <c r="W21" i="17"/>
  <c r="Y21" i="17" s="1"/>
  <c r="Z21" i="17" s="1"/>
  <c r="AC21" i="17" s="1"/>
  <c r="AD21" i="17" s="1"/>
  <c r="W22" i="17"/>
  <c r="Y22" i="17" s="1"/>
  <c r="Z22" i="17" s="1"/>
  <c r="AC22" i="17" s="1"/>
  <c r="AD22" i="17" s="1"/>
  <c r="W23" i="17"/>
  <c r="Y23" i="17" s="1"/>
  <c r="Z23" i="17" s="1"/>
  <c r="AC23" i="17" s="1"/>
  <c r="AD23" i="17" s="1"/>
  <c r="W24" i="17"/>
  <c r="Y24" i="17" s="1"/>
  <c r="Z24" i="17" s="1"/>
  <c r="AC24" i="17" s="1"/>
  <c r="AD24" i="17" s="1"/>
  <c r="W4" i="17"/>
  <c r="X5" i="17"/>
  <c r="W8" i="17"/>
  <c r="X9" i="17"/>
  <c r="W12" i="17"/>
  <c r="X13" i="17"/>
  <c r="W16" i="17"/>
  <c r="X17" i="17"/>
  <c r="W20" i="17"/>
  <c r="X21" i="17"/>
  <c r="X22" i="17"/>
  <c r="X23" i="17"/>
  <c r="X24" i="17"/>
  <c r="X25" i="17"/>
  <c r="X26" i="17"/>
  <c r="AA33" i="17"/>
  <c r="W33" i="17"/>
  <c r="Y33" i="17" s="1"/>
  <c r="Z33" i="17" s="1"/>
  <c r="AC33" i="17" s="1"/>
  <c r="AD33" i="17" s="1"/>
  <c r="AA32" i="17"/>
  <c r="W32" i="17"/>
  <c r="Y32" i="17" s="1"/>
  <c r="Z32" i="17" s="1"/>
  <c r="AC32" i="17" s="1"/>
  <c r="AD32" i="17" s="1"/>
  <c r="AA31" i="17"/>
  <c r="W31" i="17"/>
  <c r="Y31" i="17" s="1"/>
  <c r="Z31" i="17" s="1"/>
  <c r="AC31" i="17" s="1"/>
  <c r="AD31" i="17" s="1"/>
  <c r="AA30" i="17"/>
  <c r="W30" i="17"/>
  <c r="Y30" i="17" s="1"/>
  <c r="Z30" i="17" s="1"/>
  <c r="AC30" i="17" s="1"/>
  <c r="AD30" i="17" s="1"/>
  <c r="AA29" i="17"/>
  <c r="W29" i="17"/>
  <c r="Y29" i="17" s="1"/>
  <c r="Z29" i="17" s="1"/>
  <c r="AC29" i="17" s="1"/>
  <c r="AD29" i="17" s="1"/>
  <c r="AA28" i="17"/>
  <c r="W28" i="17"/>
  <c r="AA27" i="17"/>
  <c r="W27" i="17"/>
  <c r="Y27" i="17" s="1"/>
  <c r="Z27" i="17" s="1"/>
  <c r="AC27" i="17" s="1"/>
  <c r="AD27" i="17" s="1"/>
  <c r="W19" i="17"/>
  <c r="W18" i="17"/>
  <c r="Y18" i="17" s="1"/>
  <c r="Z18" i="17" s="1"/>
  <c r="AC18" i="17" s="1"/>
  <c r="AD18" i="17" s="1"/>
  <c r="AA17" i="17"/>
  <c r="W15" i="17"/>
  <c r="W14" i="17"/>
  <c r="Y14" i="17" s="1"/>
  <c r="Z14" i="17" s="1"/>
  <c r="AC14" i="17" s="1"/>
  <c r="AD14" i="17" s="1"/>
  <c r="AA13" i="17"/>
  <c r="W11" i="17"/>
  <c r="W10" i="17"/>
  <c r="Y10" i="17" s="1"/>
  <c r="Z10" i="17" s="1"/>
  <c r="AC10" i="17" s="1"/>
  <c r="AD10" i="17" s="1"/>
  <c r="AA9" i="17"/>
  <c r="W7" i="17"/>
  <c r="W6" i="17"/>
  <c r="AA5" i="17"/>
  <c r="W26" i="17"/>
  <c r="Y26" i="17" s="1"/>
  <c r="Z26" i="17" s="1"/>
  <c r="AC26" i="17" s="1"/>
  <c r="AD26" i="17" s="1"/>
  <c r="W25" i="17"/>
  <c r="Y25" i="17" s="1"/>
  <c r="Z25" i="17" s="1"/>
  <c r="AC25" i="17" s="1"/>
  <c r="AD25" i="17" s="1"/>
  <c r="X20" i="17"/>
  <c r="U20" i="17"/>
  <c r="V20" i="17" s="1"/>
  <c r="Y20" i="17" s="1"/>
  <c r="Z20" i="17" s="1"/>
  <c r="AC20" i="17" s="1"/>
  <c r="AD20" i="17" s="1"/>
  <c r="X16" i="17"/>
  <c r="U16" i="17"/>
  <c r="V16" i="17" s="1"/>
  <c r="X12" i="17"/>
  <c r="U12" i="17"/>
  <c r="V12" i="17" s="1"/>
  <c r="Y12" i="17" s="1"/>
  <c r="Z12" i="17" s="1"/>
  <c r="AC12" i="17" s="1"/>
  <c r="AD12" i="17" s="1"/>
  <c r="X8" i="17"/>
  <c r="U8" i="17"/>
  <c r="V8" i="17" s="1"/>
  <c r="X4" i="17"/>
  <c r="U4" i="17"/>
  <c r="V4" i="17" s="1"/>
  <c r="Y4" i="17" s="1"/>
  <c r="Z4" i="17" s="1"/>
  <c r="AC4" i="17" s="1"/>
  <c r="AD4" i="17" s="1"/>
  <c r="I4" i="17"/>
  <c r="E12" i="17"/>
  <c r="F12" i="17" s="1"/>
  <c r="E32" i="17"/>
  <c r="F32" i="17" s="1"/>
  <c r="E28" i="17"/>
  <c r="F28" i="17" s="1"/>
  <c r="E24" i="17"/>
  <c r="F24" i="17" s="1"/>
  <c r="E20" i="17"/>
  <c r="F20" i="17" s="1"/>
  <c r="E16" i="17"/>
  <c r="F16" i="17" s="1"/>
  <c r="E8" i="17"/>
  <c r="F8" i="17" s="1"/>
  <c r="I8" i="17" s="1"/>
  <c r="I31" i="17"/>
  <c r="F2" i="17"/>
  <c r="I30" i="17"/>
  <c r="I27" i="17"/>
  <c r="I26" i="17"/>
  <c r="I22" i="17"/>
  <c r="I18" i="17"/>
  <c r="I15" i="17"/>
  <c r="I14" i="17"/>
  <c r="I11" i="17"/>
  <c r="I10" i="17"/>
  <c r="E5" i="17"/>
  <c r="F5" i="17" s="1"/>
  <c r="E7" i="17"/>
  <c r="F7" i="17" s="1"/>
  <c r="E9" i="17"/>
  <c r="F9" i="17" s="1"/>
  <c r="I19" i="17"/>
  <c r="I23" i="17"/>
  <c r="I20" i="17"/>
  <c r="I28" i="17"/>
  <c r="E13" i="17"/>
  <c r="F13" i="17" s="1"/>
  <c r="E17" i="17"/>
  <c r="F17" i="17" s="1"/>
  <c r="E21" i="17"/>
  <c r="F21" i="17" s="1"/>
  <c r="E25" i="17"/>
  <c r="F25" i="17" s="1"/>
  <c r="E29" i="17"/>
  <c r="F29" i="17" s="1"/>
  <c r="E33" i="17"/>
  <c r="F33" i="17" s="1"/>
  <c r="F5" i="12"/>
  <c r="G5" i="12"/>
  <c r="AV4" i="17" l="1"/>
  <c r="AV5" i="17"/>
  <c r="AU8" i="17"/>
  <c r="AW8" i="17" s="1"/>
  <c r="AX8" i="17" s="1"/>
  <c r="AV9" i="17"/>
  <c r="AU10" i="17"/>
  <c r="AV11" i="17"/>
  <c r="AU14" i="17"/>
  <c r="AW14" i="17" s="1"/>
  <c r="AX14" i="17" s="1"/>
  <c r="AV15" i="17"/>
  <c r="AU18" i="17"/>
  <c r="AV19" i="17"/>
  <c r="AY1" i="17"/>
  <c r="AU7" i="17"/>
  <c r="AV8" i="17"/>
  <c r="AV10" i="17"/>
  <c r="AU13" i="17"/>
  <c r="AW13" i="17" s="1"/>
  <c r="AX13" i="17" s="1"/>
  <c r="AV14" i="17"/>
  <c r="AU17" i="17"/>
  <c r="AV18" i="17"/>
  <c r="AT2" i="17"/>
  <c r="AU5" i="17"/>
  <c r="AU6" i="17"/>
  <c r="AV7" i="17"/>
  <c r="AU12" i="17"/>
  <c r="AW12" i="17" s="1"/>
  <c r="AX12" i="17" s="1"/>
  <c r="AV13" i="17"/>
  <c r="AU16" i="17"/>
  <c r="AW16" i="17" s="1"/>
  <c r="AX16" i="17" s="1"/>
  <c r="AV17" i="17"/>
  <c r="AU20" i="17"/>
  <c r="AU21" i="17"/>
  <c r="AU22" i="17"/>
  <c r="AU23" i="17"/>
  <c r="AV6" i="17"/>
  <c r="AW6" i="17" s="1"/>
  <c r="AX6" i="17" s="1"/>
  <c r="AV16" i="17"/>
  <c r="AU26" i="17"/>
  <c r="AV27" i="17"/>
  <c r="AU29" i="17"/>
  <c r="AW29" i="17" s="1"/>
  <c r="AX29" i="17" s="1"/>
  <c r="AV30" i="17"/>
  <c r="AV31" i="17"/>
  <c r="AV32" i="17"/>
  <c r="AV33" i="17"/>
  <c r="AU27" i="17"/>
  <c r="AU32" i="17"/>
  <c r="AW32" i="17" s="1"/>
  <c r="AX32" i="17" s="1"/>
  <c r="AU4" i="17"/>
  <c r="AU15" i="17"/>
  <c r="AW15" i="17" s="1"/>
  <c r="AX15" i="17" s="1"/>
  <c r="AU25" i="17"/>
  <c r="AV26" i="17"/>
  <c r="AV29" i="17"/>
  <c r="AU9" i="17"/>
  <c r="AW9" i="17" s="1"/>
  <c r="AX9" i="17" s="1"/>
  <c r="AU19" i="17"/>
  <c r="AW19" i="17" s="1"/>
  <c r="AX19" i="17" s="1"/>
  <c r="AV24" i="17"/>
  <c r="AV28" i="17"/>
  <c r="AU33" i="17"/>
  <c r="AW33" i="17" s="1"/>
  <c r="AX33" i="17" s="1"/>
  <c r="AV12" i="17"/>
  <c r="AV20" i="17"/>
  <c r="AV21" i="17"/>
  <c r="AV22" i="17"/>
  <c r="AV23" i="17"/>
  <c r="AU24" i="17"/>
  <c r="AV25" i="17"/>
  <c r="AU28" i="17"/>
  <c r="AW28" i="17" s="1"/>
  <c r="AX28" i="17" s="1"/>
  <c r="AU11" i="17"/>
  <c r="AU30" i="17"/>
  <c r="AW30" i="17" s="1"/>
  <c r="AX30" i="17" s="1"/>
  <c r="AU31" i="17"/>
  <c r="AW31" i="17" s="1"/>
  <c r="AX31" i="17" s="1"/>
  <c r="AW18" i="17"/>
  <c r="AX18" i="17" s="1"/>
  <c r="AW17" i="17"/>
  <c r="AX17" i="17" s="1"/>
  <c r="AW25" i="17"/>
  <c r="AX25" i="17" s="1"/>
  <c r="AS5" i="17"/>
  <c r="AT5" i="17" s="1"/>
  <c r="AW5" i="17" s="1"/>
  <c r="AX5" i="17" s="1"/>
  <c r="AW4" i="17"/>
  <c r="AX4" i="17" s="1"/>
  <c r="AW23" i="17"/>
  <c r="AX23" i="17" s="1"/>
  <c r="AW10" i="17"/>
  <c r="AX10" i="17" s="1"/>
  <c r="AW24" i="17"/>
  <c r="AX24" i="17" s="1"/>
  <c r="AW7" i="17"/>
  <c r="AX7" i="17" s="1"/>
  <c r="AW26" i="17"/>
  <c r="AX26" i="17" s="1"/>
  <c r="AW20" i="17"/>
  <c r="AX20" i="17" s="1"/>
  <c r="AW27" i="17"/>
  <c r="AX27" i="17" s="1"/>
  <c r="AW11" i="17"/>
  <c r="AX11" i="17" s="1"/>
  <c r="Y15" i="17"/>
  <c r="Z15" i="17" s="1"/>
  <c r="AC15" i="17" s="1"/>
  <c r="AD15" i="17" s="1"/>
  <c r="AC28" i="17"/>
  <c r="AD28" i="17" s="1"/>
  <c r="Y8" i="17"/>
  <c r="Z8" i="17" s="1"/>
  <c r="AC8" i="17" s="1"/>
  <c r="AD8" i="17" s="1"/>
  <c r="Y16" i="17"/>
  <c r="Z16" i="17" s="1"/>
  <c r="AC16" i="17" s="1"/>
  <c r="AD16" i="17" s="1"/>
  <c r="Y11" i="17"/>
  <c r="Z11" i="17" s="1"/>
  <c r="AC11" i="17" s="1"/>
  <c r="AD11" i="17" s="1"/>
  <c r="Y19" i="17"/>
  <c r="Z19" i="17" s="1"/>
  <c r="AC19" i="17" s="1"/>
  <c r="AD19" i="17" s="1"/>
  <c r="AI1" i="17"/>
  <c r="AD2" i="17"/>
  <c r="AF4" i="17"/>
  <c r="AE7" i="17"/>
  <c r="AF8" i="17"/>
  <c r="AE11" i="17"/>
  <c r="AF12" i="17"/>
  <c r="AE15" i="17"/>
  <c r="AF16" i="17"/>
  <c r="AE19" i="17"/>
  <c r="AE20" i="17"/>
  <c r="AE21" i="17"/>
  <c r="AE22" i="17"/>
  <c r="AG22" i="17" s="1"/>
  <c r="AH22" i="17" s="1"/>
  <c r="AE23" i="17"/>
  <c r="AG23" i="17" s="1"/>
  <c r="AH23" i="17" s="1"/>
  <c r="AE24" i="17"/>
  <c r="AG24" i="17" s="1"/>
  <c r="AH24" i="17" s="1"/>
  <c r="AE6" i="17"/>
  <c r="AG6" i="17" s="1"/>
  <c r="AH6" i="17" s="1"/>
  <c r="AF7" i="17"/>
  <c r="AG7" i="17" s="1"/>
  <c r="AH7" i="17" s="1"/>
  <c r="AE10" i="17"/>
  <c r="AG10" i="17" s="1"/>
  <c r="AH10" i="17" s="1"/>
  <c r="AF11" i="17"/>
  <c r="AE14" i="17"/>
  <c r="AF15" i="17"/>
  <c r="AE18" i="17"/>
  <c r="AG18" i="17" s="1"/>
  <c r="AH18" i="17" s="1"/>
  <c r="AF19" i="17"/>
  <c r="AF20" i="17"/>
  <c r="AF21" i="17"/>
  <c r="AG21" i="17" s="1"/>
  <c r="AH21" i="17" s="1"/>
  <c r="AF22" i="17"/>
  <c r="AF23" i="17"/>
  <c r="AF24" i="17"/>
  <c r="AF25" i="17"/>
  <c r="AF26" i="17"/>
  <c r="AF6" i="17"/>
  <c r="AF10" i="17"/>
  <c r="AF14" i="17"/>
  <c r="AG14" i="17" s="1"/>
  <c r="AH14" i="17" s="1"/>
  <c r="AF18" i="17"/>
  <c r="AE27" i="17"/>
  <c r="AG27" i="17" s="1"/>
  <c r="AH27" i="17" s="1"/>
  <c r="AE28" i="17"/>
  <c r="AE29" i="17"/>
  <c r="AG29" i="17" s="1"/>
  <c r="AH29" i="17" s="1"/>
  <c r="AE30" i="17"/>
  <c r="AE31" i="17"/>
  <c r="AG31" i="17" s="1"/>
  <c r="AH31" i="17" s="1"/>
  <c r="AE32" i="17"/>
  <c r="AG32" i="17" s="1"/>
  <c r="AH32" i="17" s="1"/>
  <c r="AE33" i="17"/>
  <c r="AG33" i="17" s="1"/>
  <c r="AH33" i="17" s="1"/>
  <c r="AE5" i="17"/>
  <c r="AG5" i="17" s="1"/>
  <c r="AH5" i="17" s="1"/>
  <c r="AE9" i="17"/>
  <c r="AG9" i="17" s="1"/>
  <c r="AH9" i="17" s="1"/>
  <c r="AE13" i="17"/>
  <c r="AG13" i="17" s="1"/>
  <c r="AH13" i="17" s="1"/>
  <c r="AE17" i="17"/>
  <c r="AE25" i="17"/>
  <c r="AG25" i="17" s="1"/>
  <c r="AH25" i="17" s="1"/>
  <c r="AE26" i="17"/>
  <c r="AG26" i="17" s="1"/>
  <c r="AH26" i="17" s="1"/>
  <c r="AF27" i="17"/>
  <c r="AF28" i="17"/>
  <c r="AF29" i="17"/>
  <c r="AF30" i="17"/>
  <c r="AG30" i="17" s="1"/>
  <c r="AH30" i="17" s="1"/>
  <c r="AF31" i="17"/>
  <c r="AF32" i="17"/>
  <c r="AF33" i="17"/>
  <c r="AE4" i="17"/>
  <c r="AG4" i="17" s="1"/>
  <c r="AH4" i="17" s="1"/>
  <c r="AF5" i="17"/>
  <c r="AE8" i="17"/>
  <c r="AF9" i="17"/>
  <c r="AE12" i="17"/>
  <c r="AG12" i="17" s="1"/>
  <c r="AH12" i="17" s="1"/>
  <c r="AF13" i="17"/>
  <c r="AE16" i="17"/>
  <c r="AF17" i="17"/>
  <c r="AG20" i="17"/>
  <c r="AH20" i="17" s="1"/>
  <c r="AG17" i="17"/>
  <c r="AH17" i="17" s="1"/>
  <c r="I32" i="17"/>
  <c r="I16" i="17"/>
  <c r="I12" i="17"/>
  <c r="I24" i="17"/>
  <c r="I29" i="17"/>
  <c r="I21" i="17"/>
  <c r="I13" i="17"/>
  <c r="I9" i="17"/>
  <c r="I5" i="17"/>
  <c r="I33" i="17"/>
  <c r="I25" i="17"/>
  <c r="I17" i="17"/>
  <c r="I7" i="17"/>
  <c r="F6" i="12"/>
  <c r="G6" i="12"/>
  <c r="BA14" i="17" l="1"/>
  <c r="BB14" i="17" s="1"/>
  <c r="BA31" i="17"/>
  <c r="BB31" i="17" s="1"/>
  <c r="BA12" i="17"/>
  <c r="BB12" i="17" s="1"/>
  <c r="BC1" i="17"/>
  <c r="AX2" i="17"/>
  <c r="AZ4" i="17"/>
  <c r="AZ5" i="17"/>
  <c r="AY4" i="17"/>
  <c r="AY6" i="17"/>
  <c r="BA6" i="17" s="1"/>
  <c r="BB6" i="17" s="1"/>
  <c r="AZ7" i="17"/>
  <c r="AZ10" i="17"/>
  <c r="AY13" i="17"/>
  <c r="BA13" i="17" s="1"/>
  <c r="BB13" i="17" s="1"/>
  <c r="AZ14" i="17"/>
  <c r="AY17" i="17"/>
  <c r="AZ18" i="17"/>
  <c r="AZ6" i="17"/>
  <c r="AY9" i="17"/>
  <c r="BA9" i="17" s="1"/>
  <c r="BB9" i="17" s="1"/>
  <c r="AY12" i="17"/>
  <c r="AZ13" i="17"/>
  <c r="AY16" i="17"/>
  <c r="AZ17" i="17"/>
  <c r="AY8" i="17"/>
  <c r="BA8" i="17" s="1"/>
  <c r="BB8" i="17" s="1"/>
  <c r="AZ9" i="17"/>
  <c r="AY11" i="17"/>
  <c r="AZ12" i="17"/>
  <c r="AY15" i="17"/>
  <c r="AZ16" i="17"/>
  <c r="BA16" i="17" s="1"/>
  <c r="BB16" i="17" s="1"/>
  <c r="AY19" i="17"/>
  <c r="AY20" i="17"/>
  <c r="BA20" i="17" s="1"/>
  <c r="BB20" i="17" s="1"/>
  <c r="AY21" i="17"/>
  <c r="AY22" i="17"/>
  <c r="AY23" i="17"/>
  <c r="BA23" i="17" s="1"/>
  <c r="BB23" i="17" s="1"/>
  <c r="AZ11" i="17"/>
  <c r="AZ19" i="17"/>
  <c r="AY24" i="17"/>
  <c r="BA24" i="17" s="1"/>
  <c r="BB24" i="17" s="1"/>
  <c r="AZ25" i="17"/>
  <c r="AY28" i="17"/>
  <c r="BA28" i="17" s="1"/>
  <c r="BB28" i="17" s="1"/>
  <c r="AZ29" i="17"/>
  <c r="AZ30" i="17"/>
  <c r="AZ31" i="17"/>
  <c r="AZ32" i="17"/>
  <c r="AZ33" i="17"/>
  <c r="AZ22" i="17"/>
  <c r="AZ8" i="17"/>
  <c r="AY14" i="17"/>
  <c r="AZ24" i="17"/>
  <c r="AY27" i="17"/>
  <c r="BA27" i="17" s="1"/>
  <c r="BB27" i="17" s="1"/>
  <c r="AZ28" i="17"/>
  <c r="AY18" i="17"/>
  <c r="BA18" i="17" s="1"/>
  <c r="BB18" i="17" s="1"/>
  <c r="AZ20" i="17"/>
  <c r="AZ23" i="17"/>
  <c r="AY25" i="17"/>
  <c r="AY33" i="17"/>
  <c r="BA33" i="17" s="1"/>
  <c r="BB33" i="17" s="1"/>
  <c r="AY5" i="17"/>
  <c r="AZ15" i="17"/>
  <c r="BA15" i="17" s="1"/>
  <c r="BB15" i="17" s="1"/>
  <c r="AY26" i="17"/>
  <c r="BA26" i="17" s="1"/>
  <c r="BB26" i="17" s="1"/>
  <c r="AZ27" i="17"/>
  <c r="AY7" i="17"/>
  <c r="AY10" i="17"/>
  <c r="BA10" i="17" s="1"/>
  <c r="BB10" i="17" s="1"/>
  <c r="AZ21" i="17"/>
  <c r="AZ26" i="17"/>
  <c r="AY29" i="17"/>
  <c r="BA29" i="17" s="1"/>
  <c r="BB29" i="17" s="1"/>
  <c r="AY30" i="17"/>
  <c r="BA30" i="17" s="1"/>
  <c r="BB30" i="17" s="1"/>
  <c r="AY31" i="17"/>
  <c r="AY32" i="17"/>
  <c r="BA32" i="17" s="1"/>
  <c r="BB32" i="17" s="1"/>
  <c r="BA4" i="17"/>
  <c r="BB4" i="17" s="1"/>
  <c r="BA25" i="17"/>
  <c r="BB25" i="17" s="1"/>
  <c r="AW22" i="17"/>
  <c r="AX22" i="17" s="1"/>
  <c r="BA5" i="17"/>
  <c r="BB5" i="17" s="1"/>
  <c r="BA11" i="17"/>
  <c r="BB11" i="17" s="1"/>
  <c r="BA7" i="17"/>
  <c r="BB7" i="17" s="1"/>
  <c r="BA17" i="17"/>
  <c r="BB17" i="17" s="1"/>
  <c r="BA19" i="17"/>
  <c r="BB19" i="17" s="1"/>
  <c r="AW21" i="17"/>
  <c r="AX21" i="17" s="1"/>
  <c r="BA21" i="17" s="1"/>
  <c r="BB21" i="17" s="1"/>
  <c r="AK5" i="17"/>
  <c r="AK7" i="17"/>
  <c r="AI6" i="17"/>
  <c r="AK6" i="17" s="1"/>
  <c r="AJ7" i="17"/>
  <c r="AI10" i="17"/>
  <c r="AK10" i="17" s="1"/>
  <c r="AJ11" i="17"/>
  <c r="AI14" i="17"/>
  <c r="AK14" i="17" s="1"/>
  <c r="AJ15" i="17"/>
  <c r="AI18" i="17"/>
  <c r="AK18" i="17" s="1"/>
  <c r="AJ19" i="17"/>
  <c r="AI20" i="17"/>
  <c r="AK20" i="17" s="1"/>
  <c r="AI21" i="17"/>
  <c r="AK21" i="17" s="1"/>
  <c r="AI22" i="17"/>
  <c r="AK22" i="17" s="1"/>
  <c r="AI23" i="17"/>
  <c r="AK23" i="17" s="1"/>
  <c r="AI24" i="17"/>
  <c r="AK24" i="17" s="1"/>
  <c r="AH2" i="17"/>
  <c r="AI5" i="17"/>
  <c r="AJ6" i="17"/>
  <c r="AI9" i="17"/>
  <c r="AK9" i="17" s="1"/>
  <c r="AJ10" i="17"/>
  <c r="AI13" i="17"/>
  <c r="AK13" i="17" s="1"/>
  <c r="AJ14" i="17"/>
  <c r="AI17" i="17"/>
  <c r="AK17" i="17" s="1"/>
  <c r="AJ18" i="17"/>
  <c r="AJ20" i="17"/>
  <c r="AJ21" i="17"/>
  <c r="AJ22" i="17"/>
  <c r="AJ23" i="17"/>
  <c r="AJ24" i="17"/>
  <c r="AJ25" i="17"/>
  <c r="AI4" i="17"/>
  <c r="AK4" i="17" s="1"/>
  <c r="AJ5" i="17"/>
  <c r="AI8" i="17"/>
  <c r="AJ9" i="17"/>
  <c r="AI12" i="17"/>
  <c r="AK12" i="17" s="1"/>
  <c r="AJ13" i="17"/>
  <c r="AI16" i="17"/>
  <c r="AJ17" i="17"/>
  <c r="AJ4" i="17"/>
  <c r="AJ8" i="17"/>
  <c r="AJ12" i="17"/>
  <c r="AJ16" i="17"/>
  <c r="AI25" i="17"/>
  <c r="AK25" i="17" s="1"/>
  <c r="AI26" i="17"/>
  <c r="AK26" i="17" s="1"/>
  <c r="AI27" i="17"/>
  <c r="AK27" i="17" s="1"/>
  <c r="AI28" i="17"/>
  <c r="AI29" i="17"/>
  <c r="AK29" i="17" s="1"/>
  <c r="AI30" i="17"/>
  <c r="AK30" i="17" s="1"/>
  <c r="AI31" i="17"/>
  <c r="AK31" i="17" s="1"/>
  <c r="AI32" i="17"/>
  <c r="AK32" i="17" s="1"/>
  <c r="AI33" i="17"/>
  <c r="AK33" i="17" s="1"/>
  <c r="AI7" i="17"/>
  <c r="AI11" i="17"/>
  <c r="AI15" i="17"/>
  <c r="AI19" i="17"/>
  <c r="AJ26" i="17"/>
  <c r="AJ27" i="17"/>
  <c r="AJ28" i="17"/>
  <c r="AJ29" i="17"/>
  <c r="AJ30" i="17"/>
  <c r="AJ31" i="17"/>
  <c r="AJ32" i="17"/>
  <c r="AJ33" i="17"/>
  <c r="AG8" i="17"/>
  <c r="AH8" i="17" s="1"/>
  <c r="AK8" i="17" s="1"/>
  <c r="AG19" i="17"/>
  <c r="AH19" i="17" s="1"/>
  <c r="AG28" i="17"/>
  <c r="AH28" i="17" s="1"/>
  <c r="AK28" i="17" s="1"/>
  <c r="AG11" i="17"/>
  <c r="AH11" i="17" s="1"/>
  <c r="AK11" i="17" s="1"/>
  <c r="AG16" i="17"/>
  <c r="AH16" i="17" s="1"/>
  <c r="AK16" i="17" s="1"/>
  <c r="AG15" i="17"/>
  <c r="AH15" i="17" s="1"/>
  <c r="AK15" i="17" s="1"/>
  <c r="F7" i="12"/>
  <c r="G7" i="12"/>
  <c r="BE27" i="17" l="1"/>
  <c r="BE20" i="17"/>
  <c r="BE21" i="17"/>
  <c r="BE12" i="17"/>
  <c r="BE7" i="17"/>
  <c r="BA22" i="17"/>
  <c r="BB22" i="17" s="1"/>
  <c r="BE22" i="17" s="1"/>
  <c r="BD4" i="17"/>
  <c r="BE4" i="17" s="1"/>
  <c r="BD5" i="17"/>
  <c r="BB2" i="17"/>
  <c r="BC5" i="17"/>
  <c r="BE5" i="17" s="1"/>
  <c r="BC8" i="17"/>
  <c r="BE8" i="17" s="1"/>
  <c r="BD9" i="17"/>
  <c r="BC12" i="17"/>
  <c r="BD13" i="17"/>
  <c r="BC16" i="17"/>
  <c r="BE16" i="17" s="1"/>
  <c r="BD17" i="17"/>
  <c r="BC4" i="17"/>
  <c r="BC7" i="17"/>
  <c r="BD8" i="17"/>
  <c r="BC11" i="17"/>
  <c r="BE11" i="17" s="1"/>
  <c r="BD12" i="17"/>
  <c r="BC15" i="17"/>
  <c r="BE15" i="17" s="1"/>
  <c r="BD16" i="17"/>
  <c r="BC19" i="17"/>
  <c r="BE19" i="17" s="1"/>
  <c r="BC6" i="17"/>
  <c r="BE6" i="17" s="1"/>
  <c r="BD7" i="17"/>
  <c r="BC10" i="17"/>
  <c r="BE10" i="17" s="1"/>
  <c r="BD11" i="17"/>
  <c r="BC14" i="17"/>
  <c r="BE14" i="17" s="1"/>
  <c r="BD15" i="17"/>
  <c r="BC18" i="17"/>
  <c r="BE18" i="17" s="1"/>
  <c r="BD19" i="17"/>
  <c r="BC20" i="17"/>
  <c r="BC21" i="17"/>
  <c r="BC22" i="17"/>
  <c r="BC23" i="17"/>
  <c r="BE23" i="17" s="1"/>
  <c r="BC9" i="17"/>
  <c r="BE9" i="17" s="1"/>
  <c r="BD10" i="17"/>
  <c r="BC17" i="17"/>
  <c r="BE17" i="17" s="1"/>
  <c r="BD18" i="17"/>
  <c r="BD20" i="17"/>
  <c r="BD21" i="17"/>
  <c r="BD22" i="17"/>
  <c r="BD23" i="17"/>
  <c r="BC26" i="17"/>
  <c r="BE26" i="17" s="1"/>
  <c r="BD27" i="17"/>
  <c r="BD28" i="17"/>
  <c r="BE28" i="17" s="1"/>
  <c r="BD30" i="17"/>
  <c r="BE30" i="17" s="1"/>
  <c r="BD31" i="17"/>
  <c r="BD32" i="17"/>
  <c r="BD33" i="17"/>
  <c r="BC32" i="17"/>
  <c r="BE32" i="17" s="1"/>
  <c r="BD6" i="17"/>
  <c r="BC25" i="17"/>
  <c r="BE25" i="17" s="1"/>
  <c r="BD26" i="17"/>
  <c r="BD24" i="17"/>
  <c r="BC27" i="17"/>
  <c r="BC28" i="17"/>
  <c r="BC33" i="17"/>
  <c r="BE33" i="17" s="1"/>
  <c r="BC13" i="17"/>
  <c r="BE13" i="17" s="1"/>
  <c r="BD14" i="17"/>
  <c r="BC24" i="17"/>
  <c r="BE24" i="17" s="1"/>
  <c r="BD25" i="17"/>
  <c r="BC29" i="17"/>
  <c r="BE29" i="17" s="1"/>
  <c r="BD29" i="17"/>
  <c r="BC30" i="17"/>
  <c r="BC31" i="17"/>
  <c r="BE31" i="17" s="1"/>
  <c r="AK19" i="17"/>
  <c r="F8" i="12"/>
  <c r="G8" i="12"/>
  <c r="F9" i="12" l="1"/>
  <c r="G9" i="12"/>
  <c r="F10" i="12" l="1"/>
  <c r="G10" i="12"/>
  <c r="F11" i="12" l="1"/>
  <c r="G11" i="12"/>
  <c r="F12" i="12" l="1"/>
  <c r="G12" i="12"/>
  <c r="F13" i="12" l="1"/>
  <c r="G13" i="12"/>
  <c r="F14" i="12" l="1"/>
  <c r="G14" i="12"/>
  <c r="F15" i="12" l="1"/>
  <c r="G15" i="12"/>
  <c r="F16" i="12" l="1"/>
  <c r="G16" i="12"/>
  <c r="F17" i="12" l="1"/>
  <c r="G17" i="12"/>
  <c r="F18" i="12" l="1"/>
  <c r="G18" i="12"/>
  <c r="F19" i="12" l="1"/>
  <c r="G19" i="12"/>
  <c r="F20" i="12" l="1"/>
  <c r="G20" i="12"/>
  <c r="F21" i="12" l="1"/>
  <c r="G21" i="12"/>
  <c r="F22" i="12" l="1"/>
  <c r="G22" i="12"/>
  <c r="F23" i="12" l="1"/>
  <c r="G23" i="12"/>
  <c r="F24" i="12" l="1"/>
  <c r="G24" i="12"/>
  <c r="F25" i="12" l="1"/>
  <c r="G25" i="12"/>
  <c r="F26" i="12" l="1"/>
  <c r="G26" i="12"/>
  <c r="F27" i="12" l="1"/>
  <c r="G27" i="12"/>
  <c r="F28" i="12" l="1"/>
  <c r="G28" i="12"/>
  <c r="F29" i="12" l="1"/>
  <c r="G29" i="12"/>
  <c r="F30" i="12" l="1"/>
  <c r="G30" i="12"/>
  <c r="F31" i="12" l="1"/>
  <c r="G31" i="12"/>
  <c r="F32" i="12" l="1"/>
  <c r="G32" i="12"/>
  <c r="F33" i="12"/>
  <c r="G33" i="12"/>
  <c r="I9" i="7"/>
  <c r="I10" i="7"/>
  <c r="I11" i="7"/>
  <c r="I12" i="7"/>
  <c r="J12" i="7" s="1"/>
  <c r="I13" i="7"/>
  <c r="I14" i="7"/>
  <c r="I15" i="7"/>
  <c r="I16" i="7"/>
  <c r="J16" i="7" s="1"/>
  <c r="I17" i="7"/>
  <c r="I18" i="7"/>
  <c r="J18" i="7" s="1"/>
  <c r="I19" i="7"/>
  <c r="J19" i="7" s="1"/>
  <c r="I20" i="7"/>
  <c r="J20" i="7" s="1"/>
  <c r="I21" i="7"/>
  <c r="I22" i="7"/>
  <c r="I23" i="7"/>
  <c r="I24" i="7"/>
  <c r="J24" i="7" s="1"/>
  <c r="I25" i="7"/>
  <c r="I26" i="7"/>
  <c r="J26" i="7" s="1"/>
  <c r="I27" i="7"/>
  <c r="J27" i="7" s="1"/>
  <c r="I28" i="7"/>
  <c r="J28" i="7" s="1"/>
  <c r="I29" i="7"/>
  <c r="I30" i="7"/>
  <c r="I31" i="7"/>
  <c r="I32" i="7"/>
  <c r="J32" i="7" s="1"/>
  <c r="I33" i="7"/>
  <c r="I34" i="7"/>
  <c r="J34" i="7" s="1"/>
  <c r="I35" i="7"/>
  <c r="J35" i="7" s="1"/>
  <c r="I36" i="7"/>
  <c r="J36" i="7" s="1"/>
  <c r="I37" i="7"/>
  <c r="J9" i="7"/>
  <c r="J10" i="7"/>
  <c r="J11" i="7"/>
  <c r="J13" i="7"/>
  <c r="J14" i="7"/>
  <c r="J15" i="7"/>
  <c r="J17" i="7"/>
  <c r="J21" i="7"/>
  <c r="J22" i="7"/>
  <c r="J23" i="7"/>
  <c r="J25" i="7"/>
  <c r="J29" i="7"/>
  <c r="J30" i="7"/>
  <c r="J31" i="7"/>
  <c r="J33" i="7"/>
  <c r="J37" i="7"/>
  <c r="J8" i="7"/>
  <c r="I8" i="7"/>
  <c r="AA1" i="8"/>
  <c r="AE1" i="8" s="1"/>
  <c r="AI1" i="8"/>
  <c r="AM1" i="8"/>
  <c r="Z2" i="8"/>
  <c r="AA4" i="8"/>
  <c r="AB4" i="8"/>
  <c r="AF4" i="8"/>
  <c r="AJ4" i="8"/>
  <c r="AN4" i="8"/>
  <c r="AA5" i="8"/>
  <c r="AB5" i="8"/>
  <c r="AF5" i="8"/>
  <c r="AJ5" i="8"/>
  <c r="AN5" i="8"/>
  <c r="AA6" i="8"/>
  <c r="AB6" i="8"/>
  <c r="AF6" i="8"/>
  <c r="AJ6" i="8"/>
  <c r="AN6" i="8"/>
  <c r="AA7" i="8"/>
  <c r="AB7" i="8"/>
  <c r="AF7" i="8"/>
  <c r="AJ7" i="8"/>
  <c r="AN7" i="8"/>
  <c r="AA8" i="8"/>
  <c r="AB8" i="8"/>
  <c r="AF8" i="8"/>
  <c r="AJ8" i="8"/>
  <c r="AN8" i="8"/>
  <c r="AA9" i="8"/>
  <c r="AB9" i="8"/>
  <c r="AF9" i="8"/>
  <c r="AJ9" i="8"/>
  <c r="AN9" i="8"/>
  <c r="AA10" i="8"/>
  <c r="AB10" i="8"/>
  <c r="AF10" i="8"/>
  <c r="AJ10" i="8"/>
  <c r="AN10" i="8"/>
  <c r="AA11" i="8"/>
  <c r="AB11" i="8"/>
  <c r="AF11" i="8"/>
  <c r="AJ11" i="8"/>
  <c r="AN11" i="8"/>
  <c r="AA12" i="8"/>
  <c r="AB12" i="8"/>
  <c r="AF12" i="8"/>
  <c r="AJ12" i="8"/>
  <c r="AN12" i="8"/>
  <c r="AA13" i="8"/>
  <c r="AB13" i="8"/>
  <c r="AF13" i="8"/>
  <c r="AJ13" i="8"/>
  <c r="AN13" i="8"/>
  <c r="AA14" i="8"/>
  <c r="AB14" i="8"/>
  <c r="AF14" i="8"/>
  <c r="AJ14" i="8"/>
  <c r="AN14" i="8"/>
  <c r="AA15" i="8"/>
  <c r="AB15" i="8"/>
  <c r="AF15" i="8"/>
  <c r="AJ15" i="8"/>
  <c r="AN15" i="8"/>
  <c r="AA16" i="8"/>
  <c r="AB16" i="8"/>
  <c r="AF16" i="8"/>
  <c r="AJ16" i="8"/>
  <c r="AN16" i="8"/>
  <c r="AA17" i="8"/>
  <c r="AB17" i="8"/>
  <c r="AF17" i="8"/>
  <c r="AJ17" i="8"/>
  <c r="AN17" i="8"/>
  <c r="AA18" i="8"/>
  <c r="AB18" i="8"/>
  <c r="AF18" i="8"/>
  <c r="AJ18" i="8"/>
  <c r="AN18" i="8"/>
  <c r="AA19" i="8"/>
  <c r="AB19" i="8"/>
  <c r="AF19" i="8"/>
  <c r="AJ19" i="8"/>
  <c r="AN19" i="8"/>
  <c r="AA20" i="8"/>
  <c r="AB20" i="8"/>
  <c r="AF20" i="8"/>
  <c r="AJ20" i="8"/>
  <c r="AN20" i="8"/>
  <c r="AA21" i="8"/>
  <c r="AB21" i="8"/>
  <c r="AF21" i="8"/>
  <c r="AJ21" i="8"/>
  <c r="AN21" i="8"/>
  <c r="AA22" i="8"/>
  <c r="AB22" i="8"/>
  <c r="AF22" i="8"/>
  <c r="AJ22" i="8"/>
  <c r="AN22" i="8"/>
  <c r="AA23" i="8"/>
  <c r="AB23" i="8"/>
  <c r="AF23" i="8"/>
  <c r="AJ23" i="8"/>
  <c r="AN23" i="8"/>
  <c r="AA24" i="8"/>
  <c r="AB24" i="8"/>
  <c r="AE24" i="8"/>
  <c r="AF24" i="8"/>
  <c r="AI24" i="8"/>
  <c r="AJ24" i="8"/>
  <c r="AM24" i="8"/>
  <c r="AN24" i="8"/>
  <c r="AA25" i="8"/>
  <c r="AB25" i="8"/>
  <c r="AE25" i="8"/>
  <c r="AF25" i="8"/>
  <c r="AI25" i="8"/>
  <c r="AJ25" i="8"/>
  <c r="AM25" i="8"/>
  <c r="AN25" i="8"/>
  <c r="AA26" i="8"/>
  <c r="AB26" i="8"/>
  <c r="AE26" i="8"/>
  <c r="AF26" i="8"/>
  <c r="AI26" i="8"/>
  <c r="AJ26" i="8"/>
  <c r="AM26" i="8"/>
  <c r="AN26" i="8"/>
  <c r="AA27" i="8"/>
  <c r="AB27" i="8"/>
  <c r="AE27" i="8"/>
  <c r="AF27" i="8"/>
  <c r="AI27" i="8"/>
  <c r="AJ27" i="8"/>
  <c r="AM27" i="8"/>
  <c r="AN27" i="8"/>
  <c r="AA28" i="8"/>
  <c r="AB28" i="8"/>
  <c r="AE28" i="8"/>
  <c r="AF28" i="8"/>
  <c r="AI28" i="8"/>
  <c r="AJ28" i="8"/>
  <c r="AM28" i="8"/>
  <c r="AN28" i="8"/>
  <c r="AA29" i="8"/>
  <c r="AB29" i="8"/>
  <c r="AE29" i="8"/>
  <c r="AF29" i="8"/>
  <c r="AI29" i="8"/>
  <c r="AJ29" i="8"/>
  <c r="AM29" i="8"/>
  <c r="AN29" i="8"/>
  <c r="AA30" i="8"/>
  <c r="AB30" i="8"/>
  <c r="AE30" i="8"/>
  <c r="AF30" i="8"/>
  <c r="AI30" i="8"/>
  <c r="AJ30" i="8"/>
  <c r="AM30" i="8"/>
  <c r="AN30" i="8"/>
  <c r="AA31" i="8"/>
  <c r="AB31" i="8"/>
  <c r="AE31" i="8"/>
  <c r="AF31" i="8"/>
  <c r="AI31" i="8"/>
  <c r="AJ31" i="8"/>
  <c r="AM31" i="8"/>
  <c r="AN31" i="8"/>
  <c r="AA32" i="8"/>
  <c r="AB32" i="8"/>
  <c r="AE32" i="8"/>
  <c r="AF32" i="8"/>
  <c r="AI32" i="8"/>
  <c r="AJ32" i="8"/>
  <c r="AM32" i="8"/>
  <c r="AN32" i="8"/>
  <c r="AA33" i="8"/>
  <c r="AB33" i="8"/>
  <c r="AE33" i="8"/>
  <c r="AF33" i="8"/>
  <c r="AI33" i="8"/>
  <c r="AJ33" i="8"/>
  <c r="AM33" i="8"/>
  <c r="AN33" i="8"/>
  <c r="S1" i="8"/>
  <c r="W1" i="8" s="1"/>
  <c r="S7" i="8"/>
  <c r="T7" i="8"/>
  <c r="S8" i="8"/>
  <c r="T8" i="8"/>
  <c r="S9" i="8"/>
  <c r="T9" i="8"/>
  <c r="S10" i="8"/>
  <c r="T10" i="8"/>
  <c r="S11" i="8"/>
  <c r="T11" i="8"/>
  <c r="S12" i="8"/>
  <c r="T12" i="8"/>
  <c r="S13" i="8"/>
  <c r="T13" i="8"/>
  <c r="S14" i="8"/>
  <c r="T14" i="8"/>
  <c r="S15" i="8"/>
  <c r="T15" i="8"/>
  <c r="S16" i="8"/>
  <c r="T16" i="8"/>
  <c r="S17" i="8"/>
  <c r="T17" i="8"/>
  <c r="S18" i="8"/>
  <c r="T18" i="8"/>
  <c r="S19" i="8"/>
  <c r="T19" i="8"/>
  <c r="S20" i="8"/>
  <c r="T20" i="8"/>
  <c r="S21" i="8"/>
  <c r="T21" i="8"/>
  <c r="S22" i="8"/>
  <c r="T22" i="8"/>
  <c r="S23" i="8"/>
  <c r="T23" i="8"/>
  <c r="S24" i="8"/>
  <c r="T24" i="8"/>
  <c r="S25" i="8"/>
  <c r="T25" i="8"/>
  <c r="S26" i="8"/>
  <c r="T26" i="8"/>
  <c r="S27" i="8"/>
  <c r="T27" i="8"/>
  <c r="S28" i="8"/>
  <c r="T28" i="8"/>
  <c r="S29" i="8"/>
  <c r="T29" i="8"/>
  <c r="S30" i="8"/>
  <c r="T30" i="8"/>
  <c r="S31" i="8"/>
  <c r="T31" i="8"/>
  <c r="S32" i="8"/>
  <c r="T32" i="8"/>
  <c r="S33" i="8"/>
  <c r="T33" i="8"/>
  <c r="O1" i="8"/>
  <c r="N2" i="8"/>
  <c r="O4" i="8"/>
  <c r="P4" i="8"/>
  <c r="O5" i="8"/>
  <c r="P5" i="8"/>
  <c r="O6" i="8"/>
  <c r="P6" i="8"/>
  <c r="O7" i="8"/>
  <c r="P7" i="8"/>
  <c r="O8" i="8"/>
  <c r="P8" i="8"/>
  <c r="O9" i="8"/>
  <c r="P9" i="8"/>
  <c r="O10" i="8"/>
  <c r="P10" i="8"/>
  <c r="O11" i="8"/>
  <c r="P11" i="8"/>
  <c r="O12" i="8"/>
  <c r="P12" i="8"/>
  <c r="O13" i="8"/>
  <c r="P13" i="8"/>
  <c r="O14" i="8"/>
  <c r="P14" i="8"/>
  <c r="O15" i="8"/>
  <c r="P15" i="8"/>
  <c r="O16" i="8"/>
  <c r="P16" i="8"/>
  <c r="O17" i="8"/>
  <c r="P17" i="8"/>
  <c r="O18" i="8"/>
  <c r="P18" i="8"/>
  <c r="O19" i="8"/>
  <c r="P19" i="8"/>
  <c r="O20" i="8"/>
  <c r="P20" i="8"/>
  <c r="O21" i="8"/>
  <c r="P21" i="8"/>
  <c r="O22" i="8"/>
  <c r="P22" i="8"/>
  <c r="O23" i="8"/>
  <c r="P23" i="8"/>
  <c r="O24" i="8"/>
  <c r="P24" i="8"/>
  <c r="O25" i="8"/>
  <c r="P25" i="8"/>
  <c r="O26" i="8"/>
  <c r="P26" i="8"/>
  <c r="O27" i="8"/>
  <c r="P27" i="8"/>
  <c r="O28" i="8"/>
  <c r="P28" i="8"/>
  <c r="O29" i="8"/>
  <c r="P29" i="8"/>
  <c r="O30" i="8"/>
  <c r="P30" i="8"/>
  <c r="O31" i="8"/>
  <c r="P31" i="8"/>
  <c r="O32" i="8"/>
  <c r="P32" i="8"/>
  <c r="O33" i="8"/>
  <c r="P33" i="8"/>
  <c r="K1" i="8"/>
  <c r="J2" i="8" s="1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4" i="8"/>
  <c r="C5" i="8"/>
  <c r="C6" i="8"/>
  <c r="C7" i="8"/>
  <c r="E7" i="8" s="1"/>
  <c r="F7" i="8" s="1"/>
  <c r="I7" i="8" s="1"/>
  <c r="J7" i="8" s="1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4" i="8"/>
  <c r="B5" i="8"/>
  <c r="E5" i="8" s="1"/>
  <c r="B6" i="8"/>
  <c r="B7" i="8"/>
  <c r="B8" i="8"/>
  <c r="B9" i="8"/>
  <c r="E9" i="8" s="1"/>
  <c r="B10" i="8"/>
  <c r="B11" i="8"/>
  <c r="B12" i="8"/>
  <c r="B13" i="8"/>
  <c r="E13" i="8" s="1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4" i="8"/>
  <c r="F2" i="8"/>
  <c r="B2" i="8"/>
  <c r="G1" i="8"/>
  <c r="E19" i="8"/>
  <c r="H4" i="7"/>
  <c r="E3" i="4"/>
  <c r="F3" i="4" s="1"/>
  <c r="E4" i="4"/>
  <c r="F4" i="4" s="1"/>
  <c r="E5" i="4"/>
  <c r="F5" i="4" s="1"/>
  <c r="E6" i="4"/>
  <c r="F6" i="4" s="1"/>
  <c r="E7" i="4"/>
  <c r="F7" i="4" s="1"/>
  <c r="E8" i="4"/>
  <c r="F8" i="4" s="1"/>
  <c r="E9" i="4"/>
  <c r="F9" i="4" s="1"/>
  <c r="E10" i="4"/>
  <c r="F10" i="4" s="1"/>
  <c r="E11" i="4"/>
  <c r="F11" i="4" s="1"/>
  <c r="E12" i="4"/>
  <c r="F12" i="4" s="1"/>
  <c r="E13" i="4"/>
  <c r="F13" i="4" s="1"/>
  <c r="E14" i="4"/>
  <c r="F14" i="4" s="1"/>
  <c r="E15" i="4"/>
  <c r="F15" i="4" s="1"/>
  <c r="E16" i="4"/>
  <c r="F16" i="4" s="1"/>
  <c r="E17" i="4"/>
  <c r="F17" i="4" s="1"/>
  <c r="E18" i="4"/>
  <c r="F18" i="4" s="1"/>
  <c r="E19" i="4"/>
  <c r="F19" i="4" s="1"/>
  <c r="E20" i="4"/>
  <c r="F20" i="4" s="1"/>
  <c r="E21" i="4"/>
  <c r="F21" i="4" s="1"/>
  <c r="E22" i="4"/>
  <c r="F22" i="4" s="1"/>
  <c r="E23" i="4"/>
  <c r="F23" i="4" s="1"/>
  <c r="E24" i="4"/>
  <c r="F24" i="4" s="1"/>
  <c r="E25" i="4"/>
  <c r="F25" i="4" s="1"/>
  <c r="E26" i="4"/>
  <c r="F26" i="4" s="1"/>
  <c r="E27" i="4"/>
  <c r="F27" i="4" s="1"/>
  <c r="E28" i="4"/>
  <c r="F28" i="4" s="1"/>
  <c r="E29" i="4"/>
  <c r="F29" i="4" s="1"/>
  <c r="E30" i="4"/>
  <c r="F30" i="4" s="1"/>
  <c r="E31" i="4"/>
  <c r="F31" i="4" s="1"/>
  <c r="E32" i="4"/>
  <c r="F32" i="4" s="1"/>
  <c r="E33" i="4"/>
  <c r="F33" i="4" s="1"/>
  <c r="E34" i="4"/>
  <c r="F34" i="4" s="1"/>
  <c r="E35" i="4"/>
  <c r="F35" i="4" s="1"/>
  <c r="E36" i="4"/>
  <c r="F36" i="4" s="1"/>
  <c r="E37" i="4"/>
  <c r="F37" i="4" s="1"/>
  <c r="E38" i="4"/>
  <c r="F38" i="4" s="1"/>
  <c r="E39" i="4"/>
  <c r="F39" i="4" s="1"/>
  <c r="E40" i="4"/>
  <c r="F40" i="4" s="1"/>
  <c r="E41" i="4"/>
  <c r="F41" i="4" s="1"/>
  <c r="E42" i="4"/>
  <c r="F42" i="4" s="1"/>
  <c r="E43" i="4"/>
  <c r="F43" i="4" s="1"/>
  <c r="E44" i="4"/>
  <c r="F44" i="4" s="1"/>
  <c r="E45" i="4"/>
  <c r="F45" i="4" s="1"/>
  <c r="E46" i="4"/>
  <c r="F46" i="4" s="1"/>
  <c r="E47" i="4"/>
  <c r="F47" i="4" s="1"/>
  <c r="E48" i="4"/>
  <c r="F48" i="4" s="1"/>
  <c r="E49" i="4"/>
  <c r="F49" i="4" s="1"/>
  <c r="E50" i="4"/>
  <c r="F50" i="4" s="1"/>
  <c r="E51" i="4"/>
  <c r="F51" i="4" s="1"/>
  <c r="E52" i="4"/>
  <c r="F52" i="4" s="1"/>
  <c r="E53" i="4"/>
  <c r="F53" i="4" s="1"/>
  <c r="E54" i="4"/>
  <c r="F54" i="4" s="1"/>
  <c r="E55" i="4"/>
  <c r="F55" i="4" s="1"/>
  <c r="E56" i="4"/>
  <c r="F56" i="4" s="1"/>
  <c r="E57" i="4"/>
  <c r="F57" i="4" s="1"/>
  <c r="E58" i="4"/>
  <c r="F58" i="4" s="1"/>
  <c r="E59" i="4"/>
  <c r="F59" i="4" s="1"/>
  <c r="E60" i="4"/>
  <c r="F60" i="4" s="1"/>
  <c r="E61" i="4"/>
  <c r="F61" i="4" s="1"/>
  <c r="E62" i="4"/>
  <c r="F62" i="4" s="1"/>
  <c r="E63" i="4"/>
  <c r="F63" i="4" s="1"/>
  <c r="E64" i="4"/>
  <c r="F64" i="4" s="1"/>
  <c r="E65" i="4"/>
  <c r="F65" i="4" s="1"/>
  <c r="E66" i="4"/>
  <c r="F66" i="4" s="1"/>
  <c r="E67" i="4"/>
  <c r="F67" i="4" s="1"/>
  <c r="E68" i="4"/>
  <c r="F68" i="4" s="1"/>
  <c r="E69" i="4"/>
  <c r="F69" i="4" s="1"/>
  <c r="E70" i="4"/>
  <c r="F70" i="4" s="1"/>
  <c r="E71" i="4"/>
  <c r="F71" i="4" s="1"/>
  <c r="E72" i="4"/>
  <c r="F72" i="4" s="1"/>
  <c r="E73" i="4"/>
  <c r="F73" i="4" s="1"/>
  <c r="E74" i="4"/>
  <c r="F74" i="4" s="1"/>
  <c r="E75" i="4"/>
  <c r="F75" i="4" s="1"/>
  <c r="E76" i="4"/>
  <c r="F76" i="4" s="1"/>
  <c r="E77" i="4"/>
  <c r="F77" i="4" s="1"/>
  <c r="E78" i="4"/>
  <c r="F78" i="4" s="1"/>
  <c r="E79" i="4"/>
  <c r="F79" i="4" s="1"/>
  <c r="E80" i="4"/>
  <c r="F80" i="4" s="1"/>
  <c r="E81" i="4"/>
  <c r="F81" i="4" s="1"/>
  <c r="E82" i="4"/>
  <c r="F82" i="4" s="1"/>
  <c r="E83" i="4"/>
  <c r="F83" i="4" s="1"/>
  <c r="E84" i="4"/>
  <c r="F84" i="4" s="1"/>
  <c r="E85" i="4"/>
  <c r="F85" i="4" s="1"/>
  <c r="E86" i="4"/>
  <c r="F86" i="4" s="1"/>
  <c r="E87" i="4"/>
  <c r="F87" i="4" s="1"/>
  <c r="E88" i="4"/>
  <c r="F88" i="4" s="1"/>
  <c r="E89" i="4"/>
  <c r="F89" i="4" s="1"/>
  <c r="E90" i="4"/>
  <c r="F90" i="4" s="1"/>
  <c r="E91" i="4"/>
  <c r="F91" i="4" s="1"/>
  <c r="E92" i="4"/>
  <c r="F92" i="4" s="1"/>
  <c r="E93" i="4"/>
  <c r="F93" i="4" s="1"/>
  <c r="E94" i="4"/>
  <c r="F94" i="4" s="1"/>
  <c r="E95" i="4"/>
  <c r="F95" i="4" s="1"/>
  <c r="E96" i="4"/>
  <c r="F96" i="4" s="1"/>
  <c r="E97" i="4"/>
  <c r="F97" i="4" s="1"/>
  <c r="E98" i="4"/>
  <c r="F98" i="4" s="1"/>
  <c r="E99" i="4"/>
  <c r="F99" i="4" s="1"/>
  <c r="E100" i="4"/>
  <c r="F100" i="4" s="1"/>
  <c r="E101" i="4"/>
  <c r="F101" i="4" s="1"/>
  <c r="E102" i="4"/>
  <c r="F102" i="4" s="1"/>
  <c r="E103" i="4"/>
  <c r="F103" i="4" s="1"/>
  <c r="E104" i="4"/>
  <c r="F104" i="4" s="1"/>
  <c r="E105" i="4"/>
  <c r="F105" i="4" s="1"/>
  <c r="E106" i="4"/>
  <c r="F106" i="4" s="1"/>
  <c r="E107" i="4"/>
  <c r="F107" i="4" s="1"/>
  <c r="E108" i="4"/>
  <c r="F108" i="4" s="1"/>
  <c r="E109" i="4"/>
  <c r="F109" i="4" s="1"/>
  <c r="E110" i="4"/>
  <c r="F110" i="4" s="1"/>
  <c r="E111" i="4"/>
  <c r="F111" i="4" s="1"/>
  <c r="E112" i="4"/>
  <c r="F112" i="4" s="1"/>
  <c r="E113" i="4"/>
  <c r="F113" i="4" s="1"/>
  <c r="E114" i="4"/>
  <c r="F114" i="4" s="1"/>
  <c r="E115" i="4"/>
  <c r="F115" i="4" s="1"/>
  <c r="E116" i="4"/>
  <c r="F116" i="4" s="1"/>
  <c r="E117" i="4"/>
  <c r="F117" i="4" s="1"/>
  <c r="E118" i="4"/>
  <c r="F118" i="4" s="1"/>
  <c r="E119" i="4"/>
  <c r="F119" i="4" s="1"/>
  <c r="E120" i="4"/>
  <c r="F120" i="4" s="1"/>
  <c r="E121" i="4"/>
  <c r="F121" i="4" s="1"/>
  <c r="E122" i="4"/>
  <c r="F122" i="4" s="1"/>
  <c r="E123" i="4"/>
  <c r="F123" i="4" s="1"/>
  <c r="E124" i="4"/>
  <c r="F124" i="4" s="1"/>
  <c r="E125" i="4"/>
  <c r="F125" i="4" s="1"/>
  <c r="E126" i="4"/>
  <c r="F126" i="4" s="1"/>
  <c r="E127" i="4"/>
  <c r="F127" i="4" s="1"/>
  <c r="E128" i="4"/>
  <c r="F128" i="4" s="1"/>
  <c r="E129" i="4"/>
  <c r="F129" i="4" s="1"/>
  <c r="E130" i="4"/>
  <c r="F130" i="4" s="1"/>
  <c r="E131" i="4"/>
  <c r="F131" i="4" s="1"/>
  <c r="E132" i="4"/>
  <c r="F132" i="4" s="1"/>
  <c r="E133" i="4"/>
  <c r="F133" i="4" s="1"/>
  <c r="E134" i="4"/>
  <c r="F134" i="4" s="1"/>
  <c r="E135" i="4"/>
  <c r="F135" i="4" s="1"/>
  <c r="E136" i="4"/>
  <c r="F136" i="4" s="1"/>
  <c r="E137" i="4"/>
  <c r="F137" i="4" s="1"/>
  <c r="E138" i="4"/>
  <c r="F138" i="4" s="1"/>
  <c r="E139" i="4"/>
  <c r="F139" i="4" s="1"/>
  <c r="E140" i="4"/>
  <c r="F140" i="4" s="1"/>
  <c r="E141" i="4"/>
  <c r="F141" i="4" s="1"/>
  <c r="E142" i="4"/>
  <c r="F142" i="4" s="1"/>
  <c r="E143" i="4"/>
  <c r="F143" i="4" s="1"/>
  <c r="E144" i="4"/>
  <c r="F144" i="4" s="1"/>
  <c r="E145" i="4"/>
  <c r="F145" i="4" s="1"/>
  <c r="E146" i="4"/>
  <c r="F146" i="4" s="1"/>
  <c r="E147" i="4"/>
  <c r="F147" i="4" s="1"/>
  <c r="E148" i="4"/>
  <c r="F148" i="4" s="1"/>
  <c r="E149" i="4"/>
  <c r="F149" i="4" s="1"/>
  <c r="E150" i="4"/>
  <c r="F150" i="4" s="1"/>
  <c r="E151" i="4"/>
  <c r="F151" i="4" s="1"/>
  <c r="E152" i="4"/>
  <c r="F152" i="4" s="1"/>
  <c r="E153" i="4"/>
  <c r="F153" i="4" s="1"/>
  <c r="E154" i="4"/>
  <c r="F154" i="4" s="1"/>
  <c r="E155" i="4"/>
  <c r="F155" i="4" s="1"/>
  <c r="E156" i="4"/>
  <c r="F156" i="4" s="1"/>
  <c r="E157" i="4"/>
  <c r="F157" i="4" s="1"/>
  <c r="E158" i="4"/>
  <c r="F158" i="4" s="1"/>
  <c r="E159" i="4"/>
  <c r="F159" i="4" s="1"/>
  <c r="E160" i="4"/>
  <c r="F160" i="4" s="1"/>
  <c r="E161" i="4"/>
  <c r="F161" i="4" s="1"/>
  <c r="E162" i="4"/>
  <c r="F162" i="4" s="1"/>
  <c r="E163" i="4"/>
  <c r="F163" i="4" s="1"/>
  <c r="E164" i="4"/>
  <c r="F164" i="4" s="1"/>
  <c r="E165" i="4"/>
  <c r="F165" i="4" s="1"/>
  <c r="E166" i="4"/>
  <c r="F166" i="4" s="1"/>
  <c r="E167" i="4"/>
  <c r="F167" i="4" s="1"/>
  <c r="E168" i="4"/>
  <c r="F168" i="4" s="1"/>
  <c r="E169" i="4"/>
  <c r="F169" i="4" s="1"/>
  <c r="E170" i="4"/>
  <c r="F170" i="4" s="1"/>
  <c r="E171" i="4"/>
  <c r="F171" i="4" s="1"/>
  <c r="E172" i="4"/>
  <c r="F172" i="4" s="1"/>
  <c r="E173" i="4"/>
  <c r="F173" i="4" s="1"/>
  <c r="E174" i="4"/>
  <c r="F174" i="4" s="1"/>
  <c r="E175" i="4"/>
  <c r="F175" i="4" s="1"/>
  <c r="E176" i="4"/>
  <c r="F176" i="4" s="1"/>
  <c r="E177" i="4"/>
  <c r="F177" i="4" s="1"/>
  <c r="E178" i="4"/>
  <c r="F178" i="4" s="1"/>
  <c r="E179" i="4"/>
  <c r="F179" i="4" s="1"/>
  <c r="E180" i="4"/>
  <c r="F180" i="4" s="1"/>
  <c r="E181" i="4"/>
  <c r="F181" i="4" s="1"/>
  <c r="E182" i="4"/>
  <c r="F182" i="4" s="1"/>
  <c r="E183" i="4"/>
  <c r="F183" i="4" s="1"/>
  <c r="E184" i="4"/>
  <c r="F184" i="4" s="1"/>
  <c r="E185" i="4"/>
  <c r="F185" i="4" s="1"/>
  <c r="E186" i="4"/>
  <c r="F186" i="4" s="1"/>
  <c r="E187" i="4"/>
  <c r="F187" i="4" s="1"/>
  <c r="E188" i="4"/>
  <c r="F188" i="4" s="1"/>
  <c r="E189" i="4"/>
  <c r="F189" i="4" s="1"/>
  <c r="E190" i="4"/>
  <c r="F190" i="4" s="1"/>
  <c r="E191" i="4"/>
  <c r="F191" i="4" s="1"/>
  <c r="E192" i="4"/>
  <c r="F192" i="4" s="1"/>
  <c r="E193" i="4"/>
  <c r="F193" i="4" s="1"/>
  <c r="E194" i="4"/>
  <c r="F194" i="4" s="1"/>
  <c r="E195" i="4"/>
  <c r="F195" i="4" s="1"/>
  <c r="E196" i="4"/>
  <c r="F196" i="4" s="1"/>
  <c r="E197" i="4"/>
  <c r="F197" i="4" s="1"/>
  <c r="E198" i="4"/>
  <c r="F198" i="4" s="1"/>
  <c r="E199" i="4"/>
  <c r="F199" i="4" s="1"/>
  <c r="E200" i="4"/>
  <c r="F200" i="4" s="1"/>
  <c r="E201" i="4"/>
  <c r="F201" i="4" s="1"/>
  <c r="E202" i="4"/>
  <c r="F202" i="4" s="1"/>
  <c r="E203" i="4"/>
  <c r="F203" i="4" s="1"/>
  <c r="E204" i="4"/>
  <c r="F204" i="4" s="1"/>
  <c r="E205" i="4"/>
  <c r="F205" i="4" s="1"/>
  <c r="E206" i="4"/>
  <c r="F206" i="4" s="1"/>
  <c r="E207" i="4"/>
  <c r="F207" i="4" s="1"/>
  <c r="E208" i="4"/>
  <c r="F208" i="4" s="1"/>
  <c r="E209" i="4"/>
  <c r="F209" i="4" s="1"/>
  <c r="E210" i="4"/>
  <c r="F210" i="4" s="1"/>
  <c r="E211" i="4"/>
  <c r="F211" i="4" s="1"/>
  <c r="E212" i="4"/>
  <c r="F212" i="4" s="1"/>
  <c r="E213" i="4"/>
  <c r="F213" i="4" s="1"/>
  <c r="E214" i="4"/>
  <c r="F214" i="4" s="1"/>
  <c r="E215" i="4"/>
  <c r="F215" i="4" s="1"/>
  <c r="E216" i="4"/>
  <c r="F216" i="4" s="1"/>
  <c r="E217" i="4"/>
  <c r="F217" i="4" s="1"/>
  <c r="E218" i="4"/>
  <c r="F218" i="4" s="1"/>
  <c r="E219" i="4"/>
  <c r="F219" i="4" s="1"/>
  <c r="E220" i="4"/>
  <c r="F220" i="4" s="1"/>
  <c r="E221" i="4"/>
  <c r="F221" i="4" s="1"/>
  <c r="E222" i="4"/>
  <c r="F222" i="4" s="1"/>
  <c r="E223" i="4"/>
  <c r="F223" i="4" s="1"/>
  <c r="E224" i="4"/>
  <c r="F224" i="4" s="1"/>
  <c r="E225" i="4"/>
  <c r="F225" i="4" s="1"/>
  <c r="E226" i="4"/>
  <c r="F226" i="4" s="1"/>
  <c r="E227" i="4"/>
  <c r="F227" i="4" s="1"/>
  <c r="E228" i="4"/>
  <c r="F228" i="4" s="1"/>
  <c r="E229" i="4"/>
  <c r="F229" i="4" s="1"/>
  <c r="E230" i="4"/>
  <c r="F230" i="4" s="1"/>
  <c r="E231" i="4"/>
  <c r="F231" i="4" s="1"/>
  <c r="E232" i="4"/>
  <c r="F232" i="4" s="1"/>
  <c r="E233" i="4"/>
  <c r="F233" i="4" s="1"/>
  <c r="E234" i="4"/>
  <c r="F234" i="4" s="1"/>
  <c r="E235" i="4"/>
  <c r="F235" i="4" s="1"/>
  <c r="E236" i="4"/>
  <c r="F236" i="4" s="1"/>
  <c r="E237" i="4"/>
  <c r="F237" i="4" s="1"/>
  <c r="E238" i="4"/>
  <c r="F238" i="4" s="1"/>
  <c r="E239" i="4"/>
  <c r="F239" i="4" s="1"/>
  <c r="E240" i="4"/>
  <c r="F240" i="4" s="1"/>
  <c r="E241" i="4"/>
  <c r="F241" i="4" s="1"/>
  <c r="E242" i="4"/>
  <c r="F242" i="4" s="1"/>
  <c r="E243" i="4"/>
  <c r="F243" i="4" s="1"/>
  <c r="E244" i="4"/>
  <c r="F244" i="4" s="1"/>
  <c r="E245" i="4"/>
  <c r="F245" i="4" s="1"/>
  <c r="E246" i="4"/>
  <c r="F246" i="4" s="1"/>
  <c r="E247" i="4"/>
  <c r="F247" i="4" s="1"/>
  <c r="E248" i="4"/>
  <c r="F248" i="4" s="1"/>
  <c r="E249" i="4"/>
  <c r="F249" i="4" s="1"/>
  <c r="E250" i="4"/>
  <c r="F250" i="4" s="1"/>
  <c r="E251" i="4"/>
  <c r="F251" i="4" s="1"/>
  <c r="E252" i="4"/>
  <c r="F252" i="4" s="1"/>
  <c r="E253" i="4"/>
  <c r="F253" i="4" s="1"/>
  <c r="E254" i="4"/>
  <c r="F254" i="4" s="1"/>
  <c r="E255" i="4"/>
  <c r="F255" i="4" s="1"/>
  <c r="E256" i="4"/>
  <c r="F256" i="4" s="1"/>
  <c r="E257" i="4"/>
  <c r="F257" i="4" s="1"/>
  <c r="E258" i="4"/>
  <c r="F258" i="4" s="1"/>
  <c r="E259" i="4"/>
  <c r="F259" i="4" s="1"/>
  <c r="E260" i="4"/>
  <c r="F260" i="4" s="1"/>
  <c r="E261" i="4"/>
  <c r="F261" i="4" s="1"/>
  <c r="E262" i="4"/>
  <c r="F262" i="4" s="1"/>
  <c r="E263" i="4"/>
  <c r="F263" i="4" s="1"/>
  <c r="E264" i="4"/>
  <c r="F264" i="4" s="1"/>
  <c r="E265" i="4"/>
  <c r="F265" i="4" s="1"/>
  <c r="E266" i="4"/>
  <c r="F266" i="4" s="1"/>
  <c r="E267" i="4"/>
  <c r="F267" i="4" s="1"/>
  <c r="E268" i="4"/>
  <c r="F268" i="4" s="1"/>
  <c r="E269" i="4"/>
  <c r="F269" i="4" s="1"/>
  <c r="E270" i="4"/>
  <c r="F270" i="4" s="1"/>
  <c r="E271" i="4"/>
  <c r="F271" i="4" s="1"/>
  <c r="E272" i="4"/>
  <c r="F272" i="4" s="1"/>
  <c r="E273" i="4"/>
  <c r="F273" i="4" s="1"/>
  <c r="E274" i="4"/>
  <c r="F274" i="4" s="1"/>
  <c r="E275" i="4"/>
  <c r="F275" i="4" s="1"/>
  <c r="E276" i="4"/>
  <c r="F276" i="4" s="1"/>
  <c r="E277" i="4"/>
  <c r="F277" i="4" s="1"/>
  <c r="E278" i="4"/>
  <c r="F278" i="4" s="1"/>
  <c r="E279" i="4"/>
  <c r="F279" i="4" s="1"/>
  <c r="E280" i="4"/>
  <c r="F280" i="4" s="1"/>
  <c r="E281" i="4"/>
  <c r="F281" i="4" s="1"/>
  <c r="E282" i="4"/>
  <c r="F282" i="4" s="1"/>
  <c r="E283" i="4"/>
  <c r="F283" i="4" s="1"/>
  <c r="E284" i="4"/>
  <c r="F284" i="4" s="1"/>
  <c r="E285" i="4"/>
  <c r="F285" i="4" s="1"/>
  <c r="E286" i="4"/>
  <c r="F286" i="4" s="1"/>
  <c r="E287" i="4"/>
  <c r="F287" i="4" s="1"/>
  <c r="E288" i="4"/>
  <c r="F288" i="4" s="1"/>
  <c r="E289" i="4"/>
  <c r="F289" i="4" s="1"/>
  <c r="E290" i="4"/>
  <c r="F290" i="4" s="1"/>
  <c r="E291" i="4"/>
  <c r="F291" i="4" s="1"/>
  <c r="E292" i="4"/>
  <c r="F292" i="4" s="1"/>
  <c r="E293" i="4"/>
  <c r="F293" i="4" s="1"/>
  <c r="E294" i="4"/>
  <c r="F294" i="4" s="1"/>
  <c r="E295" i="4"/>
  <c r="F295" i="4" s="1"/>
  <c r="E296" i="4"/>
  <c r="F296" i="4" s="1"/>
  <c r="E297" i="4"/>
  <c r="F297" i="4" s="1"/>
  <c r="E298" i="4"/>
  <c r="F298" i="4" s="1"/>
  <c r="E299" i="4"/>
  <c r="F299" i="4" s="1"/>
  <c r="E300" i="4"/>
  <c r="F300" i="4" s="1"/>
  <c r="E301" i="4"/>
  <c r="F301" i="4" s="1"/>
  <c r="E302" i="4"/>
  <c r="F302" i="4" s="1"/>
  <c r="E303" i="4"/>
  <c r="F303" i="4" s="1"/>
  <c r="E304" i="4"/>
  <c r="F304" i="4" s="1"/>
  <c r="E305" i="4"/>
  <c r="F305" i="4" s="1"/>
  <c r="E306" i="4"/>
  <c r="F306" i="4" s="1"/>
  <c r="E307" i="4"/>
  <c r="F307" i="4" s="1"/>
  <c r="E308" i="4"/>
  <c r="F308" i="4" s="1"/>
  <c r="E309" i="4"/>
  <c r="F309" i="4" s="1"/>
  <c r="E310" i="4"/>
  <c r="F310" i="4" s="1"/>
  <c r="E311" i="4"/>
  <c r="F311" i="4" s="1"/>
  <c r="E312" i="4"/>
  <c r="F312" i="4" s="1"/>
  <c r="E313" i="4"/>
  <c r="F313" i="4" s="1"/>
  <c r="E314" i="4"/>
  <c r="F314" i="4" s="1"/>
  <c r="E315" i="4"/>
  <c r="F315" i="4" s="1"/>
  <c r="E316" i="4"/>
  <c r="F316" i="4" s="1"/>
  <c r="E317" i="4"/>
  <c r="F317" i="4" s="1"/>
  <c r="E318" i="4"/>
  <c r="F318" i="4" s="1"/>
  <c r="E319" i="4"/>
  <c r="F319" i="4" s="1"/>
  <c r="E320" i="4"/>
  <c r="F320" i="4" s="1"/>
  <c r="E321" i="4"/>
  <c r="F321" i="4" s="1"/>
  <c r="E322" i="4"/>
  <c r="F322" i="4" s="1"/>
  <c r="E323" i="4"/>
  <c r="F323" i="4" s="1"/>
  <c r="E324" i="4"/>
  <c r="F324" i="4" s="1"/>
  <c r="E325" i="4"/>
  <c r="F325" i="4" s="1"/>
  <c r="E326" i="4"/>
  <c r="F326" i="4" s="1"/>
  <c r="E327" i="4"/>
  <c r="F327" i="4" s="1"/>
  <c r="E328" i="4"/>
  <c r="F328" i="4" s="1"/>
  <c r="E329" i="4"/>
  <c r="F329" i="4" s="1"/>
  <c r="E330" i="4"/>
  <c r="F330" i="4" s="1"/>
  <c r="E331" i="4"/>
  <c r="F331" i="4" s="1"/>
  <c r="E332" i="4"/>
  <c r="F332" i="4" s="1"/>
  <c r="E333" i="4"/>
  <c r="F333" i="4" s="1"/>
  <c r="E334" i="4"/>
  <c r="F334" i="4" s="1"/>
  <c r="E335" i="4"/>
  <c r="F335" i="4" s="1"/>
  <c r="E336" i="4"/>
  <c r="F336" i="4" s="1"/>
  <c r="E337" i="4"/>
  <c r="F337" i="4" s="1"/>
  <c r="E338" i="4"/>
  <c r="F338" i="4" s="1"/>
  <c r="E339" i="4"/>
  <c r="F339" i="4" s="1"/>
  <c r="E340" i="4"/>
  <c r="F340" i="4" s="1"/>
  <c r="E341" i="4"/>
  <c r="F341" i="4" s="1"/>
  <c r="E342" i="4"/>
  <c r="F342" i="4" s="1"/>
  <c r="E343" i="4"/>
  <c r="F343" i="4" s="1"/>
  <c r="E344" i="4"/>
  <c r="F344" i="4" s="1"/>
  <c r="E345" i="4"/>
  <c r="F345" i="4" s="1"/>
  <c r="E346" i="4"/>
  <c r="F346" i="4" s="1"/>
  <c r="E347" i="4"/>
  <c r="F347" i="4" s="1"/>
  <c r="E348" i="4"/>
  <c r="F348" i="4" s="1"/>
  <c r="E349" i="4"/>
  <c r="F349" i="4" s="1"/>
  <c r="E350" i="4"/>
  <c r="F350" i="4" s="1"/>
  <c r="E351" i="4"/>
  <c r="F351" i="4" s="1"/>
  <c r="E352" i="4"/>
  <c r="F352" i="4" s="1"/>
  <c r="E353" i="4"/>
  <c r="F353" i="4" s="1"/>
  <c r="E354" i="4"/>
  <c r="F354" i="4" s="1"/>
  <c r="E355" i="4"/>
  <c r="F355" i="4" s="1"/>
  <c r="E356" i="4"/>
  <c r="F356" i="4" s="1"/>
  <c r="E357" i="4"/>
  <c r="F357" i="4" s="1"/>
  <c r="E358" i="4"/>
  <c r="F358" i="4" s="1"/>
  <c r="E359" i="4"/>
  <c r="F359" i="4" s="1"/>
  <c r="E360" i="4"/>
  <c r="F360" i="4" s="1"/>
  <c r="E361" i="4"/>
  <c r="F361" i="4" s="1"/>
  <c r="E362" i="4"/>
  <c r="F362" i="4" s="1"/>
  <c r="E363" i="4"/>
  <c r="F363" i="4" s="1"/>
  <c r="E364" i="4"/>
  <c r="F364" i="4" s="1"/>
  <c r="E365" i="4"/>
  <c r="F365" i="4" s="1"/>
  <c r="E366" i="4"/>
  <c r="F366" i="4" s="1"/>
  <c r="E367" i="4"/>
  <c r="F367" i="4" s="1"/>
  <c r="E368" i="4"/>
  <c r="F368" i="4" s="1"/>
  <c r="E369" i="4"/>
  <c r="F369" i="4" s="1"/>
  <c r="E370" i="4"/>
  <c r="F370" i="4" s="1"/>
  <c r="E371" i="4"/>
  <c r="F371" i="4" s="1"/>
  <c r="E372" i="4"/>
  <c r="F372" i="4" s="1"/>
  <c r="E373" i="4"/>
  <c r="F373" i="4" s="1"/>
  <c r="E374" i="4"/>
  <c r="F374" i="4" s="1"/>
  <c r="E375" i="4"/>
  <c r="F375" i="4" s="1"/>
  <c r="E376" i="4"/>
  <c r="F376" i="4" s="1"/>
  <c r="E377" i="4"/>
  <c r="F377" i="4" s="1"/>
  <c r="E378" i="4"/>
  <c r="F378" i="4" s="1"/>
  <c r="E379" i="4"/>
  <c r="F379" i="4" s="1"/>
  <c r="E380" i="4"/>
  <c r="F380" i="4" s="1"/>
  <c r="E381" i="4"/>
  <c r="F381" i="4" s="1"/>
  <c r="E382" i="4"/>
  <c r="F382" i="4" s="1"/>
  <c r="E383" i="4"/>
  <c r="F383" i="4" s="1"/>
  <c r="E384" i="4"/>
  <c r="F384" i="4" s="1"/>
  <c r="E385" i="4"/>
  <c r="F385" i="4" s="1"/>
  <c r="E386" i="4"/>
  <c r="F386" i="4" s="1"/>
  <c r="E387" i="4"/>
  <c r="F387" i="4" s="1"/>
  <c r="E388" i="4"/>
  <c r="F388" i="4" s="1"/>
  <c r="E389" i="4"/>
  <c r="F389" i="4" s="1"/>
  <c r="E390" i="4"/>
  <c r="F390" i="4" s="1"/>
  <c r="E391" i="4"/>
  <c r="F391" i="4" s="1"/>
  <c r="E392" i="4"/>
  <c r="F392" i="4" s="1"/>
  <c r="E393" i="4"/>
  <c r="F393" i="4" s="1"/>
  <c r="E394" i="4"/>
  <c r="F394" i="4" s="1"/>
  <c r="E395" i="4"/>
  <c r="F395" i="4" s="1"/>
  <c r="E396" i="4"/>
  <c r="F396" i="4" s="1"/>
  <c r="E397" i="4"/>
  <c r="F397" i="4" s="1"/>
  <c r="E398" i="4"/>
  <c r="F398" i="4" s="1"/>
  <c r="E399" i="4"/>
  <c r="F399" i="4" s="1"/>
  <c r="E400" i="4"/>
  <c r="F400" i="4" s="1"/>
  <c r="E401" i="4"/>
  <c r="F401" i="4" s="1"/>
  <c r="E402" i="4"/>
  <c r="F402" i="4" s="1"/>
  <c r="E403" i="4"/>
  <c r="F403" i="4" s="1"/>
  <c r="E404" i="4"/>
  <c r="F404" i="4" s="1"/>
  <c r="E405" i="4"/>
  <c r="F405" i="4" s="1"/>
  <c r="E406" i="4"/>
  <c r="F406" i="4" s="1"/>
  <c r="E407" i="4"/>
  <c r="F407" i="4" s="1"/>
  <c r="E408" i="4"/>
  <c r="F408" i="4" s="1"/>
  <c r="E409" i="4"/>
  <c r="F409" i="4" s="1"/>
  <c r="E410" i="4"/>
  <c r="F410" i="4" s="1"/>
  <c r="E411" i="4"/>
  <c r="F411" i="4" s="1"/>
  <c r="E412" i="4"/>
  <c r="F412" i="4" s="1"/>
  <c r="E413" i="4"/>
  <c r="F413" i="4" s="1"/>
  <c r="E414" i="4"/>
  <c r="F414" i="4" s="1"/>
  <c r="E415" i="4"/>
  <c r="F415" i="4" s="1"/>
  <c r="E416" i="4"/>
  <c r="F416" i="4" s="1"/>
  <c r="E417" i="4"/>
  <c r="F417" i="4" s="1"/>
  <c r="E418" i="4"/>
  <c r="F418" i="4" s="1"/>
  <c r="E419" i="4"/>
  <c r="F419" i="4" s="1"/>
  <c r="E420" i="4"/>
  <c r="F420" i="4" s="1"/>
  <c r="E421" i="4"/>
  <c r="F421" i="4" s="1"/>
  <c r="E422" i="4"/>
  <c r="F422" i="4" s="1"/>
  <c r="E423" i="4"/>
  <c r="F423" i="4" s="1"/>
  <c r="E424" i="4"/>
  <c r="F424" i="4" s="1"/>
  <c r="E425" i="4"/>
  <c r="F425" i="4" s="1"/>
  <c r="E426" i="4"/>
  <c r="F426" i="4" s="1"/>
  <c r="E427" i="4"/>
  <c r="F427" i="4" s="1"/>
  <c r="E428" i="4"/>
  <c r="F428" i="4" s="1"/>
  <c r="E429" i="4"/>
  <c r="F429" i="4" s="1"/>
  <c r="E430" i="4"/>
  <c r="F430" i="4" s="1"/>
  <c r="E431" i="4"/>
  <c r="F431" i="4" s="1"/>
  <c r="E432" i="4"/>
  <c r="F432" i="4" s="1"/>
  <c r="E433" i="4"/>
  <c r="F433" i="4" s="1"/>
  <c r="E434" i="4"/>
  <c r="F434" i="4" s="1"/>
  <c r="E435" i="4"/>
  <c r="F435" i="4" s="1"/>
  <c r="E436" i="4"/>
  <c r="F436" i="4" s="1"/>
  <c r="E437" i="4"/>
  <c r="F437" i="4" s="1"/>
  <c r="E438" i="4"/>
  <c r="F438" i="4" s="1"/>
  <c r="E439" i="4"/>
  <c r="F439" i="4" s="1"/>
  <c r="E440" i="4"/>
  <c r="F440" i="4" s="1"/>
  <c r="E441" i="4"/>
  <c r="F441" i="4" s="1"/>
  <c r="E442" i="4"/>
  <c r="F442" i="4" s="1"/>
  <c r="E443" i="4"/>
  <c r="F443" i="4" s="1"/>
  <c r="E444" i="4"/>
  <c r="F444" i="4" s="1"/>
  <c r="E445" i="4"/>
  <c r="F445" i="4" s="1"/>
  <c r="E446" i="4"/>
  <c r="F446" i="4" s="1"/>
  <c r="E447" i="4"/>
  <c r="F447" i="4" s="1"/>
  <c r="E448" i="4"/>
  <c r="F448" i="4" s="1"/>
  <c r="E449" i="4"/>
  <c r="F449" i="4" s="1"/>
  <c r="E450" i="4"/>
  <c r="F450" i="4" s="1"/>
  <c r="E451" i="4"/>
  <c r="F451" i="4" s="1"/>
  <c r="E452" i="4"/>
  <c r="F452" i="4" s="1"/>
  <c r="E453" i="4"/>
  <c r="F453" i="4" s="1"/>
  <c r="E454" i="4"/>
  <c r="F454" i="4" s="1"/>
  <c r="E455" i="4"/>
  <c r="F455" i="4" s="1"/>
  <c r="E456" i="4"/>
  <c r="F456" i="4" s="1"/>
  <c r="E457" i="4"/>
  <c r="F457" i="4" s="1"/>
  <c r="E458" i="4"/>
  <c r="F458" i="4" s="1"/>
  <c r="E459" i="4"/>
  <c r="F459" i="4" s="1"/>
  <c r="E460" i="4"/>
  <c r="F460" i="4" s="1"/>
  <c r="E461" i="4"/>
  <c r="F461" i="4" s="1"/>
  <c r="E462" i="4"/>
  <c r="F462" i="4" s="1"/>
  <c r="E463" i="4"/>
  <c r="F463" i="4" s="1"/>
  <c r="E464" i="4"/>
  <c r="F464" i="4" s="1"/>
  <c r="E465" i="4"/>
  <c r="F465" i="4" s="1"/>
  <c r="E466" i="4"/>
  <c r="F466" i="4" s="1"/>
  <c r="E467" i="4"/>
  <c r="F467" i="4" s="1"/>
  <c r="E468" i="4"/>
  <c r="F468" i="4" s="1"/>
  <c r="E469" i="4"/>
  <c r="F469" i="4" s="1"/>
  <c r="E470" i="4"/>
  <c r="F470" i="4" s="1"/>
  <c r="E471" i="4"/>
  <c r="F471" i="4" s="1"/>
  <c r="E472" i="4"/>
  <c r="F472" i="4" s="1"/>
  <c r="E473" i="4"/>
  <c r="F473" i="4" s="1"/>
  <c r="E474" i="4"/>
  <c r="F474" i="4" s="1"/>
  <c r="E475" i="4"/>
  <c r="F475" i="4" s="1"/>
  <c r="E476" i="4"/>
  <c r="F476" i="4" s="1"/>
  <c r="E477" i="4"/>
  <c r="F477" i="4" s="1"/>
  <c r="E478" i="4"/>
  <c r="F478" i="4" s="1"/>
  <c r="E479" i="4"/>
  <c r="F479" i="4" s="1"/>
  <c r="E480" i="4"/>
  <c r="F480" i="4" s="1"/>
  <c r="E481" i="4"/>
  <c r="F481" i="4" s="1"/>
  <c r="E482" i="4"/>
  <c r="F482" i="4" s="1"/>
  <c r="E483" i="4"/>
  <c r="F483" i="4" s="1"/>
  <c r="E484" i="4"/>
  <c r="F484" i="4" s="1"/>
  <c r="E485" i="4"/>
  <c r="F485" i="4" s="1"/>
  <c r="E486" i="4"/>
  <c r="F486" i="4" s="1"/>
  <c r="E487" i="4"/>
  <c r="F487" i="4" s="1"/>
  <c r="E488" i="4"/>
  <c r="F488" i="4" s="1"/>
  <c r="E489" i="4"/>
  <c r="F489" i="4" s="1"/>
  <c r="E490" i="4"/>
  <c r="F490" i="4" s="1"/>
  <c r="E491" i="4"/>
  <c r="F491" i="4" s="1"/>
  <c r="E492" i="4"/>
  <c r="F492" i="4" s="1"/>
  <c r="E493" i="4"/>
  <c r="F493" i="4" s="1"/>
  <c r="E494" i="4"/>
  <c r="F494" i="4" s="1"/>
  <c r="E495" i="4"/>
  <c r="F495" i="4" s="1"/>
  <c r="E496" i="4"/>
  <c r="F496" i="4" s="1"/>
  <c r="E497" i="4"/>
  <c r="F497" i="4" s="1"/>
  <c r="E498" i="4"/>
  <c r="F498" i="4" s="1"/>
  <c r="E499" i="4"/>
  <c r="F499" i="4" s="1"/>
  <c r="E500" i="4"/>
  <c r="F500" i="4" s="1"/>
  <c r="E501" i="4"/>
  <c r="F501" i="4" s="1"/>
  <c r="E502" i="4"/>
  <c r="F502" i="4" s="1"/>
  <c r="E503" i="4"/>
  <c r="F503" i="4" s="1"/>
  <c r="E504" i="4"/>
  <c r="F504" i="4" s="1"/>
  <c r="E505" i="4"/>
  <c r="F505" i="4" s="1"/>
  <c r="E506" i="4"/>
  <c r="F506" i="4" s="1"/>
  <c r="E507" i="4"/>
  <c r="F507" i="4" s="1"/>
  <c r="E508" i="4"/>
  <c r="F508" i="4" s="1"/>
  <c r="E509" i="4"/>
  <c r="F509" i="4" s="1"/>
  <c r="E510" i="4"/>
  <c r="F510" i="4" s="1"/>
  <c r="E511" i="4"/>
  <c r="F511" i="4" s="1"/>
  <c r="E512" i="4"/>
  <c r="F512" i="4" s="1"/>
  <c r="E513" i="4"/>
  <c r="F513" i="4" s="1"/>
  <c r="E514" i="4"/>
  <c r="F514" i="4" s="1"/>
  <c r="E515" i="4"/>
  <c r="F515" i="4" s="1"/>
  <c r="E516" i="4"/>
  <c r="F516" i="4" s="1"/>
  <c r="E517" i="4"/>
  <c r="F517" i="4" s="1"/>
  <c r="E518" i="4"/>
  <c r="F518" i="4" s="1"/>
  <c r="E519" i="4"/>
  <c r="F519" i="4" s="1"/>
  <c r="E520" i="4"/>
  <c r="F520" i="4" s="1"/>
  <c r="E521" i="4"/>
  <c r="F521" i="4" s="1"/>
  <c r="E522" i="4"/>
  <c r="F522" i="4" s="1"/>
  <c r="E523" i="4"/>
  <c r="F523" i="4" s="1"/>
  <c r="E524" i="4"/>
  <c r="F524" i="4" s="1"/>
  <c r="E525" i="4"/>
  <c r="F525" i="4" s="1"/>
  <c r="E526" i="4"/>
  <c r="F526" i="4" s="1"/>
  <c r="E527" i="4"/>
  <c r="F527" i="4" s="1"/>
  <c r="E528" i="4"/>
  <c r="F528" i="4" s="1"/>
  <c r="E529" i="4"/>
  <c r="F529" i="4" s="1"/>
  <c r="E530" i="4"/>
  <c r="F530" i="4" s="1"/>
  <c r="E531" i="4"/>
  <c r="F531" i="4" s="1"/>
  <c r="E532" i="4"/>
  <c r="F532" i="4" s="1"/>
  <c r="E533" i="4"/>
  <c r="F533" i="4" s="1"/>
  <c r="E534" i="4"/>
  <c r="F534" i="4" s="1"/>
  <c r="E535" i="4"/>
  <c r="F535" i="4" s="1"/>
  <c r="E536" i="4"/>
  <c r="F536" i="4" s="1"/>
  <c r="E537" i="4"/>
  <c r="F537" i="4" s="1"/>
  <c r="E538" i="4"/>
  <c r="F538" i="4" s="1"/>
  <c r="E539" i="4"/>
  <c r="F539" i="4" s="1"/>
  <c r="E540" i="4"/>
  <c r="F540" i="4" s="1"/>
  <c r="E541" i="4"/>
  <c r="F541" i="4" s="1"/>
  <c r="E542" i="4"/>
  <c r="F542" i="4" s="1"/>
  <c r="E543" i="4"/>
  <c r="F543" i="4" s="1"/>
  <c r="E544" i="4"/>
  <c r="F544" i="4" s="1"/>
  <c r="E545" i="4"/>
  <c r="F545" i="4" s="1"/>
  <c r="E546" i="4"/>
  <c r="F546" i="4" s="1"/>
  <c r="E547" i="4"/>
  <c r="F547" i="4" s="1"/>
  <c r="E548" i="4"/>
  <c r="F548" i="4" s="1"/>
  <c r="E549" i="4"/>
  <c r="F549" i="4" s="1"/>
  <c r="E550" i="4"/>
  <c r="F550" i="4" s="1"/>
  <c r="E551" i="4"/>
  <c r="F551" i="4" s="1"/>
  <c r="E552" i="4"/>
  <c r="F552" i="4" s="1"/>
  <c r="E553" i="4"/>
  <c r="F553" i="4" s="1"/>
  <c r="E554" i="4"/>
  <c r="F554" i="4" s="1"/>
  <c r="E555" i="4"/>
  <c r="F555" i="4" s="1"/>
  <c r="E556" i="4"/>
  <c r="F556" i="4" s="1"/>
  <c r="E557" i="4"/>
  <c r="F557" i="4" s="1"/>
  <c r="E558" i="4"/>
  <c r="F558" i="4" s="1"/>
  <c r="E559" i="4"/>
  <c r="F559" i="4" s="1"/>
  <c r="E560" i="4"/>
  <c r="F560" i="4" s="1"/>
  <c r="E561" i="4"/>
  <c r="F561" i="4" s="1"/>
  <c r="E562" i="4"/>
  <c r="F562" i="4" s="1"/>
  <c r="E563" i="4"/>
  <c r="F563" i="4" s="1"/>
  <c r="E564" i="4"/>
  <c r="F564" i="4" s="1"/>
  <c r="E565" i="4"/>
  <c r="F565" i="4" s="1"/>
  <c r="E566" i="4"/>
  <c r="F566" i="4" s="1"/>
  <c r="E567" i="4"/>
  <c r="F567" i="4" s="1"/>
  <c r="E568" i="4"/>
  <c r="F568" i="4" s="1"/>
  <c r="E569" i="4"/>
  <c r="F569" i="4" s="1"/>
  <c r="E570" i="4"/>
  <c r="F570" i="4" s="1"/>
  <c r="E571" i="4"/>
  <c r="F571" i="4" s="1"/>
  <c r="E572" i="4"/>
  <c r="F572" i="4" s="1"/>
  <c r="E573" i="4"/>
  <c r="F573" i="4" s="1"/>
  <c r="E574" i="4"/>
  <c r="F574" i="4" s="1"/>
  <c r="E575" i="4"/>
  <c r="F575" i="4" s="1"/>
  <c r="E576" i="4"/>
  <c r="F576" i="4" s="1"/>
  <c r="E577" i="4"/>
  <c r="F577" i="4" s="1"/>
  <c r="E578" i="4"/>
  <c r="F578" i="4" s="1"/>
  <c r="E579" i="4"/>
  <c r="F579" i="4" s="1"/>
  <c r="E580" i="4"/>
  <c r="F580" i="4" s="1"/>
  <c r="E581" i="4"/>
  <c r="F581" i="4" s="1"/>
  <c r="E582" i="4"/>
  <c r="F582" i="4" s="1"/>
  <c r="E583" i="4"/>
  <c r="F583" i="4" s="1"/>
  <c r="E584" i="4"/>
  <c r="F584" i="4" s="1"/>
  <c r="E585" i="4"/>
  <c r="F585" i="4" s="1"/>
  <c r="E586" i="4"/>
  <c r="F586" i="4" s="1"/>
  <c r="E587" i="4"/>
  <c r="F587" i="4" s="1"/>
  <c r="E588" i="4"/>
  <c r="F588" i="4" s="1"/>
  <c r="E589" i="4"/>
  <c r="F589" i="4" s="1"/>
  <c r="E590" i="4"/>
  <c r="F590" i="4" s="1"/>
  <c r="E591" i="4"/>
  <c r="F591" i="4" s="1"/>
  <c r="E592" i="4"/>
  <c r="F592" i="4" s="1"/>
  <c r="E593" i="4"/>
  <c r="F593" i="4" s="1"/>
  <c r="E594" i="4"/>
  <c r="F594" i="4" s="1"/>
  <c r="E595" i="4"/>
  <c r="F595" i="4" s="1"/>
  <c r="E596" i="4"/>
  <c r="F596" i="4" s="1"/>
  <c r="E597" i="4"/>
  <c r="F597" i="4" s="1"/>
  <c r="E598" i="4"/>
  <c r="F598" i="4" s="1"/>
  <c r="E599" i="4"/>
  <c r="F599" i="4" s="1"/>
  <c r="E600" i="4"/>
  <c r="F600" i="4" s="1"/>
  <c r="E601" i="4"/>
  <c r="F601" i="4" s="1"/>
  <c r="E602" i="4"/>
  <c r="F602" i="4" s="1"/>
  <c r="E603" i="4"/>
  <c r="F603" i="4" s="1"/>
  <c r="E604" i="4"/>
  <c r="F604" i="4" s="1"/>
  <c r="E605" i="4"/>
  <c r="F605" i="4" s="1"/>
  <c r="E606" i="4"/>
  <c r="F606" i="4" s="1"/>
  <c r="E607" i="4"/>
  <c r="F607" i="4" s="1"/>
  <c r="E608" i="4"/>
  <c r="F608" i="4" s="1"/>
  <c r="E609" i="4"/>
  <c r="F609" i="4" s="1"/>
  <c r="E610" i="4"/>
  <c r="F610" i="4" s="1"/>
  <c r="E611" i="4"/>
  <c r="F611" i="4" s="1"/>
  <c r="E612" i="4"/>
  <c r="F612" i="4" s="1"/>
  <c r="E613" i="4"/>
  <c r="F613" i="4" s="1"/>
  <c r="E614" i="4"/>
  <c r="F614" i="4" s="1"/>
  <c r="E615" i="4"/>
  <c r="F615" i="4" s="1"/>
  <c r="E616" i="4"/>
  <c r="F616" i="4" s="1"/>
  <c r="E617" i="4"/>
  <c r="F617" i="4" s="1"/>
  <c r="E618" i="4"/>
  <c r="F618" i="4" s="1"/>
  <c r="E619" i="4"/>
  <c r="F619" i="4" s="1"/>
  <c r="E620" i="4"/>
  <c r="F620" i="4" s="1"/>
  <c r="E621" i="4"/>
  <c r="F621" i="4" s="1"/>
  <c r="E622" i="4"/>
  <c r="F622" i="4" s="1"/>
  <c r="E623" i="4"/>
  <c r="F623" i="4" s="1"/>
  <c r="E624" i="4"/>
  <c r="F624" i="4" s="1"/>
  <c r="E625" i="4"/>
  <c r="F625" i="4" s="1"/>
  <c r="E626" i="4"/>
  <c r="F626" i="4" s="1"/>
  <c r="E627" i="4"/>
  <c r="F627" i="4" s="1"/>
  <c r="E628" i="4"/>
  <c r="F628" i="4" s="1"/>
  <c r="E629" i="4"/>
  <c r="F629" i="4" s="1"/>
  <c r="E630" i="4"/>
  <c r="F630" i="4" s="1"/>
  <c r="E631" i="4"/>
  <c r="F631" i="4" s="1"/>
  <c r="E632" i="4"/>
  <c r="F632" i="4" s="1"/>
  <c r="E633" i="4"/>
  <c r="F633" i="4" s="1"/>
  <c r="E634" i="4"/>
  <c r="F634" i="4" s="1"/>
  <c r="E635" i="4"/>
  <c r="F635" i="4" s="1"/>
  <c r="E636" i="4"/>
  <c r="F636" i="4" s="1"/>
  <c r="E637" i="4"/>
  <c r="F637" i="4" s="1"/>
  <c r="E638" i="4"/>
  <c r="F638" i="4" s="1"/>
  <c r="E639" i="4"/>
  <c r="F639" i="4" s="1"/>
  <c r="E640" i="4"/>
  <c r="F640" i="4" s="1"/>
  <c r="E641" i="4"/>
  <c r="F641" i="4" s="1"/>
  <c r="E642" i="4"/>
  <c r="F642" i="4" s="1"/>
  <c r="E643" i="4"/>
  <c r="F643" i="4" s="1"/>
  <c r="E644" i="4"/>
  <c r="F644" i="4" s="1"/>
  <c r="E645" i="4"/>
  <c r="F645" i="4" s="1"/>
  <c r="E646" i="4"/>
  <c r="F646" i="4" s="1"/>
  <c r="E647" i="4"/>
  <c r="F647" i="4" s="1"/>
  <c r="E648" i="4"/>
  <c r="F648" i="4" s="1"/>
  <c r="E649" i="4"/>
  <c r="F649" i="4" s="1"/>
  <c r="E650" i="4"/>
  <c r="F650" i="4" s="1"/>
  <c r="E651" i="4"/>
  <c r="F651" i="4" s="1"/>
  <c r="E652" i="4"/>
  <c r="F652" i="4" s="1"/>
  <c r="E653" i="4"/>
  <c r="F653" i="4" s="1"/>
  <c r="E654" i="4"/>
  <c r="F654" i="4" s="1"/>
  <c r="E655" i="4"/>
  <c r="F655" i="4" s="1"/>
  <c r="E656" i="4"/>
  <c r="F656" i="4" s="1"/>
  <c r="E657" i="4"/>
  <c r="F657" i="4" s="1"/>
  <c r="E658" i="4"/>
  <c r="F658" i="4" s="1"/>
  <c r="E659" i="4"/>
  <c r="F659" i="4" s="1"/>
  <c r="E660" i="4"/>
  <c r="F660" i="4" s="1"/>
  <c r="E661" i="4"/>
  <c r="F661" i="4" s="1"/>
  <c r="E662" i="4"/>
  <c r="F662" i="4" s="1"/>
  <c r="E663" i="4"/>
  <c r="F663" i="4" s="1"/>
  <c r="E664" i="4"/>
  <c r="F664" i="4" s="1"/>
  <c r="E665" i="4"/>
  <c r="F665" i="4" s="1"/>
  <c r="E666" i="4"/>
  <c r="F666" i="4" s="1"/>
  <c r="E667" i="4"/>
  <c r="F667" i="4" s="1"/>
  <c r="E668" i="4"/>
  <c r="F668" i="4" s="1"/>
  <c r="E669" i="4"/>
  <c r="F669" i="4" s="1"/>
  <c r="E670" i="4"/>
  <c r="F670" i="4" s="1"/>
  <c r="E671" i="4"/>
  <c r="F671" i="4" s="1"/>
  <c r="E672" i="4"/>
  <c r="F672" i="4" s="1"/>
  <c r="E673" i="4"/>
  <c r="F673" i="4" s="1"/>
  <c r="E674" i="4"/>
  <c r="F674" i="4" s="1"/>
  <c r="E675" i="4"/>
  <c r="F675" i="4" s="1"/>
  <c r="E676" i="4"/>
  <c r="F676" i="4" s="1"/>
  <c r="E677" i="4"/>
  <c r="F677" i="4" s="1"/>
  <c r="E678" i="4"/>
  <c r="F678" i="4" s="1"/>
  <c r="E679" i="4"/>
  <c r="F679" i="4" s="1"/>
  <c r="E680" i="4"/>
  <c r="F680" i="4" s="1"/>
  <c r="E681" i="4"/>
  <c r="F681" i="4" s="1"/>
  <c r="E682" i="4"/>
  <c r="F682" i="4" s="1"/>
  <c r="E683" i="4"/>
  <c r="F683" i="4" s="1"/>
  <c r="E684" i="4"/>
  <c r="F684" i="4" s="1"/>
  <c r="E685" i="4"/>
  <c r="F685" i="4" s="1"/>
  <c r="E686" i="4"/>
  <c r="F686" i="4" s="1"/>
  <c r="E687" i="4"/>
  <c r="F687" i="4" s="1"/>
  <c r="E688" i="4"/>
  <c r="F688" i="4" s="1"/>
  <c r="E689" i="4"/>
  <c r="F689" i="4" s="1"/>
  <c r="E690" i="4"/>
  <c r="F690" i="4" s="1"/>
  <c r="E691" i="4"/>
  <c r="F691" i="4" s="1"/>
  <c r="E692" i="4"/>
  <c r="F692" i="4" s="1"/>
  <c r="E693" i="4"/>
  <c r="F693" i="4" s="1"/>
  <c r="E694" i="4"/>
  <c r="F694" i="4" s="1"/>
  <c r="E695" i="4"/>
  <c r="F695" i="4" s="1"/>
  <c r="E696" i="4"/>
  <c r="F696" i="4" s="1"/>
  <c r="E697" i="4"/>
  <c r="F697" i="4" s="1"/>
  <c r="E698" i="4"/>
  <c r="F698" i="4" s="1"/>
  <c r="E699" i="4"/>
  <c r="F699" i="4" s="1"/>
  <c r="E700" i="4"/>
  <c r="F700" i="4" s="1"/>
  <c r="E701" i="4"/>
  <c r="F701" i="4" s="1"/>
  <c r="E702" i="4"/>
  <c r="F702" i="4" s="1"/>
  <c r="E703" i="4"/>
  <c r="F703" i="4" s="1"/>
  <c r="E704" i="4"/>
  <c r="F704" i="4" s="1"/>
  <c r="E705" i="4"/>
  <c r="F705" i="4" s="1"/>
  <c r="E706" i="4"/>
  <c r="F706" i="4" s="1"/>
  <c r="E707" i="4"/>
  <c r="F707" i="4" s="1"/>
  <c r="E708" i="4"/>
  <c r="F708" i="4" s="1"/>
  <c r="E709" i="4"/>
  <c r="F709" i="4" s="1"/>
  <c r="E710" i="4"/>
  <c r="F710" i="4" s="1"/>
  <c r="E711" i="4"/>
  <c r="F711" i="4" s="1"/>
  <c r="E712" i="4"/>
  <c r="F712" i="4" s="1"/>
  <c r="E713" i="4"/>
  <c r="F713" i="4" s="1"/>
  <c r="E714" i="4"/>
  <c r="F714" i="4" s="1"/>
  <c r="E715" i="4"/>
  <c r="F715" i="4" s="1"/>
  <c r="E716" i="4"/>
  <c r="F716" i="4" s="1"/>
  <c r="E717" i="4"/>
  <c r="F717" i="4" s="1"/>
  <c r="E718" i="4"/>
  <c r="F718" i="4" s="1"/>
  <c r="E719" i="4"/>
  <c r="F719" i="4" s="1"/>
  <c r="E720" i="4"/>
  <c r="F720" i="4" s="1"/>
  <c r="E721" i="4"/>
  <c r="F721" i="4" s="1"/>
  <c r="E722" i="4"/>
  <c r="F722" i="4" s="1"/>
  <c r="E723" i="4"/>
  <c r="F723" i="4" s="1"/>
  <c r="E724" i="4"/>
  <c r="F724" i="4" s="1"/>
  <c r="E725" i="4"/>
  <c r="F725" i="4" s="1"/>
  <c r="E726" i="4"/>
  <c r="F726" i="4" s="1"/>
  <c r="E727" i="4"/>
  <c r="F727" i="4" s="1"/>
  <c r="E728" i="4"/>
  <c r="F728" i="4" s="1"/>
  <c r="E729" i="4"/>
  <c r="F729" i="4" s="1"/>
  <c r="E730" i="4"/>
  <c r="F730" i="4" s="1"/>
  <c r="E731" i="4"/>
  <c r="F731" i="4" s="1"/>
  <c r="E732" i="4"/>
  <c r="F732" i="4" s="1"/>
  <c r="E733" i="4"/>
  <c r="F733" i="4" s="1"/>
  <c r="E734" i="4"/>
  <c r="F734" i="4" s="1"/>
  <c r="E735" i="4"/>
  <c r="F735" i="4" s="1"/>
  <c r="E736" i="4"/>
  <c r="F736" i="4" s="1"/>
  <c r="E737" i="4"/>
  <c r="F737" i="4" s="1"/>
  <c r="E738" i="4"/>
  <c r="F738" i="4" s="1"/>
  <c r="E739" i="4"/>
  <c r="F739" i="4" s="1"/>
  <c r="E740" i="4"/>
  <c r="F740" i="4" s="1"/>
  <c r="E741" i="4"/>
  <c r="F741" i="4" s="1"/>
  <c r="E742" i="4"/>
  <c r="F742" i="4" s="1"/>
  <c r="E743" i="4"/>
  <c r="F743" i="4" s="1"/>
  <c r="E744" i="4"/>
  <c r="F744" i="4" s="1"/>
  <c r="E745" i="4"/>
  <c r="F745" i="4" s="1"/>
  <c r="E746" i="4"/>
  <c r="F746" i="4" s="1"/>
  <c r="E747" i="4"/>
  <c r="F747" i="4" s="1"/>
  <c r="E748" i="4"/>
  <c r="F748" i="4" s="1"/>
  <c r="E749" i="4"/>
  <c r="F749" i="4" s="1"/>
  <c r="E750" i="4"/>
  <c r="F750" i="4" s="1"/>
  <c r="E751" i="4"/>
  <c r="F751" i="4" s="1"/>
  <c r="E752" i="4"/>
  <c r="F752" i="4" s="1"/>
  <c r="E753" i="4"/>
  <c r="F753" i="4" s="1"/>
  <c r="E754" i="4"/>
  <c r="F754" i="4" s="1"/>
  <c r="E755" i="4"/>
  <c r="F755" i="4" s="1"/>
  <c r="E756" i="4"/>
  <c r="F756" i="4" s="1"/>
  <c r="E757" i="4"/>
  <c r="F757" i="4" s="1"/>
  <c r="E758" i="4"/>
  <c r="F758" i="4" s="1"/>
  <c r="E759" i="4"/>
  <c r="F759" i="4" s="1"/>
  <c r="E760" i="4"/>
  <c r="F760" i="4" s="1"/>
  <c r="E761" i="4"/>
  <c r="F761" i="4" s="1"/>
  <c r="E762" i="4"/>
  <c r="F762" i="4" s="1"/>
  <c r="E763" i="4"/>
  <c r="F763" i="4" s="1"/>
  <c r="E764" i="4"/>
  <c r="F764" i="4" s="1"/>
  <c r="E765" i="4"/>
  <c r="F765" i="4" s="1"/>
  <c r="E766" i="4"/>
  <c r="F766" i="4" s="1"/>
  <c r="E767" i="4"/>
  <c r="F767" i="4" s="1"/>
  <c r="E768" i="4"/>
  <c r="F768" i="4" s="1"/>
  <c r="E769" i="4"/>
  <c r="F769" i="4" s="1"/>
  <c r="E770" i="4"/>
  <c r="F770" i="4" s="1"/>
  <c r="E771" i="4"/>
  <c r="F771" i="4" s="1"/>
  <c r="E772" i="4"/>
  <c r="F772" i="4" s="1"/>
  <c r="E773" i="4"/>
  <c r="F773" i="4" s="1"/>
  <c r="E774" i="4"/>
  <c r="F774" i="4" s="1"/>
  <c r="E775" i="4"/>
  <c r="F775" i="4" s="1"/>
  <c r="E776" i="4"/>
  <c r="F776" i="4" s="1"/>
  <c r="E777" i="4"/>
  <c r="F777" i="4" s="1"/>
  <c r="E778" i="4"/>
  <c r="F778" i="4" s="1"/>
  <c r="E779" i="4"/>
  <c r="F779" i="4" s="1"/>
  <c r="E780" i="4"/>
  <c r="F780" i="4" s="1"/>
  <c r="E781" i="4"/>
  <c r="F781" i="4" s="1"/>
  <c r="E782" i="4"/>
  <c r="F782" i="4" s="1"/>
  <c r="E783" i="4"/>
  <c r="F783" i="4" s="1"/>
  <c r="E784" i="4"/>
  <c r="F784" i="4" s="1"/>
  <c r="E785" i="4"/>
  <c r="F785" i="4" s="1"/>
  <c r="E786" i="4"/>
  <c r="F786" i="4" s="1"/>
  <c r="E787" i="4"/>
  <c r="F787" i="4" s="1"/>
  <c r="E788" i="4"/>
  <c r="F788" i="4" s="1"/>
  <c r="E789" i="4"/>
  <c r="F789" i="4" s="1"/>
  <c r="E790" i="4"/>
  <c r="F790" i="4" s="1"/>
  <c r="E791" i="4"/>
  <c r="F791" i="4" s="1"/>
  <c r="E792" i="4"/>
  <c r="F792" i="4" s="1"/>
  <c r="E793" i="4"/>
  <c r="F793" i="4" s="1"/>
  <c r="E794" i="4"/>
  <c r="F794" i="4" s="1"/>
  <c r="E795" i="4"/>
  <c r="F795" i="4" s="1"/>
  <c r="E796" i="4"/>
  <c r="F796" i="4" s="1"/>
  <c r="E797" i="4"/>
  <c r="F797" i="4" s="1"/>
  <c r="E798" i="4"/>
  <c r="F798" i="4" s="1"/>
  <c r="E799" i="4"/>
  <c r="F799" i="4" s="1"/>
  <c r="E800" i="4"/>
  <c r="F800" i="4" s="1"/>
  <c r="E801" i="4"/>
  <c r="F801" i="4" s="1"/>
  <c r="E802" i="4"/>
  <c r="F802" i="4" s="1"/>
  <c r="E803" i="4"/>
  <c r="F803" i="4" s="1"/>
  <c r="E804" i="4"/>
  <c r="F804" i="4" s="1"/>
  <c r="E805" i="4"/>
  <c r="F805" i="4" s="1"/>
  <c r="E806" i="4"/>
  <c r="F806" i="4" s="1"/>
  <c r="E807" i="4"/>
  <c r="F807" i="4" s="1"/>
  <c r="E808" i="4"/>
  <c r="F808" i="4" s="1"/>
  <c r="E809" i="4"/>
  <c r="F809" i="4" s="1"/>
  <c r="E810" i="4"/>
  <c r="F810" i="4" s="1"/>
  <c r="E811" i="4"/>
  <c r="F811" i="4" s="1"/>
  <c r="E812" i="4"/>
  <c r="F812" i="4" s="1"/>
  <c r="E813" i="4"/>
  <c r="F813" i="4" s="1"/>
  <c r="E814" i="4"/>
  <c r="F814" i="4" s="1"/>
  <c r="E815" i="4"/>
  <c r="F815" i="4" s="1"/>
  <c r="E816" i="4"/>
  <c r="F816" i="4" s="1"/>
  <c r="E817" i="4"/>
  <c r="F817" i="4" s="1"/>
  <c r="E818" i="4"/>
  <c r="F818" i="4" s="1"/>
  <c r="E819" i="4"/>
  <c r="F819" i="4" s="1"/>
  <c r="E820" i="4"/>
  <c r="F820" i="4" s="1"/>
  <c r="E821" i="4"/>
  <c r="F821" i="4" s="1"/>
  <c r="E822" i="4"/>
  <c r="F822" i="4" s="1"/>
  <c r="E823" i="4"/>
  <c r="F823" i="4" s="1"/>
  <c r="E824" i="4"/>
  <c r="F824" i="4" s="1"/>
  <c r="E825" i="4"/>
  <c r="F825" i="4" s="1"/>
  <c r="E826" i="4"/>
  <c r="F826" i="4" s="1"/>
  <c r="E827" i="4"/>
  <c r="F827" i="4" s="1"/>
  <c r="E828" i="4"/>
  <c r="F828" i="4" s="1"/>
  <c r="E829" i="4"/>
  <c r="F829" i="4" s="1"/>
  <c r="E830" i="4"/>
  <c r="F830" i="4" s="1"/>
  <c r="E831" i="4"/>
  <c r="F831" i="4" s="1"/>
  <c r="E832" i="4"/>
  <c r="F832" i="4" s="1"/>
  <c r="E833" i="4"/>
  <c r="F833" i="4" s="1"/>
  <c r="E834" i="4"/>
  <c r="F834" i="4" s="1"/>
  <c r="E835" i="4"/>
  <c r="F835" i="4" s="1"/>
  <c r="E836" i="4"/>
  <c r="F836" i="4" s="1"/>
  <c r="E837" i="4"/>
  <c r="F837" i="4" s="1"/>
  <c r="E838" i="4"/>
  <c r="F838" i="4" s="1"/>
  <c r="E839" i="4"/>
  <c r="F839" i="4" s="1"/>
  <c r="E840" i="4"/>
  <c r="F840" i="4" s="1"/>
  <c r="E841" i="4"/>
  <c r="F841" i="4" s="1"/>
  <c r="E842" i="4"/>
  <c r="F842" i="4" s="1"/>
  <c r="E843" i="4"/>
  <c r="F843" i="4" s="1"/>
  <c r="E844" i="4"/>
  <c r="F844" i="4" s="1"/>
  <c r="E845" i="4"/>
  <c r="F845" i="4" s="1"/>
  <c r="E846" i="4"/>
  <c r="F846" i="4" s="1"/>
  <c r="E847" i="4"/>
  <c r="F847" i="4" s="1"/>
  <c r="E848" i="4"/>
  <c r="F848" i="4" s="1"/>
  <c r="E849" i="4"/>
  <c r="F849" i="4" s="1"/>
  <c r="E850" i="4"/>
  <c r="F850" i="4" s="1"/>
  <c r="E851" i="4"/>
  <c r="F851" i="4" s="1"/>
  <c r="E852" i="4"/>
  <c r="F852" i="4" s="1"/>
  <c r="E853" i="4"/>
  <c r="F853" i="4" s="1"/>
  <c r="E854" i="4"/>
  <c r="F854" i="4" s="1"/>
  <c r="E855" i="4"/>
  <c r="F855" i="4" s="1"/>
  <c r="E856" i="4"/>
  <c r="F856" i="4" s="1"/>
  <c r="E857" i="4"/>
  <c r="F857" i="4" s="1"/>
  <c r="E858" i="4"/>
  <c r="F858" i="4" s="1"/>
  <c r="E859" i="4"/>
  <c r="F859" i="4" s="1"/>
  <c r="E860" i="4"/>
  <c r="F860" i="4" s="1"/>
  <c r="E861" i="4"/>
  <c r="F861" i="4" s="1"/>
  <c r="E862" i="4"/>
  <c r="F862" i="4" s="1"/>
  <c r="E863" i="4"/>
  <c r="F863" i="4" s="1"/>
  <c r="E864" i="4"/>
  <c r="F864" i="4" s="1"/>
  <c r="E865" i="4"/>
  <c r="F865" i="4" s="1"/>
  <c r="E866" i="4"/>
  <c r="F866" i="4" s="1"/>
  <c r="E867" i="4"/>
  <c r="F867" i="4" s="1"/>
  <c r="E868" i="4"/>
  <c r="F868" i="4" s="1"/>
  <c r="E869" i="4"/>
  <c r="F869" i="4" s="1"/>
  <c r="E870" i="4"/>
  <c r="F870" i="4" s="1"/>
  <c r="E871" i="4"/>
  <c r="F871" i="4" s="1"/>
  <c r="E872" i="4"/>
  <c r="F872" i="4" s="1"/>
  <c r="E873" i="4"/>
  <c r="F873" i="4" s="1"/>
  <c r="E874" i="4"/>
  <c r="F874" i="4" s="1"/>
  <c r="E875" i="4"/>
  <c r="F875" i="4" s="1"/>
  <c r="E876" i="4"/>
  <c r="F876" i="4" s="1"/>
  <c r="E877" i="4"/>
  <c r="F877" i="4" s="1"/>
  <c r="E878" i="4"/>
  <c r="F878" i="4" s="1"/>
  <c r="E879" i="4"/>
  <c r="F879" i="4" s="1"/>
  <c r="E880" i="4"/>
  <c r="F880" i="4" s="1"/>
  <c r="E881" i="4"/>
  <c r="F881" i="4" s="1"/>
  <c r="E882" i="4"/>
  <c r="F882" i="4" s="1"/>
  <c r="E883" i="4"/>
  <c r="F883" i="4" s="1"/>
  <c r="E884" i="4"/>
  <c r="F884" i="4" s="1"/>
  <c r="E885" i="4"/>
  <c r="F885" i="4" s="1"/>
  <c r="E886" i="4"/>
  <c r="F886" i="4" s="1"/>
  <c r="E887" i="4"/>
  <c r="F887" i="4" s="1"/>
  <c r="E888" i="4"/>
  <c r="F888" i="4" s="1"/>
  <c r="E889" i="4"/>
  <c r="F889" i="4" s="1"/>
  <c r="E890" i="4"/>
  <c r="F890" i="4" s="1"/>
  <c r="E891" i="4"/>
  <c r="F891" i="4" s="1"/>
  <c r="E892" i="4"/>
  <c r="F892" i="4" s="1"/>
  <c r="E893" i="4"/>
  <c r="F893" i="4" s="1"/>
  <c r="E894" i="4"/>
  <c r="F894" i="4" s="1"/>
  <c r="E895" i="4"/>
  <c r="F895" i="4" s="1"/>
  <c r="E896" i="4"/>
  <c r="F896" i="4" s="1"/>
  <c r="E897" i="4"/>
  <c r="F897" i="4" s="1"/>
  <c r="E898" i="4"/>
  <c r="F898" i="4" s="1"/>
  <c r="E899" i="4"/>
  <c r="F899" i="4" s="1"/>
  <c r="E900" i="4"/>
  <c r="F900" i="4" s="1"/>
  <c r="E901" i="4"/>
  <c r="F901" i="4" s="1"/>
  <c r="E902" i="4"/>
  <c r="F902" i="4" s="1"/>
  <c r="E903" i="4"/>
  <c r="F903" i="4" s="1"/>
  <c r="E904" i="4"/>
  <c r="F904" i="4" s="1"/>
  <c r="E905" i="4"/>
  <c r="F905" i="4" s="1"/>
  <c r="E906" i="4"/>
  <c r="F906" i="4" s="1"/>
  <c r="E907" i="4"/>
  <c r="F907" i="4" s="1"/>
  <c r="E908" i="4"/>
  <c r="F908" i="4" s="1"/>
  <c r="E909" i="4"/>
  <c r="F909" i="4" s="1"/>
  <c r="E910" i="4"/>
  <c r="F910" i="4" s="1"/>
  <c r="E911" i="4"/>
  <c r="F911" i="4" s="1"/>
  <c r="E912" i="4"/>
  <c r="F912" i="4" s="1"/>
  <c r="E913" i="4"/>
  <c r="F913" i="4" s="1"/>
  <c r="E914" i="4"/>
  <c r="F914" i="4" s="1"/>
  <c r="E915" i="4"/>
  <c r="F915" i="4" s="1"/>
  <c r="E916" i="4"/>
  <c r="F916" i="4" s="1"/>
  <c r="E917" i="4"/>
  <c r="F917" i="4" s="1"/>
  <c r="E918" i="4"/>
  <c r="F918" i="4" s="1"/>
  <c r="E919" i="4"/>
  <c r="F919" i="4" s="1"/>
  <c r="E920" i="4"/>
  <c r="F920" i="4" s="1"/>
  <c r="E921" i="4"/>
  <c r="F921" i="4" s="1"/>
  <c r="E922" i="4"/>
  <c r="F922" i="4" s="1"/>
  <c r="E923" i="4"/>
  <c r="F923" i="4" s="1"/>
  <c r="E924" i="4"/>
  <c r="F924" i="4" s="1"/>
  <c r="E925" i="4"/>
  <c r="F925" i="4" s="1"/>
  <c r="E926" i="4"/>
  <c r="F926" i="4" s="1"/>
  <c r="E927" i="4"/>
  <c r="F927" i="4" s="1"/>
  <c r="E928" i="4"/>
  <c r="F928" i="4" s="1"/>
  <c r="E929" i="4"/>
  <c r="F929" i="4" s="1"/>
  <c r="E930" i="4"/>
  <c r="F930" i="4" s="1"/>
  <c r="E931" i="4"/>
  <c r="F931" i="4" s="1"/>
  <c r="E932" i="4"/>
  <c r="F932" i="4" s="1"/>
  <c r="E933" i="4"/>
  <c r="F933" i="4" s="1"/>
  <c r="E934" i="4"/>
  <c r="F934" i="4" s="1"/>
  <c r="E935" i="4"/>
  <c r="F935" i="4" s="1"/>
  <c r="E936" i="4"/>
  <c r="F936" i="4" s="1"/>
  <c r="E937" i="4"/>
  <c r="F937" i="4" s="1"/>
  <c r="E938" i="4"/>
  <c r="F938" i="4" s="1"/>
  <c r="E939" i="4"/>
  <c r="F939" i="4" s="1"/>
  <c r="E940" i="4"/>
  <c r="F940" i="4" s="1"/>
  <c r="E941" i="4"/>
  <c r="F941" i="4" s="1"/>
  <c r="E942" i="4"/>
  <c r="F942" i="4" s="1"/>
  <c r="E943" i="4"/>
  <c r="F943" i="4" s="1"/>
  <c r="E944" i="4"/>
  <c r="F944" i="4" s="1"/>
  <c r="E945" i="4"/>
  <c r="F945" i="4" s="1"/>
  <c r="E946" i="4"/>
  <c r="F946" i="4" s="1"/>
  <c r="E947" i="4"/>
  <c r="F947" i="4" s="1"/>
  <c r="E948" i="4"/>
  <c r="F948" i="4" s="1"/>
  <c r="E949" i="4"/>
  <c r="F949" i="4" s="1"/>
  <c r="E950" i="4"/>
  <c r="F950" i="4" s="1"/>
  <c r="E951" i="4"/>
  <c r="F951" i="4" s="1"/>
  <c r="E952" i="4"/>
  <c r="F952" i="4" s="1"/>
  <c r="E953" i="4"/>
  <c r="F953" i="4" s="1"/>
  <c r="E954" i="4"/>
  <c r="F954" i="4" s="1"/>
  <c r="E955" i="4"/>
  <c r="F955" i="4" s="1"/>
  <c r="E956" i="4"/>
  <c r="F956" i="4" s="1"/>
  <c r="E957" i="4"/>
  <c r="F957" i="4" s="1"/>
  <c r="E958" i="4"/>
  <c r="F958" i="4" s="1"/>
  <c r="E959" i="4"/>
  <c r="F959" i="4" s="1"/>
  <c r="E960" i="4"/>
  <c r="F960" i="4" s="1"/>
  <c r="E961" i="4"/>
  <c r="F961" i="4" s="1"/>
  <c r="E962" i="4"/>
  <c r="F962" i="4" s="1"/>
  <c r="E963" i="4"/>
  <c r="F963" i="4" s="1"/>
  <c r="E964" i="4"/>
  <c r="F964" i="4" s="1"/>
  <c r="E965" i="4"/>
  <c r="F965" i="4" s="1"/>
  <c r="E966" i="4"/>
  <c r="F966" i="4" s="1"/>
  <c r="E967" i="4"/>
  <c r="F967" i="4" s="1"/>
  <c r="E968" i="4"/>
  <c r="F968" i="4" s="1"/>
  <c r="E969" i="4"/>
  <c r="F969" i="4" s="1"/>
  <c r="E970" i="4"/>
  <c r="F970" i="4" s="1"/>
  <c r="E971" i="4"/>
  <c r="F971" i="4" s="1"/>
  <c r="E972" i="4"/>
  <c r="F972" i="4" s="1"/>
  <c r="E973" i="4"/>
  <c r="F973" i="4" s="1"/>
  <c r="E974" i="4"/>
  <c r="F974" i="4" s="1"/>
  <c r="E975" i="4"/>
  <c r="F975" i="4" s="1"/>
  <c r="E976" i="4"/>
  <c r="F976" i="4" s="1"/>
  <c r="E977" i="4"/>
  <c r="F977" i="4" s="1"/>
  <c r="E978" i="4"/>
  <c r="F978" i="4" s="1"/>
  <c r="E979" i="4"/>
  <c r="F979" i="4" s="1"/>
  <c r="E980" i="4"/>
  <c r="F980" i="4" s="1"/>
  <c r="E981" i="4"/>
  <c r="F981" i="4" s="1"/>
  <c r="E982" i="4"/>
  <c r="F982" i="4" s="1"/>
  <c r="E983" i="4"/>
  <c r="F983" i="4" s="1"/>
  <c r="E984" i="4"/>
  <c r="F984" i="4" s="1"/>
  <c r="E985" i="4"/>
  <c r="F985" i="4" s="1"/>
  <c r="E986" i="4"/>
  <c r="F986" i="4" s="1"/>
  <c r="E987" i="4"/>
  <c r="F987" i="4" s="1"/>
  <c r="E988" i="4"/>
  <c r="F988" i="4" s="1"/>
  <c r="E989" i="4"/>
  <c r="F989" i="4" s="1"/>
  <c r="E990" i="4"/>
  <c r="F990" i="4" s="1"/>
  <c r="E991" i="4"/>
  <c r="F991" i="4" s="1"/>
  <c r="E992" i="4"/>
  <c r="F992" i="4" s="1"/>
  <c r="E993" i="4"/>
  <c r="F993" i="4" s="1"/>
  <c r="E994" i="4"/>
  <c r="F994" i="4" s="1"/>
  <c r="E995" i="4"/>
  <c r="F995" i="4" s="1"/>
  <c r="E996" i="4"/>
  <c r="F996" i="4" s="1"/>
  <c r="E997" i="4"/>
  <c r="F997" i="4" s="1"/>
  <c r="E998" i="4"/>
  <c r="F998" i="4" s="1"/>
  <c r="E999" i="4"/>
  <c r="F999" i="4" s="1"/>
  <c r="E1000" i="4"/>
  <c r="F1000" i="4" s="1"/>
  <c r="E1001" i="4"/>
  <c r="F1001" i="4" s="1"/>
  <c r="E1002" i="4"/>
  <c r="F1002" i="4" s="1"/>
  <c r="E1003" i="4"/>
  <c r="F1003" i="4" s="1"/>
  <c r="E1004" i="4"/>
  <c r="F1004" i="4" s="1"/>
  <c r="E1005" i="4"/>
  <c r="F1005" i="4" s="1"/>
  <c r="E1006" i="4"/>
  <c r="F1006" i="4" s="1"/>
  <c r="E1007" i="4"/>
  <c r="F1007" i="4" s="1"/>
  <c r="E1008" i="4"/>
  <c r="F1008" i="4" s="1"/>
  <c r="E1009" i="4"/>
  <c r="F1009" i="4" s="1"/>
  <c r="E1010" i="4"/>
  <c r="F1010" i="4" s="1"/>
  <c r="E1011" i="4"/>
  <c r="F1011" i="4" s="1"/>
  <c r="E1012" i="4"/>
  <c r="F1012" i="4" s="1"/>
  <c r="E1013" i="4"/>
  <c r="F1013" i="4" s="1"/>
  <c r="E1014" i="4"/>
  <c r="F1014" i="4" s="1"/>
  <c r="E1015" i="4"/>
  <c r="F1015" i="4" s="1"/>
  <c r="E1016" i="4"/>
  <c r="F1016" i="4" s="1"/>
  <c r="E1017" i="4"/>
  <c r="F1017" i="4" s="1"/>
  <c r="E1018" i="4"/>
  <c r="F1018" i="4" s="1"/>
  <c r="E1019" i="4"/>
  <c r="F1019" i="4" s="1"/>
  <c r="E1020" i="4"/>
  <c r="F1020" i="4" s="1"/>
  <c r="E1021" i="4"/>
  <c r="F1021" i="4" s="1"/>
  <c r="E1022" i="4"/>
  <c r="F1022" i="4" s="1"/>
  <c r="E1023" i="4"/>
  <c r="F1023" i="4" s="1"/>
  <c r="E1024" i="4"/>
  <c r="F1024" i="4" s="1"/>
  <c r="E1025" i="4"/>
  <c r="F1025" i="4" s="1"/>
  <c r="E1026" i="4"/>
  <c r="F1026" i="4" s="1"/>
  <c r="E1027" i="4"/>
  <c r="F1027" i="4" s="1"/>
  <c r="E1028" i="4"/>
  <c r="F1028" i="4" s="1"/>
  <c r="E1029" i="4"/>
  <c r="F1029" i="4" s="1"/>
  <c r="E1030" i="4"/>
  <c r="F1030" i="4" s="1"/>
  <c r="E1031" i="4"/>
  <c r="F1031" i="4" s="1"/>
  <c r="E1032" i="4"/>
  <c r="F1032" i="4" s="1"/>
  <c r="E1033" i="4"/>
  <c r="F1033" i="4" s="1"/>
  <c r="E1034" i="4"/>
  <c r="F1034" i="4" s="1"/>
  <c r="E1035" i="4"/>
  <c r="F1035" i="4" s="1"/>
  <c r="E1036" i="4"/>
  <c r="F1036" i="4" s="1"/>
  <c r="E1037" i="4"/>
  <c r="F1037" i="4" s="1"/>
  <c r="E1038" i="4"/>
  <c r="F1038" i="4" s="1"/>
  <c r="E1039" i="4"/>
  <c r="F1039" i="4" s="1"/>
  <c r="E1040" i="4"/>
  <c r="F1040" i="4" s="1"/>
  <c r="E1041" i="4"/>
  <c r="F1041" i="4" s="1"/>
  <c r="E1042" i="4"/>
  <c r="F1042" i="4" s="1"/>
  <c r="E1043" i="4"/>
  <c r="F1043" i="4" s="1"/>
  <c r="E1044" i="4"/>
  <c r="F1044" i="4" s="1"/>
  <c r="E1045" i="4"/>
  <c r="F1045" i="4" s="1"/>
  <c r="E1046" i="4"/>
  <c r="F1046" i="4" s="1"/>
  <c r="E1047" i="4"/>
  <c r="F1047" i="4" s="1"/>
  <c r="E1048" i="4"/>
  <c r="F1048" i="4" s="1"/>
  <c r="E1049" i="4"/>
  <c r="F1049" i="4" s="1"/>
  <c r="E1050" i="4"/>
  <c r="F1050" i="4" s="1"/>
  <c r="E1051" i="4"/>
  <c r="F1051" i="4" s="1"/>
  <c r="E1052" i="4"/>
  <c r="F1052" i="4" s="1"/>
  <c r="E1053" i="4"/>
  <c r="F1053" i="4" s="1"/>
  <c r="E1054" i="4"/>
  <c r="F1054" i="4" s="1"/>
  <c r="E1055" i="4"/>
  <c r="F1055" i="4" s="1"/>
  <c r="E1056" i="4"/>
  <c r="F1056" i="4" s="1"/>
  <c r="E1057" i="4"/>
  <c r="F1057" i="4" s="1"/>
  <c r="E1058" i="4"/>
  <c r="F1058" i="4" s="1"/>
  <c r="E1059" i="4"/>
  <c r="F1059" i="4" s="1"/>
  <c r="E1060" i="4"/>
  <c r="F1060" i="4" s="1"/>
  <c r="E1061" i="4"/>
  <c r="F1061" i="4" s="1"/>
  <c r="E1062" i="4"/>
  <c r="F1062" i="4" s="1"/>
  <c r="E1063" i="4"/>
  <c r="F1063" i="4" s="1"/>
  <c r="E1064" i="4"/>
  <c r="F1064" i="4" s="1"/>
  <c r="E1065" i="4"/>
  <c r="F1065" i="4" s="1"/>
  <c r="E1066" i="4"/>
  <c r="F1066" i="4" s="1"/>
  <c r="E1067" i="4"/>
  <c r="F1067" i="4" s="1"/>
  <c r="E1068" i="4"/>
  <c r="F1068" i="4" s="1"/>
  <c r="E1069" i="4"/>
  <c r="F1069" i="4" s="1"/>
  <c r="E1070" i="4"/>
  <c r="F1070" i="4" s="1"/>
  <c r="E1071" i="4"/>
  <c r="F1071" i="4" s="1"/>
  <c r="E1072" i="4"/>
  <c r="F1072" i="4" s="1"/>
  <c r="E1073" i="4"/>
  <c r="F1073" i="4" s="1"/>
  <c r="E1074" i="4"/>
  <c r="F1074" i="4" s="1"/>
  <c r="E1075" i="4"/>
  <c r="F1075" i="4" s="1"/>
  <c r="E1076" i="4"/>
  <c r="F1076" i="4" s="1"/>
  <c r="E1077" i="4"/>
  <c r="F1077" i="4" s="1"/>
  <c r="E1078" i="4"/>
  <c r="F1078" i="4" s="1"/>
  <c r="E1079" i="4"/>
  <c r="F1079" i="4" s="1"/>
  <c r="E1080" i="4"/>
  <c r="F1080" i="4" s="1"/>
  <c r="E1081" i="4"/>
  <c r="F1081" i="4" s="1"/>
  <c r="E1082" i="4"/>
  <c r="F1082" i="4" s="1"/>
  <c r="E1083" i="4"/>
  <c r="F1083" i="4" s="1"/>
  <c r="E1084" i="4"/>
  <c r="F1084" i="4" s="1"/>
  <c r="E1085" i="4"/>
  <c r="F1085" i="4" s="1"/>
  <c r="E1086" i="4"/>
  <c r="F1086" i="4" s="1"/>
  <c r="E1087" i="4"/>
  <c r="F1087" i="4" s="1"/>
  <c r="E1088" i="4"/>
  <c r="F1088" i="4" s="1"/>
  <c r="E1089" i="4"/>
  <c r="F1089" i="4" s="1"/>
  <c r="E1090" i="4"/>
  <c r="F1090" i="4" s="1"/>
  <c r="E1091" i="4"/>
  <c r="F1091" i="4" s="1"/>
  <c r="E1092" i="4"/>
  <c r="F1092" i="4" s="1"/>
  <c r="E1093" i="4"/>
  <c r="F1093" i="4" s="1"/>
  <c r="E1094" i="4"/>
  <c r="F1094" i="4" s="1"/>
  <c r="E1095" i="4"/>
  <c r="F1095" i="4" s="1"/>
  <c r="E1096" i="4"/>
  <c r="F1096" i="4" s="1"/>
  <c r="E1097" i="4"/>
  <c r="F1097" i="4" s="1"/>
  <c r="E1098" i="4"/>
  <c r="F1098" i="4" s="1"/>
  <c r="E1099" i="4"/>
  <c r="F1099" i="4" s="1"/>
  <c r="E1100" i="4"/>
  <c r="F1100" i="4" s="1"/>
  <c r="E1101" i="4"/>
  <c r="F1101" i="4" s="1"/>
  <c r="E1102" i="4"/>
  <c r="F1102" i="4" s="1"/>
  <c r="E1103" i="4"/>
  <c r="F1103" i="4" s="1"/>
  <c r="E1104" i="4"/>
  <c r="F1104" i="4" s="1"/>
  <c r="E1105" i="4"/>
  <c r="F1105" i="4" s="1"/>
  <c r="E1106" i="4"/>
  <c r="F1106" i="4" s="1"/>
  <c r="E1107" i="4"/>
  <c r="F1107" i="4" s="1"/>
  <c r="E1108" i="4"/>
  <c r="F1108" i="4" s="1"/>
  <c r="E1109" i="4"/>
  <c r="F1109" i="4" s="1"/>
  <c r="E1110" i="4"/>
  <c r="F1110" i="4" s="1"/>
  <c r="E1111" i="4"/>
  <c r="F1111" i="4" s="1"/>
  <c r="E1112" i="4"/>
  <c r="F1112" i="4" s="1"/>
  <c r="E1113" i="4"/>
  <c r="F1113" i="4" s="1"/>
  <c r="E1114" i="4"/>
  <c r="F1114" i="4" s="1"/>
  <c r="E1115" i="4"/>
  <c r="F1115" i="4" s="1"/>
  <c r="E1116" i="4"/>
  <c r="F1116" i="4" s="1"/>
  <c r="E1117" i="4"/>
  <c r="F1117" i="4" s="1"/>
  <c r="E1118" i="4"/>
  <c r="F1118" i="4" s="1"/>
  <c r="E1119" i="4"/>
  <c r="F1119" i="4" s="1"/>
  <c r="E1120" i="4"/>
  <c r="F1120" i="4" s="1"/>
  <c r="E1121" i="4"/>
  <c r="F1121" i="4" s="1"/>
  <c r="E1122" i="4"/>
  <c r="F1122" i="4" s="1"/>
  <c r="E1123" i="4"/>
  <c r="F1123" i="4" s="1"/>
  <c r="E1124" i="4"/>
  <c r="F1124" i="4" s="1"/>
  <c r="E1125" i="4"/>
  <c r="F1125" i="4" s="1"/>
  <c r="E1126" i="4"/>
  <c r="F1126" i="4" s="1"/>
  <c r="E1127" i="4"/>
  <c r="F1127" i="4" s="1"/>
  <c r="E1128" i="4"/>
  <c r="F1128" i="4" s="1"/>
  <c r="E1129" i="4"/>
  <c r="F1129" i="4" s="1"/>
  <c r="E1130" i="4"/>
  <c r="F1130" i="4" s="1"/>
  <c r="E1131" i="4"/>
  <c r="F1131" i="4" s="1"/>
  <c r="E1132" i="4"/>
  <c r="F1132" i="4" s="1"/>
  <c r="E1133" i="4"/>
  <c r="F1133" i="4" s="1"/>
  <c r="E1134" i="4"/>
  <c r="F1134" i="4" s="1"/>
  <c r="E1135" i="4"/>
  <c r="F1135" i="4" s="1"/>
  <c r="E1136" i="4"/>
  <c r="F1136" i="4" s="1"/>
  <c r="E1137" i="4"/>
  <c r="F1137" i="4" s="1"/>
  <c r="E1138" i="4"/>
  <c r="F1138" i="4" s="1"/>
  <c r="E1139" i="4"/>
  <c r="F1139" i="4" s="1"/>
  <c r="E1140" i="4"/>
  <c r="F1140" i="4" s="1"/>
  <c r="E1141" i="4"/>
  <c r="F1141" i="4" s="1"/>
  <c r="E1142" i="4"/>
  <c r="F1142" i="4" s="1"/>
  <c r="E1143" i="4"/>
  <c r="F1143" i="4" s="1"/>
  <c r="E1144" i="4"/>
  <c r="F1144" i="4" s="1"/>
  <c r="E1145" i="4"/>
  <c r="F1145" i="4" s="1"/>
  <c r="E1146" i="4"/>
  <c r="F1146" i="4" s="1"/>
  <c r="E1147" i="4"/>
  <c r="F1147" i="4" s="1"/>
  <c r="E1148" i="4"/>
  <c r="F1148" i="4" s="1"/>
  <c r="E1149" i="4"/>
  <c r="F1149" i="4" s="1"/>
  <c r="E1150" i="4"/>
  <c r="F1150" i="4" s="1"/>
  <c r="E1151" i="4"/>
  <c r="F1151" i="4" s="1"/>
  <c r="E1152" i="4"/>
  <c r="F1152" i="4" s="1"/>
  <c r="E1153" i="4"/>
  <c r="F1153" i="4" s="1"/>
  <c r="E1154" i="4"/>
  <c r="F1154" i="4" s="1"/>
  <c r="E1155" i="4"/>
  <c r="F1155" i="4" s="1"/>
  <c r="E1156" i="4"/>
  <c r="F1156" i="4" s="1"/>
  <c r="E1157" i="4"/>
  <c r="F1157" i="4" s="1"/>
  <c r="E1158" i="4"/>
  <c r="F1158" i="4" s="1"/>
  <c r="E1159" i="4"/>
  <c r="F1159" i="4" s="1"/>
  <c r="E1160" i="4"/>
  <c r="F1160" i="4" s="1"/>
  <c r="E1161" i="4"/>
  <c r="F1161" i="4" s="1"/>
  <c r="E1162" i="4"/>
  <c r="F1162" i="4" s="1"/>
  <c r="E1163" i="4"/>
  <c r="F1163" i="4" s="1"/>
  <c r="E1164" i="4"/>
  <c r="F1164" i="4" s="1"/>
  <c r="E1165" i="4"/>
  <c r="F1165" i="4" s="1"/>
  <c r="E1166" i="4"/>
  <c r="F1166" i="4" s="1"/>
  <c r="E1167" i="4"/>
  <c r="F1167" i="4" s="1"/>
  <c r="E1168" i="4"/>
  <c r="F1168" i="4" s="1"/>
  <c r="E1169" i="4"/>
  <c r="F1169" i="4" s="1"/>
  <c r="E1170" i="4"/>
  <c r="F1170" i="4" s="1"/>
  <c r="E1171" i="4"/>
  <c r="F1171" i="4" s="1"/>
  <c r="E1172" i="4"/>
  <c r="F1172" i="4" s="1"/>
  <c r="E1173" i="4"/>
  <c r="F1173" i="4" s="1"/>
  <c r="E1174" i="4"/>
  <c r="F1174" i="4" s="1"/>
  <c r="E1175" i="4"/>
  <c r="F1175" i="4" s="1"/>
  <c r="E1176" i="4"/>
  <c r="F1176" i="4" s="1"/>
  <c r="E1177" i="4"/>
  <c r="F1177" i="4" s="1"/>
  <c r="E1178" i="4"/>
  <c r="F1178" i="4" s="1"/>
  <c r="E1179" i="4"/>
  <c r="F1179" i="4" s="1"/>
  <c r="E1180" i="4"/>
  <c r="F1180" i="4" s="1"/>
  <c r="E1181" i="4"/>
  <c r="F1181" i="4" s="1"/>
  <c r="E1182" i="4"/>
  <c r="F1182" i="4" s="1"/>
  <c r="E1183" i="4"/>
  <c r="F1183" i="4" s="1"/>
  <c r="E1184" i="4"/>
  <c r="F1184" i="4" s="1"/>
  <c r="E1185" i="4"/>
  <c r="F1185" i="4" s="1"/>
  <c r="E1186" i="4"/>
  <c r="F1186" i="4" s="1"/>
  <c r="E1187" i="4"/>
  <c r="F1187" i="4" s="1"/>
  <c r="E1188" i="4"/>
  <c r="F1188" i="4" s="1"/>
  <c r="E1189" i="4"/>
  <c r="F1189" i="4" s="1"/>
  <c r="E1190" i="4"/>
  <c r="F1190" i="4" s="1"/>
  <c r="E1191" i="4"/>
  <c r="F1191" i="4" s="1"/>
  <c r="E1192" i="4"/>
  <c r="F1192" i="4" s="1"/>
  <c r="E1193" i="4"/>
  <c r="F1193" i="4" s="1"/>
  <c r="E1194" i="4"/>
  <c r="F1194" i="4" s="1"/>
  <c r="E1195" i="4"/>
  <c r="F1195" i="4" s="1"/>
  <c r="E1196" i="4"/>
  <c r="F1196" i="4" s="1"/>
  <c r="E1197" i="4"/>
  <c r="F1197" i="4" s="1"/>
  <c r="E1198" i="4"/>
  <c r="F1198" i="4" s="1"/>
  <c r="E1199" i="4"/>
  <c r="F1199" i="4" s="1"/>
  <c r="E1200" i="4"/>
  <c r="F1200" i="4" s="1"/>
  <c r="E1201" i="4"/>
  <c r="F1201" i="4" s="1"/>
  <c r="E1202" i="4"/>
  <c r="F1202" i="4" s="1"/>
  <c r="E1203" i="4"/>
  <c r="F1203" i="4" s="1"/>
  <c r="E1204" i="4"/>
  <c r="F1204" i="4" s="1"/>
  <c r="E1205" i="4"/>
  <c r="F1205" i="4" s="1"/>
  <c r="E1206" i="4"/>
  <c r="F1206" i="4" s="1"/>
  <c r="E1207" i="4"/>
  <c r="F1207" i="4" s="1"/>
  <c r="E1208" i="4"/>
  <c r="F1208" i="4" s="1"/>
  <c r="E1209" i="4"/>
  <c r="F1209" i="4" s="1"/>
  <c r="E1210" i="4"/>
  <c r="F1210" i="4" s="1"/>
  <c r="E1211" i="4"/>
  <c r="F1211" i="4" s="1"/>
  <c r="E1212" i="4"/>
  <c r="F1212" i="4" s="1"/>
  <c r="E1213" i="4"/>
  <c r="F1213" i="4" s="1"/>
  <c r="E1214" i="4"/>
  <c r="F1214" i="4" s="1"/>
  <c r="E1215" i="4"/>
  <c r="F1215" i="4" s="1"/>
  <c r="E1216" i="4"/>
  <c r="F1216" i="4" s="1"/>
  <c r="E1217" i="4"/>
  <c r="F1217" i="4" s="1"/>
  <c r="E1218" i="4"/>
  <c r="F1218" i="4" s="1"/>
  <c r="E1219" i="4"/>
  <c r="F1219" i="4" s="1"/>
  <c r="E1220" i="4"/>
  <c r="F1220" i="4" s="1"/>
  <c r="E1221" i="4"/>
  <c r="F1221" i="4" s="1"/>
  <c r="E1222" i="4"/>
  <c r="F1222" i="4" s="1"/>
  <c r="E1223" i="4"/>
  <c r="F1223" i="4" s="1"/>
  <c r="E1224" i="4"/>
  <c r="F1224" i="4" s="1"/>
  <c r="E1225" i="4"/>
  <c r="F1225" i="4" s="1"/>
  <c r="E1226" i="4"/>
  <c r="F1226" i="4" s="1"/>
  <c r="E1227" i="4"/>
  <c r="F1227" i="4" s="1"/>
  <c r="E1228" i="4"/>
  <c r="F1228" i="4" s="1"/>
  <c r="E1229" i="4"/>
  <c r="F1229" i="4" s="1"/>
  <c r="E1230" i="4"/>
  <c r="F1230" i="4" s="1"/>
  <c r="E1231" i="4"/>
  <c r="F1231" i="4" s="1"/>
  <c r="E1232" i="4"/>
  <c r="F1232" i="4" s="1"/>
  <c r="E1233" i="4"/>
  <c r="F1233" i="4" s="1"/>
  <c r="E1234" i="4"/>
  <c r="F1234" i="4" s="1"/>
  <c r="E1235" i="4"/>
  <c r="F1235" i="4" s="1"/>
  <c r="E1236" i="4"/>
  <c r="F1236" i="4" s="1"/>
  <c r="E1237" i="4"/>
  <c r="F1237" i="4" s="1"/>
  <c r="E1238" i="4"/>
  <c r="F1238" i="4" s="1"/>
  <c r="E1239" i="4"/>
  <c r="F1239" i="4" s="1"/>
  <c r="E1240" i="4"/>
  <c r="F1240" i="4" s="1"/>
  <c r="E1241" i="4"/>
  <c r="F1241" i="4" s="1"/>
  <c r="E1242" i="4"/>
  <c r="F1242" i="4" s="1"/>
  <c r="E1243" i="4"/>
  <c r="F1243" i="4" s="1"/>
  <c r="E1244" i="4"/>
  <c r="F1244" i="4" s="1"/>
  <c r="E1245" i="4"/>
  <c r="F1245" i="4" s="1"/>
  <c r="E1246" i="4"/>
  <c r="F1246" i="4" s="1"/>
  <c r="E1247" i="4"/>
  <c r="F1247" i="4" s="1"/>
  <c r="E1248" i="4"/>
  <c r="F1248" i="4" s="1"/>
  <c r="E1249" i="4"/>
  <c r="F1249" i="4" s="1"/>
  <c r="E1250" i="4"/>
  <c r="F1250" i="4" s="1"/>
  <c r="E1251" i="4"/>
  <c r="F1251" i="4" s="1"/>
  <c r="E1252" i="4"/>
  <c r="F1252" i="4" s="1"/>
  <c r="E1253" i="4"/>
  <c r="F1253" i="4" s="1"/>
  <c r="E1254" i="4"/>
  <c r="F1254" i="4" s="1"/>
  <c r="E1255" i="4"/>
  <c r="F1255" i="4" s="1"/>
  <c r="E1256" i="4"/>
  <c r="F1256" i="4" s="1"/>
  <c r="E1257" i="4"/>
  <c r="F1257" i="4" s="1"/>
  <c r="E1258" i="4"/>
  <c r="F1258" i="4" s="1"/>
  <c r="E1259" i="4"/>
  <c r="F1259" i="4" s="1"/>
  <c r="E1260" i="4"/>
  <c r="F1260" i="4" s="1"/>
  <c r="E1261" i="4"/>
  <c r="F1261" i="4" s="1"/>
  <c r="E1262" i="4"/>
  <c r="F1262" i="4" s="1"/>
  <c r="E1263" i="4"/>
  <c r="F1263" i="4" s="1"/>
  <c r="E1264" i="4"/>
  <c r="F1264" i="4" s="1"/>
  <c r="E1265" i="4"/>
  <c r="F1265" i="4" s="1"/>
  <c r="E1266" i="4"/>
  <c r="F1266" i="4" s="1"/>
  <c r="E1267" i="4"/>
  <c r="F1267" i="4" s="1"/>
  <c r="E1268" i="4"/>
  <c r="F1268" i="4" s="1"/>
  <c r="E1269" i="4"/>
  <c r="F1269" i="4" s="1"/>
  <c r="E1270" i="4"/>
  <c r="F1270" i="4" s="1"/>
  <c r="E1271" i="4"/>
  <c r="F1271" i="4" s="1"/>
  <c r="E1272" i="4"/>
  <c r="F1272" i="4" s="1"/>
  <c r="E1273" i="4"/>
  <c r="F1273" i="4" s="1"/>
  <c r="E1274" i="4"/>
  <c r="F1274" i="4" s="1"/>
  <c r="E1275" i="4"/>
  <c r="F1275" i="4" s="1"/>
  <c r="E1276" i="4"/>
  <c r="F1276" i="4" s="1"/>
  <c r="E1277" i="4"/>
  <c r="F1277" i="4" s="1"/>
  <c r="E1278" i="4"/>
  <c r="F1278" i="4" s="1"/>
  <c r="E1279" i="4"/>
  <c r="F1279" i="4" s="1"/>
  <c r="E1280" i="4"/>
  <c r="F1280" i="4" s="1"/>
  <c r="E1281" i="4"/>
  <c r="F1281" i="4" s="1"/>
  <c r="E1282" i="4"/>
  <c r="F1282" i="4" s="1"/>
  <c r="E1283" i="4"/>
  <c r="F1283" i="4" s="1"/>
  <c r="E1284" i="4"/>
  <c r="F1284" i="4" s="1"/>
  <c r="E1285" i="4"/>
  <c r="F1285" i="4" s="1"/>
  <c r="E1286" i="4"/>
  <c r="F1286" i="4" s="1"/>
  <c r="E1287" i="4"/>
  <c r="F1287" i="4" s="1"/>
  <c r="E1288" i="4"/>
  <c r="F1288" i="4" s="1"/>
  <c r="E1289" i="4"/>
  <c r="F1289" i="4" s="1"/>
  <c r="E1290" i="4"/>
  <c r="F1290" i="4" s="1"/>
  <c r="E1291" i="4"/>
  <c r="F1291" i="4" s="1"/>
  <c r="E1292" i="4"/>
  <c r="F1292" i="4" s="1"/>
  <c r="E1293" i="4"/>
  <c r="F1293" i="4" s="1"/>
  <c r="E1294" i="4"/>
  <c r="F1294" i="4" s="1"/>
  <c r="E1295" i="4"/>
  <c r="F1295" i="4" s="1"/>
  <c r="E1296" i="4"/>
  <c r="F1296" i="4" s="1"/>
  <c r="E1297" i="4"/>
  <c r="F1297" i="4" s="1"/>
  <c r="E1298" i="4"/>
  <c r="F1298" i="4" s="1"/>
  <c r="E1299" i="4"/>
  <c r="F1299" i="4" s="1"/>
  <c r="E1300" i="4"/>
  <c r="F1300" i="4" s="1"/>
  <c r="E1301" i="4"/>
  <c r="F1301" i="4" s="1"/>
  <c r="E1302" i="4"/>
  <c r="F1302" i="4" s="1"/>
  <c r="E1303" i="4"/>
  <c r="F1303" i="4" s="1"/>
  <c r="E1304" i="4"/>
  <c r="F1304" i="4" s="1"/>
  <c r="E1305" i="4"/>
  <c r="F1305" i="4" s="1"/>
  <c r="E1306" i="4"/>
  <c r="F1306" i="4" s="1"/>
  <c r="E1307" i="4"/>
  <c r="F1307" i="4" s="1"/>
  <c r="E1308" i="4"/>
  <c r="F1308" i="4" s="1"/>
  <c r="E1309" i="4"/>
  <c r="F1309" i="4" s="1"/>
  <c r="E1310" i="4"/>
  <c r="F1310" i="4" s="1"/>
  <c r="E1311" i="4"/>
  <c r="F1311" i="4" s="1"/>
  <c r="E1312" i="4"/>
  <c r="F1312" i="4" s="1"/>
  <c r="E1313" i="4"/>
  <c r="F1313" i="4" s="1"/>
  <c r="E1314" i="4"/>
  <c r="F1314" i="4" s="1"/>
  <c r="E1315" i="4"/>
  <c r="F1315" i="4" s="1"/>
  <c r="E1316" i="4"/>
  <c r="F1316" i="4" s="1"/>
  <c r="E1317" i="4"/>
  <c r="F1317" i="4" s="1"/>
  <c r="E1318" i="4"/>
  <c r="F1318" i="4" s="1"/>
  <c r="E1319" i="4"/>
  <c r="F1319" i="4" s="1"/>
  <c r="E1320" i="4"/>
  <c r="F1320" i="4" s="1"/>
  <c r="E1321" i="4"/>
  <c r="F1321" i="4" s="1"/>
  <c r="E1322" i="4"/>
  <c r="F1322" i="4" s="1"/>
  <c r="E1323" i="4"/>
  <c r="F1323" i="4" s="1"/>
  <c r="E1324" i="4"/>
  <c r="F1324" i="4" s="1"/>
  <c r="E1325" i="4"/>
  <c r="F1325" i="4" s="1"/>
  <c r="E1326" i="4"/>
  <c r="F1326" i="4" s="1"/>
  <c r="E1327" i="4"/>
  <c r="F1327" i="4" s="1"/>
  <c r="E1328" i="4"/>
  <c r="F1328" i="4" s="1"/>
  <c r="E1329" i="4"/>
  <c r="F1329" i="4" s="1"/>
  <c r="E1330" i="4"/>
  <c r="F1330" i="4" s="1"/>
  <c r="E1331" i="4"/>
  <c r="F1331" i="4" s="1"/>
  <c r="E1332" i="4"/>
  <c r="F1332" i="4" s="1"/>
  <c r="E1333" i="4"/>
  <c r="F1333" i="4" s="1"/>
  <c r="E1334" i="4"/>
  <c r="F1334" i="4" s="1"/>
  <c r="E1335" i="4"/>
  <c r="F1335" i="4" s="1"/>
  <c r="E1336" i="4"/>
  <c r="F1336" i="4" s="1"/>
  <c r="E1337" i="4"/>
  <c r="F1337" i="4" s="1"/>
  <c r="E1338" i="4"/>
  <c r="F1338" i="4" s="1"/>
  <c r="E1339" i="4"/>
  <c r="F1339" i="4" s="1"/>
  <c r="E1340" i="4"/>
  <c r="F1340" i="4" s="1"/>
  <c r="E1341" i="4"/>
  <c r="F1341" i="4" s="1"/>
  <c r="E1342" i="4"/>
  <c r="F1342" i="4" s="1"/>
  <c r="E1343" i="4"/>
  <c r="F1343" i="4" s="1"/>
  <c r="E1344" i="4"/>
  <c r="F1344" i="4" s="1"/>
  <c r="E1345" i="4"/>
  <c r="F1345" i="4" s="1"/>
  <c r="E1346" i="4"/>
  <c r="F1346" i="4" s="1"/>
  <c r="E1347" i="4"/>
  <c r="F1347" i="4" s="1"/>
  <c r="E1348" i="4"/>
  <c r="F1348" i="4" s="1"/>
  <c r="E1349" i="4"/>
  <c r="F1349" i="4" s="1"/>
  <c r="E1350" i="4"/>
  <c r="F1350" i="4" s="1"/>
  <c r="E1351" i="4"/>
  <c r="F1351" i="4" s="1"/>
  <c r="E2" i="4"/>
  <c r="F2" i="4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B22" i="7"/>
  <c r="L8" i="7" l="1"/>
  <c r="E10" i="8"/>
  <c r="AM4" i="8"/>
  <c r="AM5" i="8"/>
  <c r="AM6" i="8"/>
  <c r="AM7" i="8"/>
  <c r="AM8" i="8"/>
  <c r="AM9" i="8"/>
  <c r="AM10" i="8"/>
  <c r="AM11" i="8"/>
  <c r="AM12" i="8"/>
  <c r="AM13" i="8"/>
  <c r="AM14" i="8"/>
  <c r="AM15" i="8"/>
  <c r="AM16" i="8"/>
  <c r="AM17" i="8"/>
  <c r="AM18" i="8"/>
  <c r="AM19" i="8"/>
  <c r="AM20" i="8"/>
  <c r="AM21" i="8"/>
  <c r="AM22" i="8"/>
  <c r="AM23" i="8"/>
  <c r="AL2" i="8"/>
  <c r="AI4" i="8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H2" i="8"/>
  <c r="AD2" i="8"/>
  <c r="AE4" i="8"/>
  <c r="AE5" i="8"/>
  <c r="AE6" i="8"/>
  <c r="AE7" i="8"/>
  <c r="AE8" i="8"/>
  <c r="AE9" i="8"/>
  <c r="AE10" i="8"/>
  <c r="AE11" i="8"/>
  <c r="AE12" i="8"/>
  <c r="AE13" i="8"/>
  <c r="AE14" i="8"/>
  <c r="AE15" i="8"/>
  <c r="AE16" i="8"/>
  <c r="AE17" i="8"/>
  <c r="AE18" i="8"/>
  <c r="AE19" i="8"/>
  <c r="AE20" i="8"/>
  <c r="AE21" i="8"/>
  <c r="AE22" i="8"/>
  <c r="AE23" i="8"/>
  <c r="W29" i="8"/>
  <c r="W4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30" i="8"/>
  <c r="W31" i="8"/>
  <c r="W32" i="8"/>
  <c r="W3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V2" i="8"/>
  <c r="T6" i="8"/>
  <c r="T5" i="8"/>
  <c r="T4" i="8"/>
  <c r="R2" i="8"/>
  <c r="S6" i="8"/>
  <c r="S5" i="8"/>
  <c r="S4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E16" i="8"/>
  <c r="E8" i="8"/>
  <c r="F8" i="8" s="1"/>
  <c r="I8" i="8" s="1"/>
  <c r="J8" i="8" s="1"/>
  <c r="E15" i="8"/>
  <c r="F9" i="8"/>
  <c r="I9" i="8" s="1"/>
  <c r="J9" i="8" s="1"/>
  <c r="F16" i="8"/>
  <c r="I16" i="8" s="1"/>
  <c r="J16" i="8" s="1"/>
  <c r="E12" i="8"/>
  <c r="E11" i="8"/>
  <c r="F13" i="8"/>
  <c r="I13" i="8" s="1"/>
  <c r="J13" i="8" s="1"/>
  <c r="F5" i="8"/>
  <c r="I5" i="8" s="1"/>
  <c r="J5" i="8" s="1"/>
  <c r="F19" i="8"/>
  <c r="I19" i="8" s="1"/>
  <c r="J19" i="8" s="1"/>
  <c r="E22" i="8"/>
  <c r="F10" i="8"/>
  <c r="I10" i="8" s="1"/>
  <c r="J10" i="8" s="1"/>
  <c r="E6" i="8"/>
  <c r="E4" i="8"/>
  <c r="H3" i="7"/>
  <c r="H5" i="7" s="1"/>
  <c r="M13" i="8" l="1"/>
  <c r="N13" i="8" s="1"/>
  <c r="Q13" i="8" s="1"/>
  <c r="R13" i="8" s="1"/>
  <c r="U13" i="8" s="1"/>
  <c r="V13" i="8" s="1"/>
  <c r="Y13" i="8" s="1"/>
  <c r="Z13" i="8" s="1"/>
  <c r="AC13" i="8" s="1"/>
  <c r="AD13" i="8" s="1"/>
  <c r="AG13" i="8" s="1"/>
  <c r="AH13" i="8" s="1"/>
  <c r="AK13" i="8" s="1"/>
  <c r="AL13" i="8" s="1"/>
  <c r="AO13" i="8" s="1"/>
  <c r="M9" i="8"/>
  <c r="N9" i="8" s="1"/>
  <c r="Q9" i="8" s="1"/>
  <c r="R9" i="8" s="1"/>
  <c r="U9" i="8" s="1"/>
  <c r="V9" i="8" s="1"/>
  <c r="Y9" i="8" s="1"/>
  <c r="Z9" i="8" s="1"/>
  <c r="AC9" i="8" s="1"/>
  <c r="AD9" i="8" s="1"/>
  <c r="AG9" i="8" s="1"/>
  <c r="AH9" i="8" s="1"/>
  <c r="AK9" i="8" s="1"/>
  <c r="AL9" i="8" s="1"/>
  <c r="AO9" i="8" s="1"/>
  <c r="M5" i="8"/>
  <c r="N5" i="8" s="1"/>
  <c r="Q5" i="8" s="1"/>
  <c r="R5" i="8" s="1"/>
  <c r="M16" i="8"/>
  <c r="N16" i="8" s="1"/>
  <c r="Q16" i="8" s="1"/>
  <c r="R16" i="8" s="1"/>
  <c r="U16" i="8" s="1"/>
  <c r="V16" i="8" s="1"/>
  <c r="Y16" i="8" s="1"/>
  <c r="Z16" i="8" s="1"/>
  <c r="AC16" i="8" s="1"/>
  <c r="AD16" i="8" s="1"/>
  <c r="AG16" i="8" s="1"/>
  <c r="AH16" i="8" s="1"/>
  <c r="AK16" i="8" s="1"/>
  <c r="AL16" i="8" s="1"/>
  <c r="AO16" i="8" s="1"/>
  <c r="M8" i="8"/>
  <c r="N8" i="8" s="1"/>
  <c r="Q8" i="8" s="1"/>
  <c r="R8" i="8" s="1"/>
  <c r="U8" i="8" s="1"/>
  <c r="V8" i="8" s="1"/>
  <c r="M19" i="8"/>
  <c r="N19" i="8" s="1"/>
  <c r="Q19" i="8" s="1"/>
  <c r="R19" i="8" s="1"/>
  <c r="U19" i="8" s="1"/>
  <c r="V19" i="8" s="1"/>
  <c r="Y19" i="8" s="1"/>
  <c r="Z19" i="8" s="1"/>
  <c r="AC19" i="8" s="1"/>
  <c r="AD19" i="8" s="1"/>
  <c r="AG19" i="8" s="1"/>
  <c r="AH19" i="8" s="1"/>
  <c r="AK19" i="8" s="1"/>
  <c r="AL19" i="8" s="1"/>
  <c r="AO19" i="8" s="1"/>
  <c r="M7" i="8"/>
  <c r="N7" i="8" s="1"/>
  <c r="Q7" i="8" s="1"/>
  <c r="R7" i="8" s="1"/>
  <c r="U7" i="8" s="1"/>
  <c r="V7" i="8" s="1"/>
  <c r="Y7" i="8" s="1"/>
  <c r="Z7" i="8" s="1"/>
  <c r="AC7" i="8" s="1"/>
  <c r="AD7" i="8" s="1"/>
  <c r="AG7" i="8" s="1"/>
  <c r="AH7" i="8" s="1"/>
  <c r="AK7" i="8" s="1"/>
  <c r="AL7" i="8" s="1"/>
  <c r="AO7" i="8" s="1"/>
  <c r="U5" i="8"/>
  <c r="V5" i="8" s="1"/>
  <c r="Y5" i="8" s="1"/>
  <c r="Z5" i="8" s="1"/>
  <c r="AC5" i="8" s="1"/>
  <c r="AD5" i="8" s="1"/>
  <c r="AG5" i="8" s="1"/>
  <c r="AH5" i="8" s="1"/>
  <c r="AK5" i="8" s="1"/>
  <c r="AL5" i="8" s="1"/>
  <c r="AO5" i="8" s="1"/>
  <c r="AG8" i="8"/>
  <c r="AH8" i="8" s="1"/>
  <c r="AK8" i="8" s="1"/>
  <c r="AL8" i="8" s="1"/>
  <c r="AO8" i="8" s="1"/>
  <c r="M22" i="8"/>
  <c r="N22" i="8" s="1"/>
  <c r="Q22" i="8" s="1"/>
  <c r="R22" i="8" s="1"/>
  <c r="U22" i="8" s="1"/>
  <c r="V22" i="8" s="1"/>
  <c r="Y22" i="8" s="1"/>
  <c r="Z22" i="8" s="1"/>
  <c r="AC22" i="8" s="1"/>
  <c r="AD22" i="8" s="1"/>
  <c r="AG22" i="8" s="1"/>
  <c r="AH22" i="8" s="1"/>
  <c r="AK22" i="8" s="1"/>
  <c r="AL22" i="8" s="1"/>
  <c r="AO22" i="8" s="1"/>
  <c r="M10" i="8"/>
  <c r="N10" i="8" s="1"/>
  <c r="Q10" i="8" s="1"/>
  <c r="R10" i="8" s="1"/>
  <c r="U10" i="8" s="1"/>
  <c r="V10" i="8" s="1"/>
  <c r="Y10" i="8" s="1"/>
  <c r="Z10" i="8" s="1"/>
  <c r="AC10" i="8" s="1"/>
  <c r="AD10" i="8" s="1"/>
  <c r="AG10" i="8" s="1"/>
  <c r="AH10" i="8" s="1"/>
  <c r="AK10" i="8" s="1"/>
  <c r="AL10" i="8" s="1"/>
  <c r="AO10" i="8" s="1"/>
  <c r="Y12" i="8"/>
  <c r="Z12" i="8" s="1"/>
  <c r="AC12" i="8" s="1"/>
  <c r="AD12" i="8" s="1"/>
  <c r="AG12" i="8" s="1"/>
  <c r="AH12" i="8" s="1"/>
  <c r="AK12" i="8" s="1"/>
  <c r="AL12" i="8" s="1"/>
  <c r="AO12" i="8" s="1"/>
  <c r="Y8" i="8"/>
  <c r="Z8" i="8" s="1"/>
  <c r="AC8" i="8" s="1"/>
  <c r="AD8" i="8" s="1"/>
  <c r="F6" i="8"/>
  <c r="I6" i="8" s="1"/>
  <c r="J6" i="8" s="1"/>
  <c r="M6" i="8" s="1"/>
  <c r="N6" i="8" s="1"/>
  <c r="Q6" i="8" s="1"/>
  <c r="R6" i="8" s="1"/>
  <c r="U6" i="8" s="1"/>
  <c r="V6" i="8" s="1"/>
  <c r="Y6" i="8" s="1"/>
  <c r="Z6" i="8" s="1"/>
  <c r="AC6" i="8" s="1"/>
  <c r="AD6" i="8" s="1"/>
  <c r="AG6" i="8" s="1"/>
  <c r="AH6" i="8" s="1"/>
  <c r="AK6" i="8" s="1"/>
  <c r="AL6" i="8" s="1"/>
  <c r="AO6" i="8" s="1"/>
  <c r="F12" i="8"/>
  <c r="I12" i="8" s="1"/>
  <c r="J12" i="8" s="1"/>
  <c r="M12" i="8" s="1"/>
  <c r="N12" i="8" s="1"/>
  <c r="Q12" i="8" s="1"/>
  <c r="R12" i="8" s="1"/>
  <c r="U12" i="8" s="1"/>
  <c r="V12" i="8" s="1"/>
  <c r="F22" i="8"/>
  <c r="I22" i="8" s="1"/>
  <c r="J22" i="8" s="1"/>
  <c r="E14" i="8"/>
  <c r="F15" i="8"/>
  <c r="I15" i="8" s="1"/>
  <c r="J15" i="8" s="1"/>
  <c r="M15" i="8" s="1"/>
  <c r="N15" i="8" s="1"/>
  <c r="Q15" i="8" s="1"/>
  <c r="R15" i="8" s="1"/>
  <c r="U15" i="8" s="1"/>
  <c r="V15" i="8" s="1"/>
  <c r="Y15" i="8" s="1"/>
  <c r="Z15" i="8" s="1"/>
  <c r="AC15" i="8" s="1"/>
  <c r="AD15" i="8" s="1"/>
  <c r="AG15" i="8" s="1"/>
  <c r="AH15" i="8" s="1"/>
  <c r="AK15" i="8" s="1"/>
  <c r="AL15" i="8" s="1"/>
  <c r="AO15" i="8" s="1"/>
  <c r="E25" i="8"/>
  <c r="F11" i="8"/>
  <c r="I11" i="8" s="1"/>
  <c r="J11" i="8" s="1"/>
  <c r="M11" i="8" s="1"/>
  <c r="N11" i="8" s="1"/>
  <c r="Q11" i="8" s="1"/>
  <c r="R11" i="8" s="1"/>
  <c r="U11" i="8" s="1"/>
  <c r="V11" i="8" s="1"/>
  <c r="Y11" i="8" s="1"/>
  <c r="Z11" i="8" s="1"/>
  <c r="AC11" i="8" s="1"/>
  <c r="AD11" i="8" s="1"/>
  <c r="AG11" i="8" s="1"/>
  <c r="AH11" i="8" s="1"/>
  <c r="AK11" i="8" s="1"/>
  <c r="AL11" i="8" s="1"/>
  <c r="AO11" i="8" s="1"/>
  <c r="E18" i="8"/>
  <c r="F4" i="8"/>
  <c r="I4" i="8" s="1"/>
  <c r="J4" i="8" s="1"/>
  <c r="M4" i="8" s="1"/>
  <c r="N4" i="8" s="1"/>
  <c r="Q4" i="8" s="1"/>
  <c r="R4" i="8" s="1"/>
  <c r="U4" i="8" s="1"/>
  <c r="V4" i="8" s="1"/>
  <c r="Y4" i="8" s="1"/>
  <c r="Z4" i="8" s="1"/>
  <c r="AC4" i="8" s="1"/>
  <c r="AD4" i="8" s="1"/>
  <c r="AG4" i="8" s="1"/>
  <c r="AH4" i="8" s="1"/>
  <c r="AK4" i="8" s="1"/>
  <c r="AL4" i="8" s="1"/>
  <c r="AO4" i="8" s="1"/>
  <c r="E17" i="8" l="1"/>
  <c r="F18" i="8"/>
  <c r="I18" i="8" s="1"/>
  <c r="J18" i="8" s="1"/>
  <c r="M18" i="8" s="1"/>
  <c r="N18" i="8" s="1"/>
  <c r="Q18" i="8" s="1"/>
  <c r="R18" i="8" s="1"/>
  <c r="U18" i="8" s="1"/>
  <c r="V18" i="8" s="1"/>
  <c r="Y18" i="8" s="1"/>
  <c r="Z18" i="8" s="1"/>
  <c r="AC18" i="8" s="1"/>
  <c r="AD18" i="8" s="1"/>
  <c r="AG18" i="8" s="1"/>
  <c r="AH18" i="8" s="1"/>
  <c r="AK18" i="8" s="1"/>
  <c r="AL18" i="8" s="1"/>
  <c r="AO18" i="8" s="1"/>
  <c r="F25" i="8"/>
  <c r="I25" i="8" s="1"/>
  <c r="J25" i="8" s="1"/>
  <c r="M25" i="8" s="1"/>
  <c r="N25" i="8" s="1"/>
  <c r="Q25" i="8" s="1"/>
  <c r="R25" i="8" s="1"/>
  <c r="U25" i="8" s="1"/>
  <c r="V25" i="8" s="1"/>
  <c r="Y25" i="8" s="1"/>
  <c r="Z25" i="8" s="1"/>
  <c r="AC25" i="8" s="1"/>
  <c r="AD25" i="8" s="1"/>
  <c r="AG25" i="8" s="1"/>
  <c r="AH25" i="8" s="1"/>
  <c r="AK25" i="8" s="1"/>
  <c r="AL25" i="8" s="1"/>
  <c r="AO25" i="8" s="1"/>
  <c r="E21" i="8"/>
  <c r="E31" i="8"/>
  <c r="E28" i="8"/>
  <c r="F14" i="8"/>
  <c r="I14" i="8" s="1"/>
  <c r="J14" i="8" s="1"/>
  <c r="M14" i="8" s="1"/>
  <c r="N14" i="8" s="1"/>
  <c r="Q14" i="8" s="1"/>
  <c r="R14" i="8" s="1"/>
  <c r="U14" i="8" s="1"/>
  <c r="V14" i="8" s="1"/>
  <c r="Y14" i="8" s="1"/>
  <c r="Z14" i="8" s="1"/>
  <c r="AC14" i="8" s="1"/>
  <c r="AD14" i="8" s="1"/>
  <c r="AG14" i="8" s="1"/>
  <c r="AH14" i="8" s="1"/>
  <c r="AK14" i="8" s="1"/>
  <c r="AL14" i="8" s="1"/>
  <c r="AO14" i="8" s="1"/>
  <c r="F21" i="8" l="1"/>
  <c r="I21" i="8" s="1"/>
  <c r="J21" i="8" s="1"/>
  <c r="M21" i="8" s="1"/>
  <c r="N21" i="8" s="1"/>
  <c r="Q21" i="8" s="1"/>
  <c r="R21" i="8" s="1"/>
  <c r="U21" i="8" s="1"/>
  <c r="V21" i="8" s="1"/>
  <c r="Y21" i="8" s="1"/>
  <c r="Z21" i="8" s="1"/>
  <c r="AC21" i="8" s="1"/>
  <c r="AD21" i="8" s="1"/>
  <c r="AG21" i="8" s="1"/>
  <c r="AH21" i="8" s="1"/>
  <c r="AK21" i="8" s="1"/>
  <c r="AL21" i="8" s="1"/>
  <c r="AO21" i="8" s="1"/>
  <c r="F28" i="8"/>
  <c r="I28" i="8" s="1"/>
  <c r="J28" i="8" s="1"/>
  <c r="M28" i="8" s="1"/>
  <c r="N28" i="8" s="1"/>
  <c r="Q28" i="8" s="1"/>
  <c r="R28" i="8" s="1"/>
  <c r="U28" i="8" s="1"/>
  <c r="V28" i="8" s="1"/>
  <c r="Y28" i="8" s="1"/>
  <c r="Z28" i="8" s="1"/>
  <c r="AC28" i="8" s="1"/>
  <c r="AD28" i="8" s="1"/>
  <c r="AG28" i="8" s="1"/>
  <c r="AH28" i="8" s="1"/>
  <c r="AK28" i="8" s="1"/>
  <c r="AL28" i="8" s="1"/>
  <c r="AO28" i="8" s="1"/>
  <c r="F31" i="8"/>
  <c r="I31" i="8" s="1"/>
  <c r="J31" i="8" s="1"/>
  <c r="M31" i="8" s="1"/>
  <c r="N31" i="8" s="1"/>
  <c r="Q31" i="8" s="1"/>
  <c r="R31" i="8" s="1"/>
  <c r="U31" i="8" s="1"/>
  <c r="V31" i="8" s="1"/>
  <c r="Y31" i="8" s="1"/>
  <c r="Z31" i="8" s="1"/>
  <c r="AC31" i="8" s="1"/>
  <c r="AD31" i="8" s="1"/>
  <c r="AG31" i="8" s="1"/>
  <c r="AH31" i="8" s="1"/>
  <c r="AK31" i="8" s="1"/>
  <c r="AL31" i="8" s="1"/>
  <c r="AO31" i="8" s="1"/>
  <c r="E20" i="8"/>
  <c r="E24" i="8"/>
  <c r="F17" i="8"/>
  <c r="I17" i="8" s="1"/>
  <c r="J17" i="8" s="1"/>
  <c r="M17" i="8" s="1"/>
  <c r="N17" i="8" s="1"/>
  <c r="Q17" i="8" s="1"/>
  <c r="R17" i="8" s="1"/>
  <c r="U17" i="8" s="1"/>
  <c r="V17" i="8" s="1"/>
  <c r="Y17" i="8" s="1"/>
  <c r="Z17" i="8" s="1"/>
  <c r="AC17" i="8" s="1"/>
  <c r="AD17" i="8" s="1"/>
  <c r="AG17" i="8" s="1"/>
  <c r="AH17" i="8" s="1"/>
  <c r="AK17" i="8" s="1"/>
  <c r="AL17" i="8" s="1"/>
  <c r="AO17" i="8" s="1"/>
  <c r="F24" i="8" l="1"/>
  <c r="I24" i="8" s="1"/>
  <c r="J24" i="8" s="1"/>
  <c r="M24" i="8" s="1"/>
  <c r="N24" i="8" s="1"/>
  <c r="Q24" i="8" s="1"/>
  <c r="R24" i="8" s="1"/>
  <c r="U24" i="8" s="1"/>
  <c r="V24" i="8" s="1"/>
  <c r="Y24" i="8" s="1"/>
  <c r="Z24" i="8" s="1"/>
  <c r="AC24" i="8" s="1"/>
  <c r="AD24" i="8" s="1"/>
  <c r="AG24" i="8" s="1"/>
  <c r="AH24" i="8" s="1"/>
  <c r="AK24" i="8" s="1"/>
  <c r="AL24" i="8" s="1"/>
  <c r="AO24" i="8" s="1"/>
  <c r="E23" i="8"/>
  <c r="F20" i="8"/>
  <c r="I20" i="8" s="1"/>
  <c r="J20" i="8" s="1"/>
  <c r="M20" i="8" s="1"/>
  <c r="N20" i="8" s="1"/>
  <c r="Q20" i="8" s="1"/>
  <c r="R20" i="8" s="1"/>
  <c r="U20" i="8" s="1"/>
  <c r="V20" i="8" s="1"/>
  <c r="Y20" i="8" s="1"/>
  <c r="Z20" i="8" s="1"/>
  <c r="AC20" i="8" s="1"/>
  <c r="AD20" i="8" s="1"/>
  <c r="AG20" i="8" s="1"/>
  <c r="AH20" i="8" s="1"/>
  <c r="AK20" i="8" s="1"/>
  <c r="AL20" i="8" s="1"/>
  <c r="AO20" i="8" s="1"/>
  <c r="E27" i="8"/>
  <c r="E26" i="8" l="1"/>
  <c r="E33" i="8"/>
  <c r="E30" i="8"/>
  <c r="F27" i="8"/>
  <c r="I27" i="8" s="1"/>
  <c r="J27" i="8" s="1"/>
  <c r="M27" i="8" s="1"/>
  <c r="N27" i="8" s="1"/>
  <c r="Q27" i="8" s="1"/>
  <c r="R27" i="8" s="1"/>
  <c r="U27" i="8" s="1"/>
  <c r="V27" i="8" s="1"/>
  <c r="Y27" i="8" s="1"/>
  <c r="Z27" i="8" s="1"/>
  <c r="AC27" i="8" s="1"/>
  <c r="AD27" i="8" s="1"/>
  <c r="AG27" i="8" s="1"/>
  <c r="AH27" i="8" s="1"/>
  <c r="AK27" i="8" s="1"/>
  <c r="AL27" i="8" s="1"/>
  <c r="AO27" i="8" s="1"/>
  <c r="F23" i="8"/>
  <c r="I23" i="8" s="1"/>
  <c r="J23" i="8" s="1"/>
  <c r="M23" i="8" s="1"/>
  <c r="N23" i="8" s="1"/>
  <c r="Q23" i="8" s="1"/>
  <c r="R23" i="8" s="1"/>
  <c r="U23" i="8" s="1"/>
  <c r="V23" i="8" s="1"/>
  <c r="Y23" i="8" s="1"/>
  <c r="Z23" i="8" s="1"/>
  <c r="AC23" i="8" s="1"/>
  <c r="AD23" i="8" s="1"/>
  <c r="AG23" i="8" s="1"/>
  <c r="AH23" i="8" s="1"/>
  <c r="AK23" i="8" s="1"/>
  <c r="AL23" i="8" s="1"/>
  <c r="AO23" i="8" s="1"/>
  <c r="F30" i="8" l="1"/>
  <c r="I30" i="8" s="1"/>
  <c r="J30" i="8" s="1"/>
  <c r="M30" i="8" s="1"/>
  <c r="N30" i="8" s="1"/>
  <c r="Q30" i="8" s="1"/>
  <c r="R30" i="8" s="1"/>
  <c r="U30" i="8" s="1"/>
  <c r="V30" i="8" s="1"/>
  <c r="Y30" i="8" s="1"/>
  <c r="Z30" i="8" s="1"/>
  <c r="AC30" i="8" s="1"/>
  <c r="AD30" i="8" s="1"/>
  <c r="AG30" i="8" s="1"/>
  <c r="AH30" i="8" s="1"/>
  <c r="AK30" i="8" s="1"/>
  <c r="AL30" i="8" s="1"/>
  <c r="AO30" i="8" s="1"/>
  <c r="F33" i="8"/>
  <c r="I33" i="8" s="1"/>
  <c r="J33" i="8" s="1"/>
  <c r="M33" i="8" s="1"/>
  <c r="N33" i="8" s="1"/>
  <c r="Q33" i="8" s="1"/>
  <c r="R33" i="8" s="1"/>
  <c r="U33" i="8" s="1"/>
  <c r="V33" i="8" s="1"/>
  <c r="Y33" i="8" s="1"/>
  <c r="Z33" i="8" s="1"/>
  <c r="AC33" i="8" s="1"/>
  <c r="AD33" i="8" s="1"/>
  <c r="AG33" i="8" s="1"/>
  <c r="AH33" i="8" s="1"/>
  <c r="AK33" i="8" s="1"/>
  <c r="AL33" i="8" s="1"/>
  <c r="AO33" i="8" s="1"/>
  <c r="F26" i="8"/>
  <c r="I26" i="8" s="1"/>
  <c r="J26" i="8" s="1"/>
  <c r="M26" i="8" s="1"/>
  <c r="N26" i="8" s="1"/>
  <c r="Q26" i="8" s="1"/>
  <c r="R26" i="8" s="1"/>
  <c r="U26" i="8" s="1"/>
  <c r="V26" i="8" s="1"/>
  <c r="Y26" i="8" s="1"/>
  <c r="Z26" i="8" s="1"/>
  <c r="AC26" i="8" s="1"/>
  <c r="AD26" i="8" s="1"/>
  <c r="AG26" i="8" s="1"/>
  <c r="AH26" i="8" s="1"/>
  <c r="AK26" i="8" s="1"/>
  <c r="AL26" i="8" s="1"/>
  <c r="AO26" i="8" s="1"/>
  <c r="E32" i="8"/>
  <c r="E29" i="8"/>
  <c r="F29" i="8" l="1"/>
  <c r="I29" i="8" s="1"/>
  <c r="J29" i="8" s="1"/>
  <c r="M29" i="8" s="1"/>
  <c r="N29" i="8" s="1"/>
  <c r="Q29" i="8" s="1"/>
  <c r="R29" i="8" s="1"/>
  <c r="U29" i="8" s="1"/>
  <c r="V29" i="8" s="1"/>
  <c r="Y29" i="8" s="1"/>
  <c r="Z29" i="8" s="1"/>
  <c r="AC29" i="8" s="1"/>
  <c r="AD29" i="8" s="1"/>
  <c r="AG29" i="8" s="1"/>
  <c r="AH29" i="8" s="1"/>
  <c r="AK29" i="8" s="1"/>
  <c r="AL29" i="8" s="1"/>
  <c r="AO29" i="8" s="1"/>
  <c r="F32" i="8"/>
  <c r="I32" i="8" s="1"/>
  <c r="J32" i="8" s="1"/>
  <c r="M32" i="8" s="1"/>
  <c r="N32" i="8" s="1"/>
  <c r="Q32" i="8" s="1"/>
  <c r="R32" i="8" s="1"/>
  <c r="U32" i="8" s="1"/>
  <c r="V32" i="8" s="1"/>
  <c r="Y32" i="8" s="1"/>
  <c r="Z32" i="8" s="1"/>
  <c r="AC32" i="8" s="1"/>
  <c r="AD32" i="8" s="1"/>
  <c r="AG32" i="8" s="1"/>
  <c r="AH32" i="8" s="1"/>
  <c r="AK32" i="8" s="1"/>
  <c r="AL32" i="8" s="1"/>
  <c r="AO32" i="8" s="1"/>
</calcChain>
</file>

<file path=xl/sharedStrings.xml><?xml version="1.0" encoding="utf-8"?>
<sst xmlns="http://schemas.openxmlformats.org/spreadsheetml/2006/main" count="3518" uniqueCount="153">
  <si>
    <t>BU</t>
  </si>
  <si>
    <t>SKU</t>
  </si>
  <si>
    <t>Brand</t>
  </si>
  <si>
    <t>Model</t>
  </si>
  <si>
    <t>Avg Price</t>
  </si>
  <si>
    <t>Makeup</t>
  </si>
  <si>
    <t>M01</t>
  </si>
  <si>
    <t>Maybeleen</t>
  </si>
  <si>
    <t>Compact Powder</t>
  </si>
  <si>
    <t>M02</t>
  </si>
  <si>
    <t>Garner</t>
  </si>
  <si>
    <t>Cleansing Water</t>
  </si>
  <si>
    <t>M03</t>
  </si>
  <si>
    <t>Dads Co</t>
  </si>
  <si>
    <t>UnderEye Cream</t>
  </si>
  <si>
    <t>M04</t>
  </si>
  <si>
    <t>BabyLips</t>
  </si>
  <si>
    <t>M05</t>
  </si>
  <si>
    <t>Chakma</t>
  </si>
  <si>
    <t>Pore Cleanser</t>
  </si>
  <si>
    <t>M06</t>
  </si>
  <si>
    <t>Chemitique</t>
  </si>
  <si>
    <t>Berberry Cleanser</t>
  </si>
  <si>
    <t>M07</t>
  </si>
  <si>
    <t>Alps</t>
  </si>
  <si>
    <t>Aloe Face Wipes</t>
  </si>
  <si>
    <t>M08</t>
  </si>
  <si>
    <t>MEGA</t>
  </si>
  <si>
    <t>Black head remover</t>
  </si>
  <si>
    <t>M09</t>
  </si>
  <si>
    <t>Sironah</t>
  </si>
  <si>
    <t>Face Razor</t>
  </si>
  <si>
    <t>M10</t>
  </si>
  <si>
    <t>Bonds</t>
  </si>
  <si>
    <t>Age Magic</t>
  </si>
  <si>
    <t>Furniture</t>
  </si>
  <si>
    <t>F01</t>
  </si>
  <si>
    <t>Amazonian Basix</t>
  </si>
  <si>
    <t>0 Gravity chair</t>
  </si>
  <si>
    <t>F02</t>
  </si>
  <si>
    <t xml:space="preserve">ADHD </t>
  </si>
  <si>
    <t>Wooden Coffee Table</t>
  </si>
  <si>
    <t>F03</t>
  </si>
  <si>
    <t>Lalkamal</t>
  </si>
  <si>
    <t>Plastic Cabinet Wood Finish</t>
  </si>
  <si>
    <t>F04</t>
  </si>
  <si>
    <t>Furniture Café</t>
  </si>
  <si>
    <t>Wooden wall shelf</t>
  </si>
  <si>
    <t>F05</t>
  </si>
  <si>
    <t>Malik</t>
  </si>
  <si>
    <t>Table Antique</t>
  </si>
  <si>
    <t>F06</t>
  </si>
  <si>
    <t>Fun Aspiration</t>
  </si>
  <si>
    <t>Toilet Cabinet</t>
  </si>
  <si>
    <t>F07</t>
  </si>
  <si>
    <t>Utopia</t>
  </si>
  <si>
    <t>Brass Cutting Wooden Storage Stool</t>
  </si>
  <si>
    <t>F08</t>
  </si>
  <si>
    <t>WFH Gear</t>
  </si>
  <si>
    <t>Side Table</t>
  </si>
  <si>
    <t>F09</t>
  </si>
  <si>
    <t>Gunee</t>
  </si>
  <si>
    <t>Bar Stool Bamboo</t>
  </si>
  <si>
    <t>F10</t>
  </si>
  <si>
    <t>AccoDecco</t>
  </si>
  <si>
    <t>2 in 1 Table</t>
  </si>
  <si>
    <t>Luxury</t>
  </si>
  <si>
    <t>L01</t>
  </si>
  <si>
    <t>KAMA</t>
  </si>
  <si>
    <t>Haldi Chandan</t>
  </si>
  <si>
    <t>L02</t>
  </si>
  <si>
    <t>KAMA Ayurveda</t>
  </si>
  <si>
    <t>Neroli Water</t>
  </si>
  <si>
    <t>L03</t>
  </si>
  <si>
    <t>Forest Essentials</t>
  </si>
  <si>
    <t>Shower Gel Silky</t>
  </si>
  <si>
    <t>L04</t>
  </si>
  <si>
    <t>Hair Cleanser Bhringrraj</t>
  </si>
  <si>
    <t>L05</t>
  </si>
  <si>
    <t>Wella</t>
  </si>
  <si>
    <t>Intense Repair</t>
  </si>
  <si>
    <t>L06</t>
  </si>
  <si>
    <t>Biolage</t>
  </si>
  <si>
    <t>Renewing Mask</t>
  </si>
  <si>
    <t>L07</t>
  </si>
  <si>
    <t>Viva</t>
  </si>
  <si>
    <t>Fibrestrong Shampoo</t>
  </si>
  <si>
    <t>L08</t>
  </si>
  <si>
    <t>PapaEarth</t>
  </si>
  <si>
    <t>Bourbon Body Scent</t>
  </si>
  <si>
    <t>L09</t>
  </si>
  <si>
    <t>Jeera</t>
  </si>
  <si>
    <t>Spring Lily</t>
  </si>
  <si>
    <t>L10</t>
  </si>
  <si>
    <t>Schwazkopf</t>
  </si>
  <si>
    <t>Absolut Repair</t>
  </si>
  <si>
    <t>H</t>
  </si>
  <si>
    <t>C</t>
  </si>
  <si>
    <t>M</t>
  </si>
  <si>
    <t>STK TRNS</t>
  </si>
  <si>
    <t>Date</t>
  </si>
  <si>
    <t>City</t>
  </si>
  <si>
    <t>Sales</t>
  </si>
  <si>
    <t>Grand Total</t>
  </si>
  <si>
    <t>Total Stock</t>
  </si>
  <si>
    <t>Price</t>
  </si>
  <si>
    <t>Revenue</t>
  </si>
  <si>
    <t>Row Labels</t>
  </si>
  <si>
    <t>Sum of Sales</t>
  </si>
  <si>
    <t>Average</t>
  </si>
  <si>
    <t>Cover Days</t>
  </si>
  <si>
    <t>Total Open STK</t>
  </si>
  <si>
    <t>Open Stock</t>
  </si>
  <si>
    <t>Incoming</t>
  </si>
  <si>
    <t>Closing Stock</t>
  </si>
  <si>
    <t>Column Labels</t>
  </si>
  <si>
    <t>Days of inventory (Days of Cover)</t>
  </si>
  <si>
    <t>Madras DC</t>
  </si>
  <si>
    <t>Open STK</t>
  </si>
  <si>
    <t>Total Sales</t>
  </si>
  <si>
    <t>Avg Sales</t>
  </si>
  <si>
    <t>Max</t>
  </si>
  <si>
    <t>Sum of Revenue</t>
  </si>
  <si>
    <t>Sum of revenue</t>
  </si>
  <si>
    <t>Cumulative Revenue</t>
  </si>
  <si>
    <t>%cum rev</t>
  </si>
  <si>
    <t>Day</t>
  </si>
  <si>
    <t>Day-wise sales</t>
  </si>
  <si>
    <t>Monday</t>
  </si>
  <si>
    <t>Tuesday</t>
  </si>
  <si>
    <t>Wednesday</t>
  </si>
  <si>
    <t>Thursday</t>
  </si>
  <si>
    <t>Friday</t>
  </si>
  <si>
    <t>Saturday</t>
  </si>
  <si>
    <t>Sunday</t>
  </si>
  <si>
    <t>Minimum</t>
  </si>
  <si>
    <t>Cumulative Sales</t>
  </si>
  <si>
    <t>Sum of sales</t>
  </si>
  <si>
    <t>%cumulative sales</t>
  </si>
  <si>
    <t>SKUs</t>
  </si>
  <si>
    <t>Volume</t>
  </si>
  <si>
    <t>Cochin</t>
  </si>
  <si>
    <t>Hyderabad</t>
  </si>
  <si>
    <t>Madras</t>
  </si>
  <si>
    <t>Total Revenue</t>
  </si>
  <si>
    <t>Dates</t>
  </si>
  <si>
    <t>% cumRev</t>
  </si>
  <si>
    <t>%growth</t>
  </si>
  <si>
    <t>Max growth</t>
  </si>
  <si>
    <t>Date for max</t>
  </si>
  <si>
    <t>% growth</t>
  </si>
  <si>
    <t>Lowest Closing Inventory</t>
  </si>
  <si>
    <t xml:space="preserve">SKU for lowest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</si>
</sst>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 &quot;₹&quot;\ * #,##0.00_ ;_ &quot;₹&quot;\ * \-#,##0.00_ ;_ &quot;₹&quot;\ * &quot;-&quot;??_ ;_ @_ "/>
    <numFmt numFmtId="169" formatCode="0.000"/>
    <numFmt numFmtId="170" formatCode="0.0"/>
    <numFmt numFmtId="171" formatCode="0.0%"/>
  </numFmts>
  <fonts count="12" x14ac:knownFonts="1">
    <font>
      <sz val="10"/>
      <color rgb="FF000000"/>
      <name val="Arial"/>
      <scheme val="minor"/>
    </font>
    <font>
      <sz val="11"/>
      <color theme="1"/>
      <name val="Calibri"/>
    </font>
    <font>
      <b/>
      <sz val="11"/>
      <color theme="1"/>
      <name val="Calibri"/>
    </font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</font>
    <font>
      <sz val="10"/>
      <color rgb="FF0A010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/>
      <right/>
      <top/>
      <bottom style="thin">
        <color rgb="FF8EAA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50">
    <xf numFmtId="0" fontId="0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3" borderId="0" xfId="0" applyFont="1" applyFill="1" applyAlignment="1">
      <alignment horizontal="right"/>
    </xf>
    <xf numFmtId="0" fontId="1" fillId="0" borderId="0" xfId="0" applyFont="1" applyAlignment="1"/>
    <xf numFmtId="0" fontId="2" fillId="3" borderId="1" xfId="0" applyFont="1" applyFill="1" applyBorder="1" applyAlignme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" fillId="3" borderId="0" xfId="0" applyFont="1" applyFill="1" applyAlignment="1">
      <alignment horizontal="center"/>
    </xf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14" fontId="7" fillId="2" borderId="0" xfId="0" applyNumberFormat="1" applyFont="1" applyFill="1" applyAlignment="1"/>
    <xf numFmtId="0" fontId="7" fillId="2" borderId="0" xfId="0" applyFont="1" applyFill="1" applyAlignment="1"/>
    <xf numFmtId="0" fontId="0" fillId="0" borderId="0" xfId="0" pivotButton="1" applyFont="1" applyAlignment="1"/>
    <xf numFmtId="14" fontId="0" fillId="0" borderId="0" xfId="0" applyNumberFormat="1" applyFont="1" applyAlignment="1">
      <alignment horizontal="left"/>
    </xf>
    <xf numFmtId="0" fontId="0" fillId="0" borderId="0" xfId="0" applyNumberFormat="1" applyFont="1" applyAlignment="1"/>
    <xf numFmtId="0" fontId="8" fillId="0" borderId="0" xfId="0" applyFont="1" applyAlignment="1"/>
    <xf numFmtId="0" fontId="9" fillId="0" borderId="0" xfId="0" applyFont="1" applyAlignment="1"/>
    <xf numFmtId="0" fontId="8" fillId="0" borderId="0" xfId="0" pivotButton="1" applyFont="1" applyAlignment="1"/>
    <xf numFmtId="0" fontId="8" fillId="0" borderId="0" xfId="0" applyNumberFormat="1" applyFont="1" applyAlignment="1"/>
    <xf numFmtId="170" fontId="8" fillId="0" borderId="0" xfId="0" applyNumberFormat="1" applyFont="1" applyAlignment="1"/>
    <xf numFmtId="14" fontId="6" fillId="3" borderId="0" xfId="0" applyNumberFormat="1" applyFont="1" applyFill="1" applyAlignment="1">
      <alignment horizontal="right"/>
    </xf>
    <xf numFmtId="0" fontId="6" fillId="3" borderId="0" xfId="0" applyFont="1" applyFill="1" applyAlignment="1"/>
    <xf numFmtId="0" fontId="6" fillId="3" borderId="0" xfId="0" applyFont="1" applyFill="1" applyAlignment="1">
      <alignment horizontal="right"/>
    </xf>
    <xf numFmtId="44" fontId="6" fillId="4" borderId="0" xfId="1" applyFont="1" applyFill="1" applyAlignment="1">
      <alignment horizontal="right"/>
    </xf>
    <xf numFmtId="14" fontId="0" fillId="0" borderId="0" xfId="0" applyNumberFormat="1" applyFont="1" applyAlignment="1"/>
    <xf numFmtId="0" fontId="0" fillId="0" borderId="0" xfId="0" applyFont="1" applyAlignment="1">
      <alignment horizontal="left"/>
    </xf>
    <xf numFmtId="0" fontId="9" fillId="0" borderId="2" xfId="0" applyFont="1" applyBorder="1" applyAlignment="1"/>
    <xf numFmtId="14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8" fillId="0" borderId="2" xfId="0" applyFont="1" applyBorder="1" applyAlignment="1"/>
    <xf numFmtId="0" fontId="10" fillId="0" borderId="0" xfId="0" pivotButton="1" applyFont="1" applyAlignment="1"/>
    <xf numFmtId="0" fontId="10" fillId="0" borderId="0" xfId="0" applyFont="1" applyAlignment="1"/>
    <xf numFmtId="14" fontId="10" fillId="0" borderId="0" xfId="0" applyNumberFormat="1" applyFont="1" applyAlignment="1">
      <alignment horizontal="left"/>
    </xf>
    <xf numFmtId="0" fontId="10" fillId="0" borderId="0" xfId="0" applyNumberFormat="1" applyFont="1" applyAlignment="1"/>
    <xf numFmtId="44" fontId="0" fillId="0" borderId="0" xfId="0" applyNumberFormat="1" applyFont="1" applyAlignment="1"/>
    <xf numFmtId="44" fontId="8" fillId="0" borderId="0" xfId="0" applyNumberFormat="1" applyFont="1" applyAlignment="1"/>
    <xf numFmtId="0" fontId="8" fillId="0" borderId="0" xfId="0" applyFont="1" applyAlignment="1">
      <alignment horizontal="left"/>
    </xf>
    <xf numFmtId="171" fontId="8" fillId="0" borderId="0" xfId="2" applyNumberFormat="1" applyFont="1" applyAlignment="1"/>
    <xf numFmtId="0" fontId="11" fillId="0" borderId="0" xfId="0" applyFont="1" applyAlignment="1"/>
    <xf numFmtId="0" fontId="5" fillId="0" borderId="2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5" fillId="0" borderId="2" xfId="0" applyFont="1" applyBorder="1" applyAlignment="1"/>
    <xf numFmtId="0" fontId="0" fillId="0" borderId="2" xfId="0" applyFont="1" applyBorder="1" applyAlignment="1">
      <alignment horizontal="left"/>
    </xf>
    <xf numFmtId="0" fontId="0" fillId="0" borderId="2" xfId="0" applyNumberFormat="1" applyFont="1" applyBorder="1" applyAlignment="1"/>
    <xf numFmtId="44" fontId="0" fillId="0" borderId="2" xfId="0" applyNumberFormat="1" applyFont="1" applyBorder="1" applyAlignment="1"/>
    <xf numFmtId="171" fontId="0" fillId="0" borderId="0" xfId="2" applyNumberFormat="1" applyFont="1" applyAlignment="1"/>
    <xf numFmtId="171" fontId="0" fillId="0" borderId="0" xfId="0" applyNumberFormat="1" applyFont="1" applyAlignment="1"/>
    <xf numFmtId="169" fontId="0" fillId="0" borderId="0" xfId="2" applyNumberFormat="1" applyFont="1" applyAlignment="1"/>
  </cellXfs>
  <cellStyles count="3">
    <cellStyle name="Currency" xfId="1" builtinId="4"/>
    <cellStyle name="Normal" xfId="0" builtinId="0"/>
    <cellStyle name="Percent" xfId="2" builtinId="5"/>
  </cellStyles>
  <dxfs count="32"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[BDM FabMart.xlsx]Volume Analysis!PivotTable5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'Volume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'Volume Analysis'!$A$4:$A$34</c:f>
              <c:strCache>
                <c:ptCount val="30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  <c:pt idx="8">
                  <c:v>F09</c:v>
                </c:pt>
                <c:pt idx="9">
                  <c:v>F10</c:v>
                </c:pt>
                <c:pt idx="10">
                  <c:v>L01</c:v>
                </c:pt>
                <c:pt idx="11">
                  <c:v>L02</c:v>
                </c:pt>
                <c:pt idx="12">
                  <c:v>L03</c:v>
                </c:pt>
                <c:pt idx="13">
                  <c:v>L04</c:v>
                </c:pt>
                <c:pt idx="14">
                  <c:v>L05</c:v>
                </c:pt>
                <c:pt idx="15">
                  <c:v>L06</c:v>
                </c:pt>
                <c:pt idx="16">
                  <c:v>L07</c:v>
                </c:pt>
                <c:pt idx="17">
                  <c:v>L08</c:v>
                </c:pt>
                <c:pt idx="18">
                  <c:v>L09</c:v>
                </c:pt>
                <c:pt idx="19">
                  <c:v>L10</c:v>
                </c:pt>
                <c:pt idx="20">
                  <c:v>M01</c:v>
                </c:pt>
                <c:pt idx="21">
                  <c:v>M02</c:v>
                </c:pt>
                <c:pt idx="22">
                  <c:v>M03</c:v>
                </c:pt>
                <c:pt idx="23">
                  <c:v>M04</c:v>
                </c:pt>
                <c:pt idx="24">
                  <c:v>M05</c:v>
                </c:pt>
                <c:pt idx="25">
                  <c:v>M06</c:v>
                </c:pt>
                <c:pt idx="26">
                  <c:v>M07</c:v>
                </c:pt>
                <c:pt idx="27">
                  <c:v>M08</c:v>
                </c:pt>
                <c:pt idx="28">
                  <c:v>M09</c:v>
                </c:pt>
                <c:pt idx="29">
                  <c:v>M10</c:v>
                </c:pt>
              </c:strCache>
            </c:strRef>
          </c:cat>
          <c:val>
            <c:numRef>
              <c:f>'Volume Analysis'!$B$4:$B$34</c:f>
              <c:numCache>
                <c:formatCode>General</c:formatCode>
                <c:ptCount val="30"/>
                <c:pt idx="0">
                  <c:v>914</c:v>
                </c:pt>
                <c:pt idx="1">
                  <c:v>429</c:v>
                </c:pt>
                <c:pt idx="2">
                  <c:v>332</c:v>
                </c:pt>
                <c:pt idx="3">
                  <c:v>274</c:v>
                </c:pt>
                <c:pt idx="4">
                  <c:v>185</c:v>
                </c:pt>
                <c:pt idx="5">
                  <c:v>112</c:v>
                </c:pt>
                <c:pt idx="6">
                  <c:v>112</c:v>
                </c:pt>
                <c:pt idx="7">
                  <c:v>38</c:v>
                </c:pt>
                <c:pt idx="8">
                  <c:v>37</c:v>
                </c:pt>
                <c:pt idx="9">
                  <c:v>51</c:v>
                </c:pt>
                <c:pt idx="10">
                  <c:v>896</c:v>
                </c:pt>
                <c:pt idx="11">
                  <c:v>457</c:v>
                </c:pt>
                <c:pt idx="12">
                  <c:v>333</c:v>
                </c:pt>
                <c:pt idx="13">
                  <c:v>256</c:v>
                </c:pt>
                <c:pt idx="14">
                  <c:v>195</c:v>
                </c:pt>
                <c:pt idx="15">
                  <c:v>110</c:v>
                </c:pt>
                <c:pt idx="16">
                  <c:v>105</c:v>
                </c:pt>
                <c:pt idx="17">
                  <c:v>39</c:v>
                </c:pt>
                <c:pt idx="18">
                  <c:v>30</c:v>
                </c:pt>
                <c:pt idx="19">
                  <c:v>20</c:v>
                </c:pt>
                <c:pt idx="20">
                  <c:v>909</c:v>
                </c:pt>
                <c:pt idx="21">
                  <c:v>464</c:v>
                </c:pt>
                <c:pt idx="22">
                  <c:v>342</c:v>
                </c:pt>
                <c:pt idx="23">
                  <c:v>272</c:v>
                </c:pt>
                <c:pt idx="24">
                  <c:v>192</c:v>
                </c:pt>
                <c:pt idx="25">
                  <c:v>119</c:v>
                </c:pt>
                <c:pt idx="26">
                  <c:v>117</c:v>
                </c:pt>
                <c:pt idx="27">
                  <c:v>28</c:v>
                </c:pt>
                <c:pt idx="28">
                  <c:v>40</c:v>
                </c:pt>
                <c:pt idx="2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45-4089-84D5-C0079D407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9117056"/>
        <c:axId val="1189097920"/>
      </c:barChart>
      <c:catAx>
        <c:axId val="118911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097920"/>
        <c:crosses val="autoZero"/>
        <c:auto val="1"/>
        <c:lblAlgn val="ctr"/>
        <c:lblOffset val="100"/>
        <c:noMultiLvlLbl val="0"/>
      </c:catAx>
      <c:valAx>
        <c:axId val="118909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11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Cochin</a:t>
            </a:r>
            <a:r>
              <a:rPr lang="en-IN" baseline="0"/>
              <a:t> Scatter Plot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Rev_Vol!$G$3</c:f>
              <c:strCache>
                <c:ptCount val="1"/>
                <c:pt idx="0">
                  <c:v>Revenue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Rev_Vol!$F$4:$F$33</c:f>
              <c:numCache>
                <c:formatCode>General</c:formatCode>
                <c:ptCount val="3"/>
                <c:pt idx="0">
                  <c:v>95</c:v>
                </c:pt>
                <c:pt idx="1">
                  <c:v>128</c:v>
                </c:pt>
                <c:pt idx="2">
                  <c:v>150</c:v>
                </c:pt>
              </c:numCache>
            </c:numRef>
          </c:xVal>
          <c:yVal>
            <c:numRef>
              <c:f>Rev_Vol!$G$4:$G$33</c:f>
              <c:numCache>
                <c:formatCode>_("₹"* #,##0.00_);_("₹"* \(#,##0.00\);_("₹"* "-"??_);_(@_)</c:formatCode>
                <c:ptCount val="3"/>
                <c:pt idx="0">
                  <c:v>218500</c:v>
                </c:pt>
                <c:pt idx="1">
                  <c:v>26880</c:v>
                </c:pt>
                <c:pt idx="2">
                  <c:v>270000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78-46B4-A151-BD03CF695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434160"/>
        <c:axId val="1342440400"/>
      </c:scatterChart>
      <c:valAx>
        <c:axId val="134243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440400"/>
        <c:crosses val="autoZero"/>
        <c:crossBetween val="midCat"/>
      </c:valAx>
      <c:valAx>
        <c:axId val="134244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434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Hyderabad</a:t>
            </a:r>
            <a:r>
              <a:rPr lang="en-IN" baseline="0"/>
              <a:t> Scatter Plot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Rev_Vol!$J$4:$J$33</c:f>
              <c:numCache>
                <c:formatCode>General</c:formatCode>
                <c:ptCount val="3"/>
                <c:pt idx="0">
                  <c:v>220</c:v>
                </c:pt>
                <c:pt idx="1">
                  <c:v>226</c:v>
                </c:pt>
                <c:pt idx="2">
                  <c:v>445</c:v>
                </c:pt>
              </c:numCache>
            </c:numRef>
          </c:xVal>
          <c:yVal>
            <c:numRef>
              <c:f>Rev_Vol!$K$4:$K$33</c:f>
              <c:numCache>
                <c:formatCode>_("₹"* #,##0.00_);_("₹"* \(#,##0.00\);_("₹"* "-"??_);_(@_)</c:formatCode>
                <c:ptCount val="3"/>
                <c:pt idx="0">
                  <c:v>75900</c:v>
                </c:pt>
                <c:pt idx="1">
                  <c:v>44974</c:v>
                </c:pt>
                <c:pt idx="2">
                  <c:v>801000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34-45DB-99E4-ACEF00F7D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427088"/>
        <c:axId val="1342421680"/>
      </c:scatterChart>
      <c:valAx>
        <c:axId val="1342427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421680"/>
        <c:crosses val="autoZero"/>
        <c:crossBetween val="midCat"/>
      </c:valAx>
      <c:valAx>
        <c:axId val="134242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427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Madras Scatter Plot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Rev_Vol!$N$4:$N$33</c:f>
              <c:numCache>
                <c:formatCode>General</c:formatCode>
                <c:ptCount val="3"/>
                <c:pt idx="0">
                  <c:v>149</c:v>
                </c:pt>
                <c:pt idx="1">
                  <c:v>154</c:v>
                </c:pt>
                <c:pt idx="2">
                  <c:v>301</c:v>
                </c:pt>
              </c:numCache>
            </c:numRef>
          </c:xVal>
          <c:yVal>
            <c:numRef>
              <c:f>Rev_Vol!$O$4:$O$33</c:f>
              <c:numCache>
                <c:formatCode>_("₹"* #,##0.00_);_("₹"* \(#,##0.00\);_("₹"* "-"??_);_(@_)</c:formatCode>
                <c:ptCount val="3"/>
                <c:pt idx="0">
                  <c:v>51405</c:v>
                </c:pt>
                <c:pt idx="1">
                  <c:v>30646</c:v>
                </c:pt>
                <c:pt idx="2">
                  <c:v>541800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2D-4C63-AA2D-311E954F2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415440"/>
        <c:axId val="1342438736"/>
      </c:scatterChart>
      <c:valAx>
        <c:axId val="134241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438736"/>
        <c:crosses val="autoZero"/>
        <c:crossBetween val="midCat"/>
      </c:valAx>
      <c:valAx>
        <c:axId val="134243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415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Revenue</a:t>
            </a:r>
            <a:r>
              <a:rPr lang="en-US" baseline="0"/>
              <a:t> Growth %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Revenue'!$H$21</c:f>
              <c:strCache>
                <c:ptCount val="1"/>
                <c:pt idx="0">
                  <c:v>% growth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'Daily Revenue'!$G$22:$G$36</c:f>
              <c:numCache>
                <c:formatCode>m/d/yyyy</c:formatCode>
                <c:ptCount val="15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</c:numCache>
            </c:numRef>
          </c:cat>
          <c:val>
            <c:numRef>
              <c:f>'Daily Revenue'!$H$22:$H$36</c:f>
              <c:numCache>
                <c:formatCode>0.000</c:formatCode>
                <c:ptCount val="15"/>
                <c:pt idx="1">
                  <c:v>6.7286901218767792E-2</c:v>
                </c:pt>
                <c:pt idx="2">
                  <c:v>6.7651425872238213E-2</c:v>
                </c:pt>
                <c:pt idx="3">
                  <c:v>6.8561890985640028E-2</c:v>
                </c:pt>
                <c:pt idx="4">
                  <c:v>6.5848598155914206E-2</c:v>
                </c:pt>
                <c:pt idx="5">
                  <c:v>6.5855630785884633E-2</c:v>
                </c:pt>
                <c:pt idx="6">
                  <c:v>6.7333915652459442E-2</c:v>
                </c:pt>
                <c:pt idx="7">
                  <c:v>6.5322062545345783E-2</c:v>
                </c:pt>
                <c:pt idx="8">
                  <c:v>6.8276157834616824E-2</c:v>
                </c:pt>
                <c:pt idx="9">
                  <c:v>6.8277069471835095E-2</c:v>
                </c:pt>
                <c:pt idx="10">
                  <c:v>6.5854849382554703E-2</c:v>
                </c:pt>
                <c:pt idx="11">
                  <c:v>6.460460405446744E-2</c:v>
                </c:pt>
                <c:pt idx="12">
                  <c:v>6.9963337858092722E-2</c:v>
                </c:pt>
                <c:pt idx="13">
                  <c:v>6.7175811712011702E-2</c:v>
                </c:pt>
                <c:pt idx="14">
                  <c:v>6.517594012262562E-2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BF-4B52-94B8-09FAE2282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6527200"/>
        <c:axId val="1486524288"/>
      </c:lineChart>
      <c:dateAx>
        <c:axId val="14865272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524288"/>
        <c:crosses val="autoZero"/>
        <c:auto val="1"/>
        <c:lblOffset val="100"/>
        <c:baseTimeUnit val="days"/>
      </c:dateAx>
      <c:valAx>
        <c:axId val="148652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52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Revenue Growth</a:t>
            </a:r>
            <a:r>
              <a:rPr lang="en-US" baseline="0"/>
              <a:t> % (Bar chart)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Revenue'!$H$21</c:f>
              <c:strCache>
                <c:ptCount val="1"/>
                <c:pt idx="0">
                  <c:v>% growth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'Daily Revenue'!$G$22:$G$36</c:f>
              <c:numCache>
                <c:formatCode>m/d/yyyy</c:formatCode>
                <c:ptCount val="15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</c:numCache>
            </c:numRef>
          </c:cat>
          <c:val>
            <c:numRef>
              <c:f>'Daily Revenue'!$H$22:$H$36</c:f>
              <c:numCache>
                <c:formatCode>0.000</c:formatCode>
                <c:ptCount val="15"/>
                <c:pt idx="1">
                  <c:v>6.7286901218767792E-2</c:v>
                </c:pt>
                <c:pt idx="2">
                  <c:v>6.7651425872238213E-2</c:v>
                </c:pt>
                <c:pt idx="3">
                  <c:v>6.8561890985640028E-2</c:v>
                </c:pt>
                <c:pt idx="4">
                  <c:v>6.5848598155914206E-2</c:v>
                </c:pt>
                <c:pt idx="5">
                  <c:v>6.5855630785884633E-2</c:v>
                </c:pt>
                <c:pt idx="6">
                  <c:v>6.7333915652459442E-2</c:v>
                </c:pt>
                <c:pt idx="7">
                  <c:v>6.5322062545345783E-2</c:v>
                </c:pt>
                <c:pt idx="8">
                  <c:v>6.8276157834616824E-2</c:v>
                </c:pt>
                <c:pt idx="9">
                  <c:v>6.8277069471835095E-2</c:v>
                </c:pt>
                <c:pt idx="10">
                  <c:v>6.5854849382554703E-2</c:v>
                </c:pt>
                <c:pt idx="11">
                  <c:v>6.460460405446744E-2</c:v>
                </c:pt>
                <c:pt idx="12">
                  <c:v>6.9963337858092722E-2</c:v>
                </c:pt>
                <c:pt idx="13">
                  <c:v>6.7175811712011702E-2</c:v>
                </c:pt>
                <c:pt idx="14">
                  <c:v>6.517594012262562E-2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1-4338-B062-6C17EF33E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9112480"/>
        <c:axId val="1189094176"/>
      </c:barChart>
      <c:dateAx>
        <c:axId val="1189112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094176"/>
        <c:crosses val="autoZero"/>
        <c:auto val="1"/>
        <c:lblOffset val="100"/>
        <c:baseTimeUnit val="days"/>
      </c:dateAx>
      <c:valAx>
        <c:axId val="118909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11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Revenue Pareto</a:t>
            </a:r>
          </a:p>
        </cx:rich>
      </cx:tx>
    </cx:title>
    <cx:plotArea>
      <cx:plotAreaRegion>
        <cx:series layoutId="clusteredColumn" uniqueId="{8B1774D5-B43D-4793-BE21-968319E4DD61}" formatIdx="0">
          <cx:tx>
            <cx:txData>
              <cx:f>_xlchart.v1.1</cx:f>
              <cx:v>Sum of revenue</cx:v>
            </cx:txData>
          </cx:tx>
          <cx:dataId val="0"/>
          <cx:layoutPr>
            <cx:aggregation/>
          </cx:layoutPr>
          <cx:axisId val="1"/>
        </cx:series>
        <cx:series layoutId="clusteredColumn" hidden="1" uniqueId="{BCCB54DD-223C-4626-A545-98B75E6B346A}" formatIdx="2">
          <cx:tx>
            <cx:txData>
              <cx:f>_xlchart.v1.3</cx:f>
              <cx:v>Cumulative Revenue</cx:v>
            </cx:txData>
          </cx:tx>
          <cx:dataId val="1"/>
          <cx:layoutPr>
            <cx:aggregation/>
          </cx:layoutPr>
          <cx:axisId val="1"/>
        </cx:series>
        <cx:series layoutId="clusteredColumn" hidden="1" uniqueId="{2467FC9B-1621-4C94-9F7D-10B1EE52446A}" formatIdx="4">
          <cx:tx>
            <cx:txData>
              <cx:f>_xlchart.v1.5</cx:f>
              <cx:v>%cum rev</cx:v>
            </cx:txData>
          </cx:tx>
          <cx:dataId val="2"/>
          <cx:layoutPr>
            <cx:aggregation/>
          </cx:layoutPr>
          <cx:axisId val="1"/>
        </cx:series>
        <cx:series layoutId="paretoLine" ownerIdx="0" uniqueId="{FFEE3FD3-6126-44B4-9DD2-EF2F4C006C52}" formatIdx="1">
          <cx:axisId val="2"/>
        </cx:series>
        <cx:series layoutId="paretoLine" ownerIdx="1" uniqueId="{444A7D55-E51B-4EA0-9644-0878F5F42D14}" formatIdx="3">
          <cx:axisId val="2"/>
        </cx:series>
        <cx:series layoutId="paretoLine" ownerIdx="2" uniqueId="{2A4C72A4-1E6C-4255-A5EC-900C4015EB29}" formatIdx="5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_xlchart.v1.14</cx:f>
      </cx:strDim>
      <cx:numDim type="val">
        <cx:f>_xlchart.v1.16</cx:f>
      </cx:numDim>
    </cx:data>
    <cx:data id="1">
      <cx:strDim type="cat">
        <cx:f>_xlchart.v1.14</cx:f>
      </cx:strDim>
      <cx:numDim type="val">
        <cx:f>_xlchart.v1.18</cx:f>
      </cx:numDim>
    </cx:data>
    <cx:data id="2">
      <cx:strDim type="cat">
        <cx:f>_xlchart.v1.14</cx:f>
      </cx:strDim>
      <cx:numDim type="val">
        <cx:f>_xlchart.v1.20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Volume Pareto</a:t>
            </a:r>
          </a:p>
        </cx:rich>
      </cx:tx>
    </cx:title>
    <cx:plotArea>
      <cx:plotAreaRegion>
        <cx:series layoutId="clusteredColumn" uniqueId="{2AB64F33-00C1-4958-AEB3-FC9157270712}" formatIdx="0">
          <cx:tx>
            <cx:txData>
              <cx:f>_xlchart.v1.15</cx:f>
              <cx:v>Sum of sales</cx:v>
            </cx:txData>
          </cx:tx>
          <cx:dataId val="0"/>
          <cx:layoutPr>
            <cx:aggregation/>
          </cx:layoutPr>
          <cx:axisId val="1"/>
        </cx:series>
        <cx:series layoutId="clusteredColumn" hidden="1" uniqueId="{68F0A80F-B156-4A6B-A7C8-634E60836B8E}" formatIdx="2">
          <cx:tx>
            <cx:txData>
              <cx:f>_xlchart.v1.17</cx:f>
              <cx:v>Cumulative Sales</cx:v>
            </cx:txData>
          </cx:tx>
          <cx:dataId val="1"/>
          <cx:layoutPr>
            <cx:aggregation/>
          </cx:layoutPr>
          <cx:axisId val="1"/>
        </cx:series>
        <cx:series layoutId="clusteredColumn" hidden="1" uniqueId="{FFEC1972-1ED0-4159-B08D-A3B1B5BDC7E0}" formatIdx="4">
          <cx:tx>
            <cx:txData>
              <cx:f>_xlchart.v1.19</cx:f>
              <cx:v>%cumulative sales</cx:v>
            </cx:txData>
          </cx:tx>
          <cx:dataId val="2"/>
          <cx:layoutPr>
            <cx:aggregation/>
          </cx:layoutPr>
          <cx:axisId val="1"/>
        </cx:series>
        <cx:series layoutId="paretoLine" ownerIdx="0" uniqueId="{19F870C6-D203-43FE-86B6-C9319C05D09B}" formatIdx="1">
          <cx:axisId val="2"/>
        </cx:series>
        <cx:series layoutId="paretoLine" ownerIdx="1" uniqueId="{7A0DA858-585C-4C2D-B345-223CC5119629}" formatIdx="3">
          <cx:axisId val="2"/>
        </cx:series>
        <cx:series layoutId="paretoLine" ownerIdx="2" uniqueId="{8CF091FF-D163-4D8C-9878-367BDF8357C2}" formatIdx="5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16</xdr:col>
      <xdr:colOff>335280</xdr:colOff>
      <xdr:row>40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304800</xdr:colOff>
      <xdr:row>2</xdr:row>
      <xdr:rowOff>167640</xdr:rowOff>
    </xdr:from>
    <xdr:to>
      <xdr:col>19</xdr:col>
      <xdr:colOff>0</xdr:colOff>
      <xdr:row>19</xdr:row>
      <xdr:rowOff>53340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304800</xdr:colOff>
      <xdr:row>21</xdr:row>
      <xdr:rowOff>0</xdr:rowOff>
    </xdr:from>
    <xdr:to>
      <xdr:col>19</xdr:col>
      <xdr:colOff>0</xdr:colOff>
      <xdr:row>36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1</xdr:rowOff>
    </xdr:from>
    <xdr:to>
      <xdr:col>5</xdr:col>
      <xdr:colOff>313765</xdr:colOff>
      <xdr:row>54</xdr:row>
      <xdr:rowOff>62754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242047</xdr:colOff>
      <xdr:row>35</xdr:row>
      <xdr:rowOff>170328</xdr:rowOff>
    </xdr:from>
    <xdr:to>
      <xdr:col>12</xdr:col>
      <xdr:colOff>528918</xdr:colOff>
      <xdr:row>54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35</xdr:row>
      <xdr:rowOff>170329</xdr:rowOff>
    </xdr:from>
    <xdr:to>
      <xdr:col>21</xdr:col>
      <xdr:colOff>89647</xdr:colOff>
      <xdr:row>54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510540</xdr:colOff>
      <xdr:row>10</xdr:row>
      <xdr:rowOff>0</xdr:rowOff>
    </xdr:from>
    <xdr:to>
      <xdr:col>18</xdr:col>
      <xdr:colOff>0</xdr:colOff>
      <xdr:row>24</xdr:row>
      <xdr:rowOff>83820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304800</xdr:colOff>
      <xdr:row>22</xdr:row>
      <xdr:rowOff>0</xdr:rowOff>
    </xdr:from>
    <xdr:to>
      <xdr:col>5</xdr:col>
      <xdr:colOff>0</xdr:colOff>
      <xdr:row>36</xdr:row>
      <xdr:rowOff>68580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4863.913965046297" createdVersion="6" refreshedVersion="6" minRefreshableVersion="3" recordCount="1350">
  <cacheSource type="worksheet">
    <worksheetSource ref="A1:F1351" sheet="Sales Data"/>
  </cacheSource>
  <cacheFields count="6">
    <cacheField name="Date" numFmtId="14">
      <sharedItems containsSemiMixedTypes="0" containsNonDate="0" containsDate="1" containsString="0" minDate="2021-04-01T00:00:00" maxDate="2021-04-16T00:00:00" count="15"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</sharedItems>
    </cacheField>
    <cacheField name="SKU" numFmtId="0">
      <sharedItems count="30">
        <s v="M01"/>
        <s v="M02"/>
        <s v="M03"/>
        <s v="M04"/>
        <s v="M05"/>
        <s v="M06"/>
        <s v="M07"/>
        <s v="M08"/>
        <s v="M09"/>
        <s v="M10"/>
        <s v="F01"/>
        <s v="F02"/>
        <s v="F03"/>
        <s v="F04"/>
        <s v="F05"/>
        <s v="F06"/>
        <s v="F07"/>
        <s v="F08"/>
        <s v="F09"/>
        <s v="F10"/>
        <s v="L01"/>
        <s v="L02"/>
        <s v="L03"/>
        <s v="L04"/>
        <s v="L05"/>
        <s v="L06"/>
        <s v="L07"/>
        <s v="L08"/>
        <s v="L09"/>
        <s v="L10"/>
      </sharedItems>
    </cacheField>
    <cacheField name="City" numFmtId="0">
      <sharedItems count="3">
        <s v="H"/>
        <s v="M"/>
        <s v="C"/>
      </sharedItems>
    </cacheField>
    <cacheField name="Sales" numFmtId="0">
      <sharedItems containsSemiMixedTypes="0" containsString="0" containsNumber="1" containsInteger="1" minValue="0" maxValue="37"/>
    </cacheField>
    <cacheField name="Price" numFmtId="0">
      <sharedItems containsSemiMixedTypes="0" containsString="0" containsNumber="1" containsInteger="1" minValue="73" maxValue="3199"/>
    </cacheField>
    <cacheField name="Revenue" numFmtId="44">
      <sharedItems containsSemiMixedTypes="0" containsString="0" containsNumber="1" containsInteger="1" minValue="0" maxValue="1087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ell" refreshedDate="44864.093732986112" createdVersion="6" refreshedVersion="6" minRefreshableVersion="3" recordCount="1350">
  <cacheSource type="worksheet">
    <worksheetSource ref="B1:F1351" sheet="Sales Data"/>
  </cacheSource>
  <cacheFields count="5">
    <cacheField name="SKU" numFmtId="0">
      <sharedItems count="30">
        <s v="M01"/>
        <s v="M02"/>
        <s v="M03"/>
        <s v="M04"/>
        <s v="M05"/>
        <s v="M06"/>
        <s v="M07"/>
        <s v="M08"/>
        <s v="M09"/>
        <s v="M10"/>
        <s v="F01"/>
        <s v="F02"/>
        <s v="F03"/>
        <s v="F04"/>
        <s v="F05"/>
        <s v="F06"/>
        <s v="F07"/>
        <s v="F08"/>
        <s v="F09"/>
        <s v="F10"/>
        <s v="L01"/>
        <s v="L02"/>
        <s v="L03"/>
        <s v="L04"/>
        <s v="L05"/>
        <s v="L06"/>
        <s v="L07"/>
        <s v="L08"/>
        <s v="L09"/>
        <s v="L10"/>
      </sharedItems>
    </cacheField>
    <cacheField name="City" numFmtId="0">
      <sharedItems/>
    </cacheField>
    <cacheField name="Sales" numFmtId="0">
      <sharedItems containsSemiMixedTypes="0" containsString="0" containsNumber="1" containsInteger="1" minValue="0" maxValue="37"/>
    </cacheField>
    <cacheField name="Price" numFmtId="0">
      <sharedItems containsSemiMixedTypes="0" containsString="0" containsNumber="1" containsInteger="1" minValue="73" maxValue="3199"/>
    </cacheField>
    <cacheField name="Revenue" numFmtId="44">
      <sharedItems containsSemiMixedTypes="0" containsString="0" containsNumber="1" containsInteger="1" minValue="0" maxValue="1087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Dell" refreshedDate="44864.128620833333" createdVersion="6" refreshedVersion="6" minRefreshableVersion="3" recordCount="1350">
  <cacheSource type="worksheet">
    <worksheetSource ref="A1:G1351" sheet="Sales Data"/>
  </cacheSource>
  <cacheFields count="7">
    <cacheField name="Date" numFmtId="14">
      <sharedItems containsSemiMixedTypes="0" containsNonDate="0" containsDate="1" containsString="0" minDate="2021-04-01T00:00:00" maxDate="2021-04-16T00:00:00" count="15"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</sharedItems>
    </cacheField>
    <cacheField name="SKU" numFmtId="0">
      <sharedItems count="30">
        <s v="M01"/>
        <s v="M02"/>
        <s v="M03"/>
        <s v="M04"/>
        <s v="M05"/>
        <s v="M06"/>
        <s v="M07"/>
        <s v="M08"/>
        <s v="M09"/>
        <s v="M10"/>
        <s v="F01"/>
        <s v="F02"/>
        <s v="F03"/>
        <s v="F04"/>
        <s v="F05"/>
        <s v="F06"/>
        <s v="F07"/>
        <s v="F08"/>
        <s v="F09"/>
        <s v="F10"/>
        <s v="L01"/>
        <s v="L02"/>
        <s v="L03"/>
        <s v="L04"/>
        <s v="L05"/>
        <s v="L06"/>
        <s v="L07"/>
        <s v="L08"/>
        <s v="L09"/>
        <s v="L10"/>
      </sharedItems>
    </cacheField>
    <cacheField name="City" numFmtId="0">
      <sharedItems count="3">
        <s v="H"/>
        <s v="M"/>
        <s v="C"/>
      </sharedItems>
    </cacheField>
    <cacheField name="Sales" numFmtId="0">
      <sharedItems containsSemiMixedTypes="0" containsString="0" containsNumber="1" containsInteger="1" minValue="0" maxValue="37"/>
    </cacheField>
    <cacheField name="Price" numFmtId="0">
      <sharedItems containsSemiMixedTypes="0" containsString="0" containsNumber="1" containsInteger="1" minValue="73" maxValue="3199"/>
    </cacheField>
    <cacheField name="Revenue" numFmtId="44">
      <sharedItems containsSemiMixedTypes="0" containsString="0" containsNumber="1" containsInteger="1" minValue="0" maxValue="108766"/>
    </cacheField>
    <cacheField name="Da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50">
  <r>
    <x v="0"/>
    <x v="0"/>
    <x v="0"/>
    <n v="26"/>
    <n v="210"/>
    <n v="5460"/>
  </r>
  <r>
    <x v="0"/>
    <x v="1"/>
    <x v="0"/>
    <n v="13"/>
    <n v="199"/>
    <n v="2587"/>
  </r>
  <r>
    <x v="0"/>
    <x v="2"/>
    <x v="0"/>
    <n v="9"/>
    <n v="322"/>
    <n v="2898"/>
  </r>
  <r>
    <x v="0"/>
    <x v="3"/>
    <x v="0"/>
    <n v="6"/>
    <n v="161"/>
    <n v="966"/>
  </r>
  <r>
    <x v="0"/>
    <x v="4"/>
    <x v="0"/>
    <n v="8"/>
    <n v="109"/>
    <n v="872"/>
  </r>
  <r>
    <x v="0"/>
    <x v="5"/>
    <x v="0"/>
    <n v="3"/>
    <n v="122"/>
    <n v="366"/>
  </r>
  <r>
    <x v="0"/>
    <x v="6"/>
    <x v="0"/>
    <n v="3"/>
    <n v="96"/>
    <n v="288"/>
  </r>
  <r>
    <x v="0"/>
    <x v="7"/>
    <x v="0"/>
    <n v="2"/>
    <n v="73"/>
    <n v="146"/>
  </r>
  <r>
    <x v="0"/>
    <x v="8"/>
    <x v="0"/>
    <n v="0"/>
    <n v="225"/>
    <n v="0"/>
  </r>
  <r>
    <x v="0"/>
    <x v="9"/>
    <x v="0"/>
    <n v="0"/>
    <n v="559"/>
    <n v="0"/>
  </r>
  <r>
    <x v="0"/>
    <x v="10"/>
    <x v="0"/>
    <n v="31"/>
    <n v="3199"/>
    <n v="99169"/>
  </r>
  <r>
    <x v="0"/>
    <x v="11"/>
    <x v="0"/>
    <n v="10"/>
    <n v="371"/>
    <n v="3710"/>
  </r>
  <r>
    <x v="0"/>
    <x v="12"/>
    <x v="0"/>
    <n v="10"/>
    <n v="2300"/>
    <n v="23000"/>
  </r>
  <r>
    <x v="0"/>
    <x v="13"/>
    <x v="0"/>
    <n v="7"/>
    <n v="499"/>
    <n v="3493"/>
  </r>
  <r>
    <x v="0"/>
    <x v="14"/>
    <x v="0"/>
    <n v="5"/>
    <n v="299"/>
    <n v="1495"/>
  </r>
  <r>
    <x v="0"/>
    <x v="15"/>
    <x v="0"/>
    <n v="5"/>
    <n v="901"/>
    <n v="4505"/>
  </r>
  <r>
    <x v="0"/>
    <x v="16"/>
    <x v="0"/>
    <n v="3"/>
    <n v="929"/>
    <n v="2787"/>
  </r>
  <r>
    <x v="0"/>
    <x v="17"/>
    <x v="0"/>
    <n v="2"/>
    <n v="1030"/>
    <n v="2060"/>
  </r>
  <r>
    <x v="0"/>
    <x v="18"/>
    <x v="0"/>
    <n v="0"/>
    <n v="1222"/>
    <n v="0"/>
  </r>
  <r>
    <x v="0"/>
    <x v="19"/>
    <x v="0"/>
    <n v="2"/>
    <n v="649"/>
    <n v="1298"/>
  </r>
  <r>
    <x v="0"/>
    <x v="20"/>
    <x v="0"/>
    <n v="26"/>
    <n v="1800"/>
    <n v="46800"/>
  </r>
  <r>
    <x v="0"/>
    <x v="21"/>
    <x v="0"/>
    <n v="13"/>
    <n v="345"/>
    <n v="4485"/>
  </r>
  <r>
    <x v="0"/>
    <x v="22"/>
    <x v="0"/>
    <n v="9"/>
    <n v="350"/>
    <n v="3150"/>
  </r>
  <r>
    <x v="0"/>
    <x v="23"/>
    <x v="0"/>
    <n v="7"/>
    <n v="1575"/>
    <n v="11025"/>
  </r>
  <r>
    <x v="0"/>
    <x v="24"/>
    <x v="0"/>
    <n v="4"/>
    <n v="1045"/>
    <n v="4180"/>
  </r>
  <r>
    <x v="0"/>
    <x v="25"/>
    <x v="0"/>
    <n v="2"/>
    <n v="1186"/>
    <n v="2372"/>
  </r>
  <r>
    <x v="0"/>
    <x v="26"/>
    <x v="0"/>
    <n v="3"/>
    <n v="374"/>
    <n v="1122"/>
  </r>
  <r>
    <x v="0"/>
    <x v="27"/>
    <x v="0"/>
    <n v="1"/>
    <n v="1500"/>
    <n v="1500"/>
  </r>
  <r>
    <x v="0"/>
    <x v="28"/>
    <x v="0"/>
    <n v="0"/>
    <n v="1800"/>
    <n v="0"/>
  </r>
  <r>
    <x v="0"/>
    <x v="29"/>
    <x v="0"/>
    <n v="2"/>
    <n v="1477"/>
    <n v="2954"/>
  </r>
  <r>
    <x v="0"/>
    <x v="0"/>
    <x v="1"/>
    <n v="17"/>
    <n v="210"/>
    <n v="3570"/>
  </r>
  <r>
    <x v="0"/>
    <x v="1"/>
    <x v="1"/>
    <n v="12"/>
    <n v="199"/>
    <n v="2388"/>
  </r>
  <r>
    <x v="0"/>
    <x v="2"/>
    <x v="1"/>
    <n v="8"/>
    <n v="322"/>
    <n v="2576"/>
  </r>
  <r>
    <x v="0"/>
    <x v="3"/>
    <x v="1"/>
    <n v="5"/>
    <n v="161"/>
    <n v="805"/>
  </r>
  <r>
    <x v="0"/>
    <x v="4"/>
    <x v="1"/>
    <n v="5"/>
    <n v="109"/>
    <n v="545"/>
  </r>
  <r>
    <x v="0"/>
    <x v="5"/>
    <x v="1"/>
    <n v="2"/>
    <n v="122"/>
    <n v="244"/>
  </r>
  <r>
    <x v="0"/>
    <x v="6"/>
    <x v="1"/>
    <n v="3"/>
    <n v="96"/>
    <n v="288"/>
  </r>
  <r>
    <x v="0"/>
    <x v="7"/>
    <x v="1"/>
    <n v="1"/>
    <n v="73"/>
    <n v="73"/>
  </r>
  <r>
    <x v="0"/>
    <x v="8"/>
    <x v="1"/>
    <n v="0"/>
    <n v="225"/>
    <n v="0"/>
  </r>
  <r>
    <x v="0"/>
    <x v="9"/>
    <x v="1"/>
    <n v="0"/>
    <n v="559"/>
    <n v="0"/>
  </r>
  <r>
    <x v="0"/>
    <x v="10"/>
    <x v="1"/>
    <n v="14"/>
    <n v="3199"/>
    <n v="44786"/>
  </r>
  <r>
    <x v="0"/>
    <x v="11"/>
    <x v="1"/>
    <n v="13"/>
    <n v="371"/>
    <n v="4823"/>
  </r>
  <r>
    <x v="0"/>
    <x v="12"/>
    <x v="1"/>
    <n v="8"/>
    <n v="2300"/>
    <n v="18400"/>
  </r>
  <r>
    <x v="0"/>
    <x v="13"/>
    <x v="1"/>
    <n v="1"/>
    <n v="499"/>
    <n v="499"/>
  </r>
  <r>
    <x v="0"/>
    <x v="14"/>
    <x v="1"/>
    <n v="2"/>
    <n v="299"/>
    <n v="598"/>
  </r>
  <r>
    <x v="0"/>
    <x v="15"/>
    <x v="1"/>
    <n v="0"/>
    <n v="901"/>
    <n v="0"/>
  </r>
  <r>
    <x v="0"/>
    <x v="16"/>
    <x v="1"/>
    <n v="4"/>
    <n v="929"/>
    <n v="3716"/>
  </r>
  <r>
    <x v="0"/>
    <x v="17"/>
    <x v="1"/>
    <n v="1"/>
    <n v="1030"/>
    <n v="1030"/>
  </r>
  <r>
    <x v="0"/>
    <x v="18"/>
    <x v="1"/>
    <n v="0"/>
    <n v="1222"/>
    <n v="0"/>
  </r>
  <r>
    <x v="0"/>
    <x v="19"/>
    <x v="1"/>
    <n v="0"/>
    <n v="649"/>
    <n v="0"/>
  </r>
  <r>
    <x v="0"/>
    <x v="20"/>
    <x v="1"/>
    <n v="20"/>
    <n v="1800"/>
    <n v="36000"/>
  </r>
  <r>
    <x v="0"/>
    <x v="21"/>
    <x v="1"/>
    <n v="8"/>
    <n v="345"/>
    <n v="2760"/>
  </r>
  <r>
    <x v="0"/>
    <x v="22"/>
    <x v="1"/>
    <n v="8"/>
    <n v="350"/>
    <n v="2800"/>
  </r>
  <r>
    <x v="0"/>
    <x v="23"/>
    <x v="1"/>
    <n v="4"/>
    <n v="1575"/>
    <n v="6300"/>
  </r>
  <r>
    <x v="0"/>
    <x v="24"/>
    <x v="1"/>
    <n v="3"/>
    <n v="1045"/>
    <n v="3135"/>
  </r>
  <r>
    <x v="0"/>
    <x v="25"/>
    <x v="1"/>
    <n v="0"/>
    <n v="1186"/>
    <n v="0"/>
  </r>
  <r>
    <x v="0"/>
    <x v="26"/>
    <x v="1"/>
    <n v="0"/>
    <n v="374"/>
    <n v="0"/>
  </r>
  <r>
    <x v="0"/>
    <x v="27"/>
    <x v="1"/>
    <n v="0"/>
    <n v="1500"/>
    <n v="0"/>
  </r>
  <r>
    <x v="0"/>
    <x v="28"/>
    <x v="1"/>
    <n v="0"/>
    <n v="1800"/>
    <n v="0"/>
  </r>
  <r>
    <x v="0"/>
    <x v="29"/>
    <x v="1"/>
    <n v="1"/>
    <n v="1477"/>
    <n v="1477"/>
  </r>
  <r>
    <x v="0"/>
    <x v="0"/>
    <x v="2"/>
    <n v="14"/>
    <n v="210"/>
    <n v="2940"/>
  </r>
  <r>
    <x v="0"/>
    <x v="1"/>
    <x v="2"/>
    <n v="9"/>
    <n v="199"/>
    <n v="1791"/>
  </r>
  <r>
    <x v="0"/>
    <x v="2"/>
    <x v="2"/>
    <n v="6"/>
    <n v="322"/>
    <n v="1932"/>
  </r>
  <r>
    <x v="0"/>
    <x v="3"/>
    <x v="2"/>
    <n v="5"/>
    <n v="161"/>
    <n v="805"/>
  </r>
  <r>
    <x v="0"/>
    <x v="4"/>
    <x v="2"/>
    <n v="2"/>
    <n v="109"/>
    <n v="218"/>
  </r>
  <r>
    <x v="0"/>
    <x v="5"/>
    <x v="2"/>
    <n v="2"/>
    <n v="122"/>
    <n v="244"/>
  </r>
  <r>
    <x v="0"/>
    <x v="6"/>
    <x v="2"/>
    <n v="2"/>
    <n v="96"/>
    <n v="192"/>
  </r>
  <r>
    <x v="0"/>
    <x v="7"/>
    <x v="2"/>
    <n v="1"/>
    <n v="73"/>
    <n v="73"/>
  </r>
  <r>
    <x v="0"/>
    <x v="8"/>
    <x v="2"/>
    <n v="1"/>
    <n v="225"/>
    <n v="225"/>
  </r>
  <r>
    <x v="0"/>
    <x v="9"/>
    <x v="2"/>
    <n v="2"/>
    <n v="559"/>
    <n v="1118"/>
  </r>
  <r>
    <x v="0"/>
    <x v="10"/>
    <x v="2"/>
    <n v="12"/>
    <n v="3199"/>
    <n v="38388"/>
  </r>
  <r>
    <x v="0"/>
    <x v="11"/>
    <x v="2"/>
    <n v="3"/>
    <n v="371"/>
    <n v="1113"/>
  </r>
  <r>
    <x v="0"/>
    <x v="12"/>
    <x v="2"/>
    <n v="3"/>
    <n v="2300"/>
    <n v="6900"/>
  </r>
  <r>
    <x v="0"/>
    <x v="13"/>
    <x v="2"/>
    <n v="8"/>
    <n v="499"/>
    <n v="3992"/>
  </r>
  <r>
    <x v="0"/>
    <x v="14"/>
    <x v="2"/>
    <n v="4"/>
    <n v="299"/>
    <n v="1196"/>
  </r>
  <r>
    <x v="0"/>
    <x v="15"/>
    <x v="2"/>
    <n v="4"/>
    <n v="901"/>
    <n v="3604"/>
  </r>
  <r>
    <x v="0"/>
    <x v="16"/>
    <x v="2"/>
    <n v="2"/>
    <n v="929"/>
    <n v="1858"/>
  </r>
  <r>
    <x v="0"/>
    <x v="17"/>
    <x v="2"/>
    <n v="2"/>
    <n v="1030"/>
    <n v="2060"/>
  </r>
  <r>
    <x v="0"/>
    <x v="18"/>
    <x v="2"/>
    <n v="0"/>
    <n v="1222"/>
    <n v="0"/>
  </r>
  <r>
    <x v="0"/>
    <x v="19"/>
    <x v="2"/>
    <n v="3"/>
    <n v="649"/>
    <n v="1947"/>
  </r>
  <r>
    <x v="0"/>
    <x v="20"/>
    <x v="2"/>
    <n v="9"/>
    <n v="1800"/>
    <n v="16200"/>
  </r>
  <r>
    <x v="0"/>
    <x v="21"/>
    <x v="2"/>
    <n v="7"/>
    <n v="345"/>
    <n v="2415"/>
  </r>
  <r>
    <x v="0"/>
    <x v="22"/>
    <x v="2"/>
    <n v="6"/>
    <n v="350"/>
    <n v="2100"/>
  </r>
  <r>
    <x v="0"/>
    <x v="23"/>
    <x v="2"/>
    <n v="4"/>
    <n v="1575"/>
    <n v="6300"/>
  </r>
  <r>
    <x v="0"/>
    <x v="24"/>
    <x v="2"/>
    <n v="4"/>
    <n v="1045"/>
    <n v="4180"/>
  </r>
  <r>
    <x v="0"/>
    <x v="25"/>
    <x v="2"/>
    <n v="3"/>
    <n v="1186"/>
    <n v="3558"/>
  </r>
  <r>
    <x v="0"/>
    <x v="26"/>
    <x v="2"/>
    <n v="4"/>
    <n v="374"/>
    <n v="1496"/>
  </r>
  <r>
    <x v="0"/>
    <x v="27"/>
    <x v="2"/>
    <n v="2"/>
    <n v="1500"/>
    <n v="3000"/>
  </r>
  <r>
    <x v="0"/>
    <x v="28"/>
    <x v="2"/>
    <n v="0"/>
    <n v="1800"/>
    <n v="0"/>
  </r>
  <r>
    <x v="0"/>
    <x v="29"/>
    <x v="2"/>
    <n v="2"/>
    <n v="1477"/>
    <n v="2954"/>
  </r>
  <r>
    <x v="1"/>
    <x v="0"/>
    <x v="0"/>
    <n v="26"/>
    <n v="210"/>
    <n v="5460"/>
  </r>
  <r>
    <x v="1"/>
    <x v="1"/>
    <x v="0"/>
    <n v="12"/>
    <n v="199"/>
    <n v="2388"/>
  </r>
  <r>
    <x v="1"/>
    <x v="2"/>
    <x v="0"/>
    <n v="9"/>
    <n v="322"/>
    <n v="2898"/>
  </r>
  <r>
    <x v="1"/>
    <x v="3"/>
    <x v="0"/>
    <n v="6"/>
    <n v="161"/>
    <n v="966"/>
  </r>
  <r>
    <x v="1"/>
    <x v="4"/>
    <x v="0"/>
    <n v="8"/>
    <n v="109"/>
    <n v="872"/>
  </r>
  <r>
    <x v="1"/>
    <x v="5"/>
    <x v="0"/>
    <n v="4"/>
    <n v="122"/>
    <n v="488"/>
  </r>
  <r>
    <x v="1"/>
    <x v="6"/>
    <x v="0"/>
    <n v="3"/>
    <n v="96"/>
    <n v="288"/>
  </r>
  <r>
    <x v="1"/>
    <x v="7"/>
    <x v="0"/>
    <n v="0"/>
    <n v="73"/>
    <n v="0"/>
  </r>
  <r>
    <x v="1"/>
    <x v="8"/>
    <x v="0"/>
    <n v="2"/>
    <n v="225"/>
    <n v="450"/>
  </r>
  <r>
    <x v="1"/>
    <x v="9"/>
    <x v="0"/>
    <n v="0"/>
    <n v="559"/>
    <n v="0"/>
  </r>
  <r>
    <x v="1"/>
    <x v="10"/>
    <x v="0"/>
    <n v="28"/>
    <n v="3199"/>
    <n v="89572"/>
  </r>
  <r>
    <x v="1"/>
    <x v="11"/>
    <x v="0"/>
    <n v="14"/>
    <n v="371"/>
    <n v="5194"/>
  </r>
  <r>
    <x v="1"/>
    <x v="12"/>
    <x v="0"/>
    <n v="10"/>
    <n v="2300"/>
    <n v="23000"/>
  </r>
  <r>
    <x v="1"/>
    <x v="13"/>
    <x v="0"/>
    <n v="9"/>
    <n v="499"/>
    <n v="4491"/>
  </r>
  <r>
    <x v="1"/>
    <x v="14"/>
    <x v="0"/>
    <n v="7"/>
    <n v="299"/>
    <n v="2093"/>
  </r>
  <r>
    <x v="1"/>
    <x v="15"/>
    <x v="0"/>
    <n v="5"/>
    <n v="901"/>
    <n v="4505"/>
  </r>
  <r>
    <x v="1"/>
    <x v="16"/>
    <x v="0"/>
    <n v="3"/>
    <n v="929"/>
    <n v="2787"/>
  </r>
  <r>
    <x v="1"/>
    <x v="17"/>
    <x v="0"/>
    <n v="0"/>
    <n v="1030"/>
    <n v="0"/>
  </r>
  <r>
    <x v="1"/>
    <x v="18"/>
    <x v="0"/>
    <n v="1"/>
    <n v="1222"/>
    <n v="1222"/>
  </r>
  <r>
    <x v="1"/>
    <x v="19"/>
    <x v="0"/>
    <n v="3"/>
    <n v="649"/>
    <n v="1947"/>
  </r>
  <r>
    <x v="1"/>
    <x v="20"/>
    <x v="0"/>
    <n v="32"/>
    <n v="1800"/>
    <n v="57600"/>
  </r>
  <r>
    <x v="1"/>
    <x v="21"/>
    <x v="0"/>
    <n v="16"/>
    <n v="345"/>
    <n v="5520"/>
  </r>
  <r>
    <x v="1"/>
    <x v="22"/>
    <x v="0"/>
    <n v="11"/>
    <n v="350"/>
    <n v="3850"/>
  </r>
  <r>
    <x v="1"/>
    <x v="23"/>
    <x v="0"/>
    <n v="7"/>
    <n v="1575"/>
    <n v="11025"/>
  </r>
  <r>
    <x v="1"/>
    <x v="24"/>
    <x v="0"/>
    <n v="6"/>
    <n v="1045"/>
    <n v="6270"/>
  </r>
  <r>
    <x v="1"/>
    <x v="25"/>
    <x v="0"/>
    <n v="3"/>
    <n v="1186"/>
    <n v="3558"/>
  </r>
  <r>
    <x v="1"/>
    <x v="26"/>
    <x v="0"/>
    <n v="4"/>
    <n v="374"/>
    <n v="1496"/>
  </r>
  <r>
    <x v="1"/>
    <x v="27"/>
    <x v="0"/>
    <n v="1"/>
    <n v="1500"/>
    <n v="1500"/>
  </r>
  <r>
    <x v="1"/>
    <x v="28"/>
    <x v="0"/>
    <n v="0"/>
    <n v="1800"/>
    <n v="0"/>
  </r>
  <r>
    <x v="1"/>
    <x v="29"/>
    <x v="0"/>
    <n v="0"/>
    <n v="1477"/>
    <n v="0"/>
  </r>
  <r>
    <x v="1"/>
    <x v="0"/>
    <x v="1"/>
    <n v="23"/>
    <n v="210"/>
    <n v="4830"/>
  </r>
  <r>
    <x v="1"/>
    <x v="1"/>
    <x v="1"/>
    <n v="9"/>
    <n v="199"/>
    <n v="1791"/>
  </r>
  <r>
    <x v="1"/>
    <x v="2"/>
    <x v="1"/>
    <n v="6"/>
    <n v="322"/>
    <n v="1932"/>
  </r>
  <r>
    <x v="1"/>
    <x v="3"/>
    <x v="1"/>
    <n v="5"/>
    <n v="161"/>
    <n v="805"/>
  </r>
  <r>
    <x v="1"/>
    <x v="4"/>
    <x v="1"/>
    <n v="5"/>
    <n v="109"/>
    <n v="545"/>
  </r>
  <r>
    <x v="1"/>
    <x v="5"/>
    <x v="1"/>
    <n v="4"/>
    <n v="122"/>
    <n v="488"/>
  </r>
  <r>
    <x v="1"/>
    <x v="6"/>
    <x v="1"/>
    <n v="1"/>
    <n v="96"/>
    <n v="96"/>
  </r>
  <r>
    <x v="1"/>
    <x v="7"/>
    <x v="1"/>
    <n v="0"/>
    <n v="73"/>
    <n v="0"/>
  </r>
  <r>
    <x v="1"/>
    <x v="8"/>
    <x v="1"/>
    <n v="1"/>
    <n v="225"/>
    <n v="225"/>
  </r>
  <r>
    <x v="1"/>
    <x v="9"/>
    <x v="1"/>
    <n v="0"/>
    <n v="559"/>
    <n v="0"/>
  </r>
  <r>
    <x v="1"/>
    <x v="10"/>
    <x v="1"/>
    <n v="9"/>
    <n v="3199"/>
    <n v="28791"/>
  </r>
  <r>
    <x v="1"/>
    <x v="11"/>
    <x v="1"/>
    <n v="5"/>
    <n v="371"/>
    <n v="1855"/>
  </r>
  <r>
    <x v="1"/>
    <x v="12"/>
    <x v="1"/>
    <n v="5"/>
    <n v="2300"/>
    <n v="11500"/>
  </r>
  <r>
    <x v="1"/>
    <x v="13"/>
    <x v="1"/>
    <n v="1"/>
    <n v="499"/>
    <n v="499"/>
  </r>
  <r>
    <x v="1"/>
    <x v="14"/>
    <x v="1"/>
    <n v="0"/>
    <n v="299"/>
    <n v="0"/>
  </r>
  <r>
    <x v="1"/>
    <x v="15"/>
    <x v="1"/>
    <n v="3"/>
    <n v="901"/>
    <n v="2703"/>
  </r>
  <r>
    <x v="1"/>
    <x v="16"/>
    <x v="1"/>
    <n v="1"/>
    <n v="929"/>
    <n v="929"/>
  </r>
  <r>
    <x v="1"/>
    <x v="17"/>
    <x v="1"/>
    <n v="0"/>
    <n v="1030"/>
    <n v="0"/>
  </r>
  <r>
    <x v="1"/>
    <x v="18"/>
    <x v="1"/>
    <n v="1"/>
    <n v="1222"/>
    <n v="1222"/>
  </r>
  <r>
    <x v="1"/>
    <x v="19"/>
    <x v="1"/>
    <n v="0"/>
    <n v="649"/>
    <n v="0"/>
  </r>
  <r>
    <x v="1"/>
    <x v="20"/>
    <x v="1"/>
    <n v="18"/>
    <n v="1800"/>
    <n v="32400"/>
  </r>
  <r>
    <x v="1"/>
    <x v="21"/>
    <x v="1"/>
    <n v="10"/>
    <n v="345"/>
    <n v="3450"/>
  </r>
  <r>
    <x v="1"/>
    <x v="22"/>
    <x v="1"/>
    <n v="7"/>
    <n v="350"/>
    <n v="2450"/>
  </r>
  <r>
    <x v="1"/>
    <x v="23"/>
    <x v="1"/>
    <n v="4"/>
    <n v="1575"/>
    <n v="6300"/>
  </r>
  <r>
    <x v="1"/>
    <x v="24"/>
    <x v="1"/>
    <n v="1"/>
    <n v="1045"/>
    <n v="1045"/>
  </r>
  <r>
    <x v="1"/>
    <x v="25"/>
    <x v="1"/>
    <n v="0"/>
    <n v="1186"/>
    <n v="0"/>
  </r>
  <r>
    <x v="1"/>
    <x v="26"/>
    <x v="1"/>
    <n v="1"/>
    <n v="374"/>
    <n v="374"/>
  </r>
  <r>
    <x v="1"/>
    <x v="27"/>
    <x v="1"/>
    <n v="0"/>
    <n v="1500"/>
    <n v="0"/>
  </r>
  <r>
    <x v="1"/>
    <x v="28"/>
    <x v="1"/>
    <n v="0"/>
    <n v="1800"/>
    <n v="0"/>
  </r>
  <r>
    <x v="1"/>
    <x v="29"/>
    <x v="1"/>
    <n v="0"/>
    <n v="1477"/>
    <n v="0"/>
  </r>
  <r>
    <x v="1"/>
    <x v="0"/>
    <x v="2"/>
    <n v="10"/>
    <n v="210"/>
    <n v="2100"/>
  </r>
  <r>
    <x v="1"/>
    <x v="1"/>
    <x v="2"/>
    <n v="7"/>
    <n v="199"/>
    <n v="1393"/>
  </r>
  <r>
    <x v="1"/>
    <x v="2"/>
    <x v="2"/>
    <n v="6"/>
    <n v="322"/>
    <n v="1932"/>
  </r>
  <r>
    <x v="1"/>
    <x v="3"/>
    <x v="2"/>
    <n v="5"/>
    <n v="161"/>
    <n v="805"/>
  </r>
  <r>
    <x v="1"/>
    <x v="4"/>
    <x v="2"/>
    <n v="1"/>
    <n v="109"/>
    <n v="109"/>
  </r>
  <r>
    <x v="1"/>
    <x v="5"/>
    <x v="2"/>
    <n v="2"/>
    <n v="122"/>
    <n v="244"/>
  </r>
  <r>
    <x v="1"/>
    <x v="6"/>
    <x v="2"/>
    <n v="2"/>
    <n v="96"/>
    <n v="192"/>
  </r>
  <r>
    <x v="1"/>
    <x v="7"/>
    <x v="2"/>
    <n v="0"/>
    <n v="73"/>
    <n v="0"/>
  </r>
  <r>
    <x v="1"/>
    <x v="8"/>
    <x v="2"/>
    <n v="2"/>
    <n v="225"/>
    <n v="450"/>
  </r>
  <r>
    <x v="1"/>
    <x v="9"/>
    <x v="2"/>
    <n v="2"/>
    <n v="559"/>
    <n v="1118"/>
  </r>
  <r>
    <x v="1"/>
    <x v="10"/>
    <x v="2"/>
    <n v="28"/>
    <n v="3199"/>
    <n v="89572"/>
  </r>
  <r>
    <x v="1"/>
    <x v="11"/>
    <x v="2"/>
    <n v="7"/>
    <n v="371"/>
    <n v="2597"/>
  </r>
  <r>
    <x v="1"/>
    <x v="12"/>
    <x v="2"/>
    <n v="5"/>
    <n v="2300"/>
    <n v="11500"/>
  </r>
  <r>
    <x v="1"/>
    <x v="13"/>
    <x v="2"/>
    <n v="8"/>
    <n v="499"/>
    <n v="3992"/>
  </r>
  <r>
    <x v="1"/>
    <x v="14"/>
    <x v="2"/>
    <n v="6"/>
    <n v="299"/>
    <n v="1794"/>
  </r>
  <r>
    <x v="1"/>
    <x v="15"/>
    <x v="2"/>
    <n v="2"/>
    <n v="901"/>
    <n v="1802"/>
  </r>
  <r>
    <x v="1"/>
    <x v="16"/>
    <x v="2"/>
    <n v="2"/>
    <n v="929"/>
    <n v="1858"/>
  </r>
  <r>
    <x v="1"/>
    <x v="17"/>
    <x v="2"/>
    <n v="0"/>
    <n v="1030"/>
    <n v="0"/>
  </r>
  <r>
    <x v="1"/>
    <x v="18"/>
    <x v="2"/>
    <n v="1"/>
    <n v="1222"/>
    <n v="1222"/>
  </r>
  <r>
    <x v="1"/>
    <x v="19"/>
    <x v="2"/>
    <n v="2"/>
    <n v="649"/>
    <n v="1298"/>
  </r>
  <r>
    <x v="1"/>
    <x v="20"/>
    <x v="2"/>
    <n v="12"/>
    <n v="1800"/>
    <n v="21600"/>
  </r>
  <r>
    <x v="1"/>
    <x v="21"/>
    <x v="2"/>
    <n v="2"/>
    <n v="345"/>
    <n v="690"/>
  </r>
  <r>
    <x v="1"/>
    <x v="22"/>
    <x v="2"/>
    <n v="3"/>
    <n v="350"/>
    <n v="1050"/>
  </r>
  <r>
    <x v="1"/>
    <x v="23"/>
    <x v="2"/>
    <n v="5"/>
    <n v="1575"/>
    <n v="7875"/>
  </r>
  <r>
    <x v="1"/>
    <x v="24"/>
    <x v="2"/>
    <n v="6"/>
    <n v="1045"/>
    <n v="6270"/>
  </r>
  <r>
    <x v="1"/>
    <x v="25"/>
    <x v="2"/>
    <n v="5"/>
    <n v="1186"/>
    <n v="5930"/>
  </r>
  <r>
    <x v="1"/>
    <x v="26"/>
    <x v="2"/>
    <n v="3"/>
    <n v="374"/>
    <n v="1122"/>
  </r>
  <r>
    <x v="1"/>
    <x v="27"/>
    <x v="2"/>
    <n v="2"/>
    <n v="1500"/>
    <n v="3000"/>
  </r>
  <r>
    <x v="1"/>
    <x v="28"/>
    <x v="2"/>
    <n v="0"/>
    <n v="1800"/>
    <n v="0"/>
  </r>
  <r>
    <x v="1"/>
    <x v="29"/>
    <x v="2"/>
    <n v="1"/>
    <n v="1477"/>
    <n v="1477"/>
  </r>
  <r>
    <x v="2"/>
    <x v="0"/>
    <x v="0"/>
    <n v="34"/>
    <n v="210"/>
    <n v="7140"/>
  </r>
  <r>
    <x v="2"/>
    <x v="1"/>
    <x v="0"/>
    <n v="14"/>
    <n v="199"/>
    <n v="2786"/>
  </r>
  <r>
    <x v="2"/>
    <x v="2"/>
    <x v="0"/>
    <n v="12"/>
    <n v="322"/>
    <n v="3864"/>
  </r>
  <r>
    <x v="2"/>
    <x v="3"/>
    <x v="0"/>
    <n v="8"/>
    <n v="161"/>
    <n v="1288"/>
  </r>
  <r>
    <x v="2"/>
    <x v="4"/>
    <x v="0"/>
    <n v="7"/>
    <n v="109"/>
    <n v="763"/>
  </r>
  <r>
    <x v="2"/>
    <x v="5"/>
    <x v="0"/>
    <n v="5"/>
    <n v="122"/>
    <n v="610"/>
  </r>
  <r>
    <x v="2"/>
    <x v="6"/>
    <x v="0"/>
    <n v="4"/>
    <n v="96"/>
    <n v="384"/>
  </r>
  <r>
    <x v="2"/>
    <x v="7"/>
    <x v="0"/>
    <n v="0"/>
    <n v="73"/>
    <n v="0"/>
  </r>
  <r>
    <x v="2"/>
    <x v="8"/>
    <x v="0"/>
    <n v="0"/>
    <n v="225"/>
    <n v="0"/>
  </r>
  <r>
    <x v="2"/>
    <x v="9"/>
    <x v="0"/>
    <n v="1"/>
    <n v="559"/>
    <n v="559"/>
  </r>
  <r>
    <x v="2"/>
    <x v="10"/>
    <x v="0"/>
    <n v="27"/>
    <n v="3199"/>
    <n v="86373"/>
  </r>
  <r>
    <x v="2"/>
    <x v="11"/>
    <x v="0"/>
    <n v="11"/>
    <n v="371"/>
    <n v="4081"/>
  </r>
  <r>
    <x v="2"/>
    <x v="12"/>
    <x v="0"/>
    <n v="13"/>
    <n v="2300"/>
    <n v="29900"/>
  </r>
  <r>
    <x v="2"/>
    <x v="13"/>
    <x v="0"/>
    <n v="11"/>
    <n v="499"/>
    <n v="5489"/>
  </r>
  <r>
    <x v="2"/>
    <x v="14"/>
    <x v="0"/>
    <n v="6"/>
    <n v="299"/>
    <n v="1794"/>
  </r>
  <r>
    <x v="2"/>
    <x v="15"/>
    <x v="0"/>
    <n v="4"/>
    <n v="901"/>
    <n v="3604"/>
  </r>
  <r>
    <x v="2"/>
    <x v="16"/>
    <x v="0"/>
    <n v="2"/>
    <n v="929"/>
    <n v="1858"/>
  </r>
  <r>
    <x v="2"/>
    <x v="17"/>
    <x v="0"/>
    <n v="2"/>
    <n v="1030"/>
    <n v="2060"/>
  </r>
  <r>
    <x v="2"/>
    <x v="18"/>
    <x v="0"/>
    <n v="1"/>
    <n v="1222"/>
    <n v="1222"/>
  </r>
  <r>
    <x v="2"/>
    <x v="19"/>
    <x v="0"/>
    <n v="2"/>
    <n v="649"/>
    <n v="1298"/>
  </r>
  <r>
    <x v="2"/>
    <x v="20"/>
    <x v="0"/>
    <n v="28"/>
    <n v="1800"/>
    <n v="50400"/>
  </r>
  <r>
    <x v="2"/>
    <x v="21"/>
    <x v="0"/>
    <n v="16"/>
    <n v="345"/>
    <n v="5520"/>
  </r>
  <r>
    <x v="2"/>
    <x v="22"/>
    <x v="0"/>
    <n v="10"/>
    <n v="350"/>
    <n v="3500"/>
  </r>
  <r>
    <x v="2"/>
    <x v="23"/>
    <x v="0"/>
    <n v="8"/>
    <n v="1575"/>
    <n v="12600"/>
  </r>
  <r>
    <x v="2"/>
    <x v="24"/>
    <x v="0"/>
    <n v="5"/>
    <n v="1045"/>
    <n v="5225"/>
  </r>
  <r>
    <x v="2"/>
    <x v="25"/>
    <x v="0"/>
    <n v="3"/>
    <n v="1186"/>
    <n v="3558"/>
  </r>
  <r>
    <x v="2"/>
    <x v="26"/>
    <x v="0"/>
    <n v="4"/>
    <n v="374"/>
    <n v="1496"/>
  </r>
  <r>
    <x v="2"/>
    <x v="27"/>
    <x v="0"/>
    <n v="2"/>
    <n v="1500"/>
    <n v="3000"/>
  </r>
  <r>
    <x v="2"/>
    <x v="28"/>
    <x v="0"/>
    <n v="1"/>
    <n v="1800"/>
    <n v="1800"/>
  </r>
  <r>
    <x v="2"/>
    <x v="29"/>
    <x v="0"/>
    <n v="0"/>
    <n v="1477"/>
    <n v="0"/>
  </r>
  <r>
    <x v="2"/>
    <x v="0"/>
    <x v="1"/>
    <n v="23"/>
    <n v="210"/>
    <n v="4830"/>
  </r>
  <r>
    <x v="2"/>
    <x v="1"/>
    <x v="1"/>
    <n v="10"/>
    <n v="199"/>
    <n v="1990"/>
  </r>
  <r>
    <x v="2"/>
    <x v="2"/>
    <x v="1"/>
    <n v="9"/>
    <n v="322"/>
    <n v="2898"/>
  </r>
  <r>
    <x v="2"/>
    <x v="3"/>
    <x v="1"/>
    <n v="5"/>
    <n v="161"/>
    <n v="805"/>
  </r>
  <r>
    <x v="2"/>
    <x v="4"/>
    <x v="1"/>
    <n v="4"/>
    <n v="109"/>
    <n v="436"/>
  </r>
  <r>
    <x v="2"/>
    <x v="5"/>
    <x v="1"/>
    <n v="4"/>
    <n v="122"/>
    <n v="488"/>
  </r>
  <r>
    <x v="2"/>
    <x v="6"/>
    <x v="1"/>
    <n v="3"/>
    <n v="96"/>
    <n v="288"/>
  </r>
  <r>
    <x v="2"/>
    <x v="7"/>
    <x v="1"/>
    <n v="0"/>
    <n v="73"/>
    <n v="0"/>
  </r>
  <r>
    <x v="2"/>
    <x v="8"/>
    <x v="1"/>
    <n v="0"/>
    <n v="225"/>
    <n v="0"/>
  </r>
  <r>
    <x v="2"/>
    <x v="9"/>
    <x v="1"/>
    <n v="0"/>
    <n v="559"/>
    <n v="0"/>
  </r>
  <r>
    <x v="2"/>
    <x v="10"/>
    <x v="1"/>
    <n v="13"/>
    <n v="3199"/>
    <n v="41587"/>
  </r>
  <r>
    <x v="2"/>
    <x v="11"/>
    <x v="1"/>
    <n v="4"/>
    <n v="371"/>
    <n v="1484"/>
  </r>
  <r>
    <x v="2"/>
    <x v="12"/>
    <x v="1"/>
    <n v="7"/>
    <n v="2300"/>
    <n v="16100"/>
  </r>
  <r>
    <x v="2"/>
    <x v="13"/>
    <x v="1"/>
    <n v="3"/>
    <n v="499"/>
    <n v="1497"/>
  </r>
  <r>
    <x v="2"/>
    <x v="14"/>
    <x v="1"/>
    <n v="0"/>
    <n v="299"/>
    <n v="0"/>
  </r>
  <r>
    <x v="2"/>
    <x v="15"/>
    <x v="1"/>
    <n v="0"/>
    <n v="901"/>
    <n v="0"/>
  </r>
  <r>
    <x v="2"/>
    <x v="16"/>
    <x v="1"/>
    <n v="1"/>
    <n v="929"/>
    <n v="929"/>
  </r>
  <r>
    <x v="2"/>
    <x v="17"/>
    <x v="1"/>
    <n v="0"/>
    <n v="1030"/>
    <n v="0"/>
  </r>
  <r>
    <x v="2"/>
    <x v="18"/>
    <x v="1"/>
    <n v="0"/>
    <n v="1222"/>
    <n v="0"/>
  </r>
  <r>
    <x v="2"/>
    <x v="19"/>
    <x v="1"/>
    <n v="0"/>
    <n v="649"/>
    <n v="0"/>
  </r>
  <r>
    <x v="2"/>
    <x v="20"/>
    <x v="1"/>
    <n v="17"/>
    <n v="1800"/>
    <n v="30600"/>
  </r>
  <r>
    <x v="2"/>
    <x v="21"/>
    <x v="1"/>
    <n v="11"/>
    <n v="345"/>
    <n v="3795"/>
  </r>
  <r>
    <x v="2"/>
    <x v="22"/>
    <x v="1"/>
    <n v="7"/>
    <n v="350"/>
    <n v="2450"/>
  </r>
  <r>
    <x v="2"/>
    <x v="23"/>
    <x v="1"/>
    <n v="6"/>
    <n v="1575"/>
    <n v="9450"/>
  </r>
  <r>
    <x v="2"/>
    <x v="24"/>
    <x v="1"/>
    <n v="4"/>
    <n v="1045"/>
    <n v="4180"/>
  </r>
  <r>
    <x v="2"/>
    <x v="25"/>
    <x v="1"/>
    <n v="1"/>
    <n v="1186"/>
    <n v="1186"/>
  </r>
  <r>
    <x v="2"/>
    <x v="26"/>
    <x v="1"/>
    <n v="0"/>
    <n v="374"/>
    <n v="0"/>
  </r>
  <r>
    <x v="2"/>
    <x v="27"/>
    <x v="1"/>
    <n v="1"/>
    <n v="1500"/>
    <n v="1500"/>
  </r>
  <r>
    <x v="2"/>
    <x v="28"/>
    <x v="1"/>
    <n v="0"/>
    <n v="1800"/>
    <n v="0"/>
  </r>
  <r>
    <x v="2"/>
    <x v="29"/>
    <x v="1"/>
    <n v="0"/>
    <n v="1477"/>
    <n v="0"/>
  </r>
  <r>
    <x v="2"/>
    <x v="0"/>
    <x v="2"/>
    <n v="4"/>
    <n v="210"/>
    <n v="840"/>
  </r>
  <r>
    <x v="2"/>
    <x v="1"/>
    <x v="2"/>
    <n v="4"/>
    <n v="199"/>
    <n v="796"/>
  </r>
  <r>
    <x v="2"/>
    <x v="2"/>
    <x v="2"/>
    <n v="4"/>
    <n v="322"/>
    <n v="1288"/>
  </r>
  <r>
    <x v="2"/>
    <x v="3"/>
    <x v="2"/>
    <n v="4"/>
    <n v="161"/>
    <n v="644"/>
  </r>
  <r>
    <x v="2"/>
    <x v="4"/>
    <x v="2"/>
    <n v="3"/>
    <n v="109"/>
    <n v="327"/>
  </r>
  <r>
    <x v="2"/>
    <x v="5"/>
    <x v="2"/>
    <n v="1"/>
    <n v="122"/>
    <n v="122"/>
  </r>
  <r>
    <x v="2"/>
    <x v="6"/>
    <x v="2"/>
    <n v="3"/>
    <n v="96"/>
    <n v="288"/>
  </r>
  <r>
    <x v="2"/>
    <x v="7"/>
    <x v="2"/>
    <n v="0"/>
    <n v="73"/>
    <n v="0"/>
  </r>
  <r>
    <x v="2"/>
    <x v="8"/>
    <x v="2"/>
    <n v="0"/>
    <n v="225"/>
    <n v="0"/>
  </r>
  <r>
    <x v="2"/>
    <x v="9"/>
    <x v="2"/>
    <n v="1"/>
    <n v="559"/>
    <n v="559"/>
  </r>
  <r>
    <x v="2"/>
    <x v="10"/>
    <x v="2"/>
    <n v="23"/>
    <n v="3199"/>
    <n v="73577"/>
  </r>
  <r>
    <x v="2"/>
    <x v="11"/>
    <x v="2"/>
    <n v="13"/>
    <n v="371"/>
    <n v="4823"/>
  </r>
  <r>
    <x v="2"/>
    <x v="12"/>
    <x v="2"/>
    <n v="3"/>
    <n v="2300"/>
    <n v="6900"/>
  </r>
  <r>
    <x v="2"/>
    <x v="13"/>
    <x v="2"/>
    <n v="5"/>
    <n v="499"/>
    <n v="2495"/>
  </r>
  <r>
    <x v="2"/>
    <x v="14"/>
    <x v="2"/>
    <n v="5"/>
    <n v="299"/>
    <n v="1495"/>
  </r>
  <r>
    <x v="2"/>
    <x v="15"/>
    <x v="2"/>
    <n v="5"/>
    <n v="901"/>
    <n v="4505"/>
  </r>
  <r>
    <x v="2"/>
    <x v="16"/>
    <x v="2"/>
    <n v="4"/>
    <n v="929"/>
    <n v="3716"/>
  </r>
  <r>
    <x v="2"/>
    <x v="17"/>
    <x v="2"/>
    <n v="2"/>
    <n v="1030"/>
    <n v="2060"/>
  </r>
  <r>
    <x v="2"/>
    <x v="18"/>
    <x v="2"/>
    <n v="1"/>
    <n v="1222"/>
    <n v="1222"/>
  </r>
  <r>
    <x v="2"/>
    <x v="19"/>
    <x v="2"/>
    <n v="3"/>
    <n v="649"/>
    <n v="1947"/>
  </r>
  <r>
    <x v="2"/>
    <x v="20"/>
    <x v="2"/>
    <n v="11"/>
    <n v="1800"/>
    <n v="19800"/>
  </r>
  <r>
    <x v="2"/>
    <x v="21"/>
    <x v="2"/>
    <n v="8"/>
    <n v="345"/>
    <n v="2760"/>
  </r>
  <r>
    <x v="2"/>
    <x v="22"/>
    <x v="2"/>
    <n v="4"/>
    <n v="350"/>
    <n v="1400"/>
  </r>
  <r>
    <x v="2"/>
    <x v="23"/>
    <x v="2"/>
    <n v="4"/>
    <n v="1575"/>
    <n v="6300"/>
  </r>
  <r>
    <x v="2"/>
    <x v="24"/>
    <x v="2"/>
    <n v="2"/>
    <n v="1045"/>
    <n v="2090"/>
  </r>
  <r>
    <x v="2"/>
    <x v="25"/>
    <x v="2"/>
    <n v="2"/>
    <n v="1186"/>
    <n v="2372"/>
  </r>
  <r>
    <x v="2"/>
    <x v="26"/>
    <x v="2"/>
    <n v="5"/>
    <n v="374"/>
    <n v="1870"/>
  </r>
  <r>
    <x v="2"/>
    <x v="27"/>
    <x v="2"/>
    <n v="2"/>
    <n v="1500"/>
    <n v="3000"/>
  </r>
  <r>
    <x v="2"/>
    <x v="28"/>
    <x v="2"/>
    <n v="2"/>
    <n v="1800"/>
    <n v="3600"/>
  </r>
  <r>
    <x v="2"/>
    <x v="29"/>
    <x v="2"/>
    <n v="0"/>
    <n v="1477"/>
    <n v="0"/>
  </r>
  <r>
    <x v="3"/>
    <x v="0"/>
    <x v="0"/>
    <n v="37"/>
    <n v="210"/>
    <n v="7770"/>
  </r>
  <r>
    <x v="3"/>
    <x v="1"/>
    <x v="0"/>
    <n v="13"/>
    <n v="199"/>
    <n v="2587"/>
  </r>
  <r>
    <x v="3"/>
    <x v="2"/>
    <x v="0"/>
    <n v="14"/>
    <n v="322"/>
    <n v="4508"/>
  </r>
  <r>
    <x v="3"/>
    <x v="3"/>
    <x v="0"/>
    <n v="9"/>
    <n v="161"/>
    <n v="1449"/>
  </r>
  <r>
    <x v="3"/>
    <x v="4"/>
    <x v="0"/>
    <n v="7"/>
    <n v="109"/>
    <n v="763"/>
  </r>
  <r>
    <x v="3"/>
    <x v="5"/>
    <x v="0"/>
    <n v="3"/>
    <n v="122"/>
    <n v="366"/>
  </r>
  <r>
    <x v="3"/>
    <x v="6"/>
    <x v="0"/>
    <n v="5"/>
    <n v="96"/>
    <n v="480"/>
  </r>
  <r>
    <x v="3"/>
    <x v="7"/>
    <x v="0"/>
    <n v="0"/>
    <n v="73"/>
    <n v="0"/>
  </r>
  <r>
    <x v="3"/>
    <x v="8"/>
    <x v="0"/>
    <n v="2"/>
    <n v="225"/>
    <n v="450"/>
  </r>
  <r>
    <x v="3"/>
    <x v="9"/>
    <x v="0"/>
    <n v="1"/>
    <n v="559"/>
    <n v="559"/>
  </r>
  <r>
    <x v="3"/>
    <x v="10"/>
    <x v="0"/>
    <n v="34"/>
    <n v="3199"/>
    <n v="108766"/>
  </r>
  <r>
    <x v="3"/>
    <x v="11"/>
    <x v="0"/>
    <n v="17"/>
    <n v="371"/>
    <n v="6307"/>
  </r>
  <r>
    <x v="3"/>
    <x v="12"/>
    <x v="0"/>
    <n v="13"/>
    <n v="2300"/>
    <n v="29900"/>
  </r>
  <r>
    <x v="3"/>
    <x v="13"/>
    <x v="0"/>
    <n v="10"/>
    <n v="499"/>
    <n v="4990"/>
  </r>
  <r>
    <x v="3"/>
    <x v="14"/>
    <x v="0"/>
    <n v="6"/>
    <n v="299"/>
    <n v="1794"/>
  </r>
  <r>
    <x v="3"/>
    <x v="15"/>
    <x v="0"/>
    <n v="3"/>
    <n v="901"/>
    <n v="2703"/>
  </r>
  <r>
    <x v="3"/>
    <x v="16"/>
    <x v="0"/>
    <n v="2"/>
    <n v="929"/>
    <n v="1858"/>
  </r>
  <r>
    <x v="3"/>
    <x v="17"/>
    <x v="0"/>
    <n v="2"/>
    <n v="1030"/>
    <n v="2060"/>
  </r>
  <r>
    <x v="3"/>
    <x v="18"/>
    <x v="0"/>
    <n v="2"/>
    <n v="1222"/>
    <n v="2444"/>
  </r>
  <r>
    <x v="3"/>
    <x v="19"/>
    <x v="0"/>
    <n v="0"/>
    <n v="649"/>
    <n v="0"/>
  </r>
  <r>
    <x v="3"/>
    <x v="20"/>
    <x v="0"/>
    <n v="29"/>
    <n v="1800"/>
    <n v="52200"/>
  </r>
  <r>
    <x v="3"/>
    <x v="21"/>
    <x v="0"/>
    <n v="14"/>
    <n v="345"/>
    <n v="4830"/>
  </r>
  <r>
    <x v="3"/>
    <x v="22"/>
    <x v="0"/>
    <n v="13"/>
    <n v="350"/>
    <n v="4550"/>
  </r>
  <r>
    <x v="3"/>
    <x v="23"/>
    <x v="0"/>
    <n v="10"/>
    <n v="1575"/>
    <n v="15750"/>
  </r>
  <r>
    <x v="3"/>
    <x v="24"/>
    <x v="0"/>
    <n v="5"/>
    <n v="1045"/>
    <n v="5225"/>
  </r>
  <r>
    <x v="3"/>
    <x v="25"/>
    <x v="0"/>
    <n v="3"/>
    <n v="1186"/>
    <n v="3558"/>
  </r>
  <r>
    <x v="3"/>
    <x v="26"/>
    <x v="0"/>
    <n v="4"/>
    <n v="374"/>
    <n v="1496"/>
  </r>
  <r>
    <x v="3"/>
    <x v="27"/>
    <x v="0"/>
    <n v="0"/>
    <n v="1500"/>
    <n v="0"/>
  </r>
  <r>
    <x v="3"/>
    <x v="28"/>
    <x v="0"/>
    <n v="0"/>
    <n v="1800"/>
    <n v="0"/>
  </r>
  <r>
    <x v="3"/>
    <x v="29"/>
    <x v="0"/>
    <n v="2"/>
    <n v="1477"/>
    <n v="2954"/>
  </r>
  <r>
    <x v="3"/>
    <x v="0"/>
    <x v="1"/>
    <n v="19"/>
    <n v="210"/>
    <n v="3990"/>
  </r>
  <r>
    <x v="3"/>
    <x v="1"/>
    <x v="1"/>
    <n v="10"/>
    <n v="199"/>
    <n v="1990"/>
  </r>
  <r>
    <x v="3"/>
    <x v="2"/>
    <x v="1"/>
    <n v="9"/>
    <n v="322"/>
    <n v="2898"/>
  </r>
  <r>
    <x v="3"/>
    <x v="3"/>
    <x v="1"/>
    <n v="6"/>
    <n v="161"/>
    <n v="966"/>
  </r>
  <r>
    <x v="3"/>
    <x v="4"/>
    <x v="1"/>
    <n v="4"/>
    <n v="109"/>
    <n v="436"/>
  </r>
  <r>
    <x v="3"/>
    <x v="5"/>
    <x v="1"/>
    <n v="2"/>
    <n v="122"/>
    <n v="244"/>
  </r>
  <r>
    <x v="3"/>
    <x v="6"/>
    <x v="1"/>
    <n v="3"/>
    <n v="96"/>
    <n v="288"/>
  </r>
  <r>
    <x v="3"/>
    <x v="7"/>
    <x v="1"/>
    <n v="0"/>
    <n v="73"/>
    <n v="0"/>
  </r>
  <r>
    <x v="3"/>
    <x v="8"/>
    <x v="1"/>
    <n v="1"/>
    <n v="225"/>
    <n v="225"/>
  </r>
  <r>
    <x v="3"/>
    <x v="9"/>
    <x v="1"/>
    <n v="0"/>
    <n v="559"/>
    <n v="0"/>
  </r>
  <r>
    <x v="3"/>
    <x v="10"/>
    <x v="1"/>
    <n v="6"/>
    <n v="3199"/>
    <n v="19194"/>
  </r>
  <r>
    <x v="3"/>
    <x v="11"/>
    <x v="1"/>
    <n v="2"/>
    <n v="371"/>
    <n v="742"/>
  </r>
  <r>
    <x v="3"/>
    <x v="12"/>
    <x v="1"/>
    <n v="0"/>
    <n v="2300"/>
    <n v="0"/>
  </r>
  <r>
    <x v="3"/>
    <x v="13"/>
    <x v="1"/>
    <n v="2"/>
    <n v="499"/>
    <n v="998"/>
  </r>
  <r>
    <x v="3"/>
    <x v="14"/>
    <x v="1"/>
    <n v="4"/>
    <n v="299"/>
    <n v="1196"/>
  </r>
  <r>
    <x v="3"/>
    <x v="15"/>
    <x v="1"/>
    <n v="2"/>
    <n v="901"/>
    <n v="1802"/>
  </r>
  <r>
    <x v="3"/>
    <x v="16"/>
    <x v="1"/>
    <n v="0"/>
    <n v="929"/>
    <n v="0"/>
  </r>
  <r>
    <x v="3"/>
    <x v="17"/>
    <x v="1"/>
    <n v="0"/>
    <n v="1030"/>
    <n v="0"/>
  </r>
  <r>
    <x v="3"/>
    <x v="18"/>
    <x v="1"/>
    <n v="1"/>
    <n v="1222"/>
    <n v="1222"/>
  </r>
  <r>
    <x v="3"/>
    <x v="19"/>
    <x v="1"/>
    <n v="0"/>
    <n v="649"/>
    <n v="0"/>
  </r>
  <r>
    <x v="3"/>
    <x v="20"/>
    <x v="1"/>
    <n v="18"/>
    <n v="1800"/>
    <n v="32400"/>
  </r>
  <r>
    <x v="3"/>
    <x v="21"/>
    <x v="1"/>
    <n v="9"/>
    <n v="345"/>
    <n v="3105"/>
  </r>
  <r>
    <x v="3"/>
    <x v="22"/>
    <x v="1"/>
    <n v="9"/>
    <n v="350"/>
    <n v="3150"/>
  </r>
  <r>
    <x v="3"/>
    <x v="23"/>
    <x v="1"/>
    <n v="6"/>
    <n v="1575"/>
    <n v="9450"/>
  </r>
  <r>
    <x v="3"/>
    <x v="24"/>
    <x v="1"/>
    <n v="2"/>
    <n v="1045"/>
    <n v="2090"/>
  </r>
  <r>
    <x v="3"/>
    <x v="25"/>
    <x v="1"/>
    <n v="1"/>
    <n v="1186"/>
    <n v="1186"/>
  </r>
  <r>
    <x v="3"/>
    <x v="26"/>
    <x v="1"/>
    <n v="2"/>
    <n v="374"/>
    <n v="748"/>
  </r>
  <r>
    <x v="3"/>
    <x v="27"/>
    <x v="1"/>
    <n v="0"/>
    <n v="1500"/>
    <n v="0"/>
  </r>
  <r>
    <x v="3"/>
    <x v="28"/>
    <x v="1"/>
    <n v="0"/>
    <n v="1800"/>
    <n v="0"/>
  </r>
  <r>
    <x v="3"/>
    <x v="29"/>
    <x v="1"/>
    <n v="1"/>
    <n v="1477"/>
    <n v="1477"/>
  </r>
  <r>
    <x v="3"/>
    <x v="0"/>
    <x v="2"/>
    <n v="8"/>
    <n v="210"/>
    <n v="1680"/>
  </r>
  <r>
    <x v="3"/>
    <x v="1"/>
    <x v="2"/>
    <n v="8"/>
    <n v="199"/>
    <n v="1592"/>
  </r>
  <r>
    <x v="3"/>
    <x v="2"/>
    <x v="2"/>
    <n v="2"/>
    <n v="322"/>
    <n v="644"/>
  </r>
  <r>
    <x v="3"/>
    <x v="3"/>
    <x v="2"/>
    <n v="5"/>
    <n v="161"/>
    <n v="805"/>
  </r>
  <r>
    <x v="3"/>
    <x v="4"/>
    <x v="2"/>
    <n v="2"/>
    <n v="109"/>
    <n v="218"/>
  </r>
  <r>
    <x v="3"/>
    <x v="5"/>
    <x v="2"/>
    <n v="1"/>
    <n v="122"/>
    <n v="122"/>
  </r>
  <r>
    <x v="3"/>
    <x v="6"/>
    <x v="2"/>
    <n v="2"/>
    <n v="96"/>
    <n v="192"/>
  </r>
  <r>
    <x v="3"/>
    <x v="7"/>
    <x v="2"/>
    <n v="1"/>
    <n v="73"/>
    <n v="73"/>
  </r>
  <r>
    <x v="3"/>
    <x v="8"/>
    <x v="2"/>
    <n v="1"/>
    <n v="225"/>
    <n v="225"/>
  </r>
  <r>
    <x v="3"/>
    <x v="9"/>
    <x v="2"/>
    <n v="1"/>
    <n v="559"/>
    <n v="559"/>
  </r>
  <r>
    <x v="3"/>
    <x v="10"/>
    <x v="2"/>
    <n v="24"/>
    <n v="3199"/>
    <n v="76776"/>
  </r>
  <r>
    <x v="3"/>
    <x v="11"/>
    <x v="2"/>
    <n v="14"/>
    <n v="371"/>
    <n v="5194"/>
  </r>
  <r>
    <x v="3"/>
    <x v="12"/>
    <x v="2"/>
    <n v="10"/>
    <n v="2300"/>
    <n v="23000"/>
  </r>
  <r>
    <x v="3"/>
    <x v="13"/>
    <x v="2"/>
    <n v="6"/>
    <n v="499"/>
    <n v="2994"/>
  </r>
  <r>
    <x v="3"/>
    <x v="14"/>
    <x v="2"/>
    <n v="5"/>
    <n v="299"/>
    <n v="1495"/>
  </r>
  <r>
    <x v="3"/>
    <x v="15"/>
    <x v="2"/>
    <n v="3"/>
    <n v="901"/>
    <n v="2703"/>
  </r>
  <r>
    <x v="3"/>
    <x v="16"/>
    <x v="2"/>
    <n v="3"/>
    <n v="929"/>
    <n v="2787"/>
  </r>
  <r>
    <x v="3"/>
    <x v="17"/>
    <x v="2"/>
    <n v="3"/>
    <n v="1030"/>
    <n v="3090"/>
  </r>
  <r>
    <x v="3"/>
    <x v="18"/>
    <x v="2"/>
    <n v="2"/>
    <n v="1222"/>
    <n v="2444"/>
  </r>
  <r>
    <x v="3"/>
    <x v="19"/>
    <x v="2"/>
    <n v="0"/>
    <n v="649"/>
    <n v="0"/>
  </r>
  <r>
    <x v="3"/>
    <x v="20"/>
    <x v="2"/>
    <n v="9"/>
    <n v="1800"/>
    <n v="16200"/>
  </r>
  <r>
    <x v="3"/>
    <x v="21"/>
    <x v="2"/>
    <n v="9"/>
    <n v="345"/>
    <n v="3105"/>
  </r>
  <r>
    <x v="3"/>
    <x v="22"/>
    <x v="2"/>
    <n v="2"/>
    <n v="350"/>
    <n v="700"/>
  </r>
  <r>
    <x v="3"/>
    <x v="23"/>
    <x v="2"/>
    <n v="2"/>
    <n v="1575"/>
    <n v="3150"/>
  </r>
  <r>
    <x v="3"/>
    <x v="24"/>
    <x v="2"/>
    <n v="6"/>
    <n v="1045"/>
    <n v="6270"/>
  </r>
  <r>
    <x v="3"/>
    <x v="25"/>
    <x v="2"/>
    <n v="4"/>
    <n v="1186"/>
    <n v="4744"/>
  </r>
  <r>
    <x v="3"/>
    <x v="26"/>
    <x v="2"/>
    <n v="3"/>
    <n v="374"/>
    <n v="1122"/>
  </r>
  <r>
    <x v="3"/>
    <x v="27"/>
    <x v="2"/>
    <n v="1"/>
    <n v="1500"/>
    <n v="1500"/>
  </r>
  <r>
    <x v="3"/>
    <x v="28"/>
    <x v="2"/>
    <n v="0"/>
    <n v="1800"/>
    <n v="0"/>
  </r>
  <r>
    <x v="3"/>
    <x v="29"/>
    <x v="2"/>
    <n v="2"/>
    <n v="1477"/>
    <n v="2954"/>
  </r>
  <r>
    <x v="4"/>
    <x v="0"/>
    <x v="0"/>
    <n v="36"/>
    <n v="210"/>
    <n v="7560"/>
  </r>
  <r>
    <x v="4"/>
    <x v="1"/>
    <x v="0"/>
    <n v="19"/>
    <n v="199"/>
    <n v="3781"/>
  </r>
  <r>
    <x v="4"/>
    <x v="2"/>
    <x v="0"/>
    <n v="12"/>
    <n v="322"/>
    <n v="3864"/>
  </r>
  <r>
    <x v="4"/>
    <x v="3"/>
    <x v="0"/>
    <n v="10"/>
    <n v="161"/>
    <n v="1610"/>
  </r>
  <r>
    <x v="4"/>
    <x v="4"/>
    <x v="0"/>
    <n v="7"/>
    <n v="109"/>
    <n v="763"/>
  </r>
  <r>
    <x v="4"/>
    <x v="5"/>
    <x v="0"/>
    <n v="4"/>
    <n v="122"/>
    <n v="488"/>
  </r>
  <r>
    <x v="4"/>
    <x v="6"/>
    <x v="0"/>
    <n v="4"/>
    <n v="96"/>
    <n v="384"/>
  </r>
  <r>
    <x v="4"/>
    <x v="7"/>
    <x v="0"/>
    <n v="2"/>
    <n v="73"/>
    <n v="146"/>
  </r>
  <r>
    <x v="4"/>
    <x v="8"/>
    <x v="0"/>
    <n v="0"/>
    <n v="225"/>
    <n v="0"/>
  </r>
  <r>
    <x v="4"/>
    <x v="9"/>
    <x v="0"/>
    <n v="1"/>
    <n v="559"/>
    <n v="559"/>
  </r>
  <r>
    <x v="4"/>
    <x v="10"/>
    <x v="0"/>
    <n v="30"/>
    <n v="3199"/>
    <n v="95970"/>
  </r>
  <r>
    <x v="4"/>
    <x v="11"/>
    <x v="0"/>
    <n v="15"/>
    <n v="371"/>
    <n v="5565"/>
  </r>
  <r>
    <x v="4"/>
    <x v="12"/>
    <x v="0"/>
    <n v="12"/>
    <n v="2300"/>
    <n v="27600"/>
  </r>
  <r>
    <x v="4"/>
    <x v="13"/>
    <x v="0"/>
    <n v="12"/>
    <n v="499"/>
    <n v="5988"/>
  </r>
  <r>
    <x v="4"/>
    <x v="14"/>
    <x v="0"/>
    <n v="7"/>
    <n v="299"/>
    <n v="2093"/>
  </r>
  <r>
    <x v="4"/>
    <x v="15"/>
    <x v="0"/>
    <n v="3"/>
    <n v="901"/>
    <n v="2703"/>
  </r>
  <r>
    <x v="4"/>
    <x v="16"/>
    <x v="0"/>
    <n v="5"/>
    <n v="929"/>
    <n v="4645"/>
  </r>
  <r>
    <x v="4"/>
    <x v="17"/>
    <x v="0"/>
    <n v="1"/>
    <n v="1030"/>
    <n v="1030"/>
  </r>
  <r>
    <x v="4"/>
    <x v="18"/>
    <x v="0"/>
    <n v="0"/>
    <n v="1222"/>
    <n v="0"/>
  </r>
  <r>
    <x v="4"/>
    <x v="19"/>
    <x v="0"/>
    <n v="2"/>
    <n v="649"/>
    <n v="1298"/>
  </r>
  <r>
    <x v="4"/>
    <x v="20"/>
    <x v="0"/>
    <n v="24"/>
    <n v="1800"/>
    <n v="43200"/>
  </r>
  <r>
    <x v="4"/>
    <x v="21"/>
    <x v="0"/>
    <n v="19"/>
    <n v="345"/>
    <n v="6555"/>
  </r>
  <r>
    <x v="4"/>
    <x v="22"/>
    <x v="0"/>
    <n v="12"/>
    <n v="350"/>
    <n v="4200"/>
  </r>
  <r>
    <x v="4"/>
    <x v="23"/>
    <x v="0"/>
    <n v="7"/>
    <n v="1575"/>
    <n v="11025"/>
  </r>
  <r>
    <x v="4"/>
    <x v="24"/>
    <x v="0"/>
    <n v="4"/>
    <n v="1045"/>
    <n v="4180"/>
  </r>
  <r>
    <x v="4"/>
    <x v="25"/>
    <x v="0"/>
    <n v="2"/>
    <n v="1186"/>
    <n v="2372"/>
  </r>
  <r>
    <x v="4"/>
    <x v="26"/>
    <x v="0"/>
    <n v="2"/>
    <n v="374"/>
    <n v="748"/>
  </r>
  <r>
    <x v="4"/>
    <x v="27"/>
    <x v="0"/>
    <n v="1"/>
    <n v="1500"/>
    <n v="1500"/>
  </r>
  <r>
    <x v="4"/>
    <x v="28"/>
    <x v="0"/>
    <n v="0"/>
    <n v="1800"/>
    <n v="0"/>
  </r>
  <r>
    <x v="4"/>
    <x v="29"/>
    <x v="0"/>
    <n v="0"/>
    <n v="1477"/>
    <n v="0"/>
  </r>
  <r>
    <x v="4"/>
    <x v="0"/>
    <x v="1"/>
    <n v="24"/>
    <n v="210"/>
    <n v="5040"/>
  </r>
  <r>
    <x v="4"/>
    <x v="1"/>
    <x v="1"/>
    <n v="11"/>
    <n v="199"/>
    <n v="2189"/>
  </r>
  <r>
    <x v="4"/>
    <x v="2"/>
    <x v="1"/>
    <n v="8"/>
    <n v="322"/>
    <n v="2576"/>
  </r>
  <r>
    <x v="4"/>
    <x v="3"/>
    <x v="1"/>
    <n v="8"/>
    <n v="161"/>
    <n v="1288"/>
  </r>
  <r>
    <x v="4"/>
    <x v="4"/>
    <x v="1"/>
    <n v="4"/>
    <n v="109"/>
    <n v="436"/>
  </r>
  <r>
    <x v="4"/>
    <x v="5"/>
    <x v="1"/>
    <n v="2"/>
    <n v="122"/>
    <n v="244"/>
  </r>
  <r>
    <x v="4"/>
    <x v="6"/>
    <x v="1"/>
    <n v="3"/>
    <n v="96"/>
    <n v="288"/>
  </r>
  <r>
    <x v="4"/>
    <x v="7"/>
    <x v="1"/>
    <n v="1"/>
    <n v="73"/>
    <n v="73"/>
  </r>
  <r>
    <x v="4"/>
    <x v="8"/>
    <x v="1"/>
    <n v="0"/>
    <n v="225"/>
    <n v="0"/>
  </r>
  <r>
    <x v="4"/>
    <x v="9"/>
    <x v="1"/>
    <n v="1"/>
    <n v="559"/>
    <n v="559"/>
  </r>
  <r>
    <x v="4"/>
    <x v="10"/>
    <x v="1"/>
    <n v="21"/>
    <n v="3199"/>
    <n v="67179"/>
  </r>
  <r>
    <x v="4"/>
    <x v="11"/>
    <x v="1"/>
    <n v="7"/>
    <n v="371"/>
    <n v="2597"/>
  </r>
  <r>
    <x v="4"/>
    <x v="12"/>
    <x v="1"/>
    <n v="0"/>
    <n v="2300"/>
    <n v="0"/>
  </r>
  <r>
    <x v="4"/>
    <x v="13"/>
    <x v="1"/>
    <n v="1"/>
    <n v="499"/>
    <n v="499"/>
  </r>
  <r>
    <x v="4"/>
    <x v="14"/>
    <x v="1"/>
    <n v="3"/>
    <n v="299"/>
    <n v="897"/>
  </r>
  <r>
    <x v="4"/>
    <x v="15"/>
    <x v="1"/>
    <n v="1"/>
    <n v="901"/>
    <n v="901"/>
  </r>
  <r>
    <x v="4"/>
    <x v="16"/>
    <x v="1"/>
    <n v="1"/>
    <n v="929"/>
    <n v="929"/>
  </r>
  <r>
    <x v="4"/>
    <x v="17"/>
    <x v="1"/>
    <n v="0"/>
    <n v="1030"/>
    <n v="0"/>
  </r>
  <r>
    <x v="4"/>
    <x v="18"/>
    <x v="1"/>
    <n v="0"/>
    <n v="1222"/>
    <n v="0"/>
  </r>
  <r>
    <x v="4"/>
    <x v="19"/>
    <x v="1"/>
    <n v="1"/>
    <n v="649"/>
    <n v="649"/>
  </r>
  <r>
    <x v="4"/>
    <x v="20"/>
    <x v="1"/>
    <n v="18"/>
    <n v="1800"/>
    <n v="32400"/>
  </r>
  <r>
    <x v="4"/>
    <x v="21"/>
    <x v="1"/>
    <n v="14"/>
    <n v="345"/>
    <n v="4830"/>
  </r>
  <r>
    <x v="4"/>
    <x v="22"/>
    <x v="1"/>
    <n v="7"/>
    <n v="350"/>
    <n v="2450"/>
  </r>
  <r>
    <x v="4"/>
    <x v="23"/>
    <x v="1"/>
    <n v="5"/>
    <n v="1575"/>
    <n v="7875"/>
  </r>
  <r>
    <x v="4"/>
    <x v="24"/>
    <x v="1"/>
    <n v="3"/>
    <n v="1045"/>
    <n v="3135"/>
  </r>
  <r>
    <x v="4"/>
    <x v="25"/>
    <x v="1"/>
    <n v="0"/>
    <n v="1186"/>
    <n v="0"/>
  </r>
  <r>
    <x v="4"/>
    <x v="26"/>
    <x v="1"/>
    <n v="0"/>
    <n v="374"/>
    <n v="0"/>
  </r>
  <r>
    <x v="4"/>
    <x v="27"/>
    <x v="1"/>
    <n v="0"/>
    <n v="1500"/>
    <n v="0"/>
  </r>
  <r>
    <x v="4"/>
    <x v="28"/>
    <x v="1"/>
    <n v="0"/>
    <n v="1800"/>
    <n v="0"/>
  </r>
  <r>
    <x v="4"/>
    <x v="29"/>
    <x v="1"/>
    <n v="0"/>
    <n v="1477"/>
    <n v="0"/>
  </r>
  <r>
    <x v="4"/>
    <x v="0"/>
    <x v="2"/>
    <n v="2"/>
    <n v="210"/>
    <n v="420"/>
  </r>
  <r>
    <x v="4"/>
    <x v="1"/>
    <x v="2"/>
    <n v="5"/>
    <n v="199"/>
    <n v="995"/>
  </r>
  <r>
    <x v="4"/>
    <x v="2"/>
    <x v="2"/>
    <n v="4"/>
    <n v="322"/>
    <n v="1288"/>
  </r>
  <r>
    <x v="4"/>
    <x v="3"/>
    <x v="2"/>
    <n v="2"/>
    <n v="161"/>
    <n v="322"/>
  </r>
  <r>
    <x v="4"/>
    <x v="4"/>
    <x v="2"/>
    <n v="2"/>
    <n v="109"/>
    <n v="218"/>
  </r>
  <r>
    <x v="4"/>
    <x v="5"/>
    <x v="2"/>
    <n v="2"/>
    <n v="122"/>
    <n v="244"/>
  </r>
  <r>
    <x v="4"/>
    <x v="6"/>
    <x v="2"/>
    <n v="2"/>
    <n v="96"/>
    <n v="192"/>
  </r>
  <r>
    <x v="4"/>
    <x v="7"/>
    <x v="2"/>
    <n v="2"/>
    <n v="73"/>
    <n v="146"/>
  </r>
  <r>
    <x v="4"/>
    <x v="8"/>
    <x v="2"/>
    <n v="1"/>
    <n v="225"/>
    <n v="225"/>
  </r>
  <r>
    <x v="4"/>
    <x v="9"/>
    <x v="2"/>
    <n v="1"/>
    <n v="559"/>
    <n v="559"/>
  </r>
  <r>
    <x v="4"/>
    <x v="10"/>
    <x v="2"/>
    <n v="14"/>
    <n v="3199"/>
    <n v="44786"/>
  </r>
  <r>
    <x v="4"/>
    <x v="11"/>
    <x v="2"/>
    <n v="6"/>
    <n v="371"/>
    <n v="2226"/>
  </r>
  <r>
    <x v="4"/>
    <x v="12"/>
    <x v="2"/>
    <n v="9"/>
    <n v="2300"/>
    <n v="20700"/>
  </r>
  <r>
    <x v="4"/>
    <x v="13"/>
    <x v="2"/>
    <n v="7"/>
    <n v="499"/>
    <n v="3493"/>
  </r>
  <r>
    <x v="4"/>
    <x v="14"/>
    <x v="2"/>
    <n v="3"/>
    <n v="299"/>
    <n v="897"/>
  </r>
  <r>
    <x v="4"/>
    <x v="15"/>
    <x v="2"/>
    <n v="3"/>
    <n v="901"/>
    <n v="2703"/>
  </r>
  <r>
    <x v="4"/>
    <x v="16"/>
    <x v="2"/>
    <n v="3"/>
    <n v="929"/>
    <n v="2787"/>
  </r>
  <r>
    <x v="4"/>
    <x v="17"/>
    <x v="2"/>
    <n v="1"/>
    <n v="1030"/>
    <n v="1030"/>
  </r>
  <r>
    <x v="4"/>
    <x v="18"/>
    <x v="2"/>
    <n v="1"/>
    <n v="1222"/>
    <n v="1222"/>
  </r>
  <r>
    <x v="4"/>
    <x v="19"/>
    <x v="2"/>
    <n v="1"/>
    <n v="649"/>
    <n v="649"/>
  </r>
  <r>
    <x v="4"/>
    <x v="20"/>
    <x v="2"/>
    <n v="13"/>
    <n v="1800"/>
    <n v="23400"/>
  </r>
  <r>
    <x v="4"/>
    <x v="21"/>
    <x v="2"/>
    <n v="2"/>
    <n v="345"/>
    <n v="690"/>
  </r>
  <r>
    <x v="4"/>
    <x v="22"/>
    <x v="2"/>
    <n v="1"/>
    <n v="350"/>
    <n v="350"/>
  </r>
  <r>
    <x v="4"/>
    <x v="23"/>
    <x v="2"/>
    <n v="4"/>
    <n v="1575"/>
    <n v="6300"/>
  </r>
  <r>
    <x v="4"/>
    <x v="24"/>
    <x v="2"/>
    <n v="3"/>
    <n v="1045"/>
    <n v="3135"/>
  </r>
  <r>
    <x v="4"/>
    <x v="25"/>
    <x v="2"/>
    <n v="3"/>
    <n v="1186"/>
    <n v="3558"/>
  </r>
  <r>
    <x v="4"/>
    <x v="26"/>
    <x v="2"/>
    <n v="3"/>
    <n v="374"/>
    <n v="1122"/>
  </r>
  <r>
    <x v="4"/>
    <x v="27"/>
    <x v="2"/>
    <n v="1"/>
    <n v="1500"/>
    <n v="1500"/>
  </r>
  <r>
    <x v="4"/>
    <x v="28"/>
    <x v="2"/>
    <n v="2"/>
    <n v="1800"/>
    <n v="3600"/>
  </r>
  <r>
    <x v="4"/>
    <x v="29"/>
    <x v="2"/>
    <n v="0"/>
    <n v="1477"/>
    <n v="0"/>
  </r>
  <r>
    <x v="5"/>
    <x v="0"/>
    <x v="0"/>
    <n v="35"/>
    <n v="210"/>
    <n v="7350"/>
  </r>
  <r>
    <x v="5"/>
    <x v="1"/>
    <x v="0"/>
    <n v="17"/>
    <n v="199"/>
    <n v="3383"/>
  </r>
  <r>
    <x v="5"/>
    <x v="2"/>
    <x v="0"/>
    <n v="12"/>
    <n v="322"/>
    <n v="3864"/>
  </r>
  <r>
    <x v="5"/>
    <x v="3"/>
    <x v="0"/>
    <n v="7"/>
    <n v="161"/>
    <n v="1127"/>
  </r>
  <r>
    <x v="5"/>
    <x v="4"/>
    <x v="0"/>
    <n v="4"/>
    <n v="109"/>
    <n v="436"/>
  </r>
  <r>
    <x v="5"/>
    <x v="5"/>
    <x v="0"/>
    <n v="6"/>
    <n v="122"/>
    <n v="732"/>
  </r>
  <r>
    <x v="5"/>
    <x v="6"/>
    <x v="0"/>
    <n v="3"/>
    <n v="96"/>
    <n v="288"/>
  </r>
  <r>
    <x v="5"/>
    <x v="7"/>
    <x v="0"/>
    <n v="2"/>
    <n v="73"/>
    <n v="146"/>
  </r>
  <r>
    <x v="5"/>
    <x v="8"/>
    <x v="0"/>
    <n v="1"/>
    <n v="225"/>
    <n v="225"/>
  </r>
  <r>
    <x v="5"/>
    <x v="9"/>
    <x v="0"/>
    <n v="1"/>
    <n v="559"/>
    <n v="559"/>
  </r>
  <r>
    <x v="5"/>
    <x v="10"/>
    <x v="0"/>
    <n v="30"/>
    <n v="3199"/>
    <n v="95970"/>
  </r>
  <r>
    <x v="5"/>
    <x v="11"/>
    <x v="0"/>
    <n v="16"/>
    <n v="371"/>
    <n v="5936"/>
  </r>
  <r>
    <x v="5"/>
    <x v="12"/>
    <x v="0"/>
    <n v="10"/>
    <n v="2300"/>
    <n v="23000"/>
  </r>
  <r>
    <x v="5"/>
    <x v="13"/>
    <x v="0"/>
    <n v="7"/>
    <n v="499"/>
    <n v="3493"/>
  </r>
  <r>
    <x v="5"/>
    <x v="14"/>
    <x v="0"/>
    <n v="6"/>
    <n v="299"/>
    <n v="1794"/>
  </r>
  <r>
    <x v="5"/>
    <x v="15"/>
    <x v="0"/>
    <n v="3"/>
    <n v="901"/>
    <n v="2703"/>
  </r>
  <r>
    <x v="5"/>
    <x v="16"/>
    <x v="0"/>
    <n v="4"/>
    <n v="929"/>
    <n v="3716"/>
  </r>
  <r>
    <x v="5"/>
    <x v="17"/>
    <x v="0"/>
    <n v="0"/>
    <n v="1030"/>
    <n v="0"/>
  </r>
  <r>
    <x v="5"/>
    <x v="18"/>
    <x v="0"/>
    <n v="0"/>
    <n v="1222"/>
    <n v="0"/>
  </r>
  <r>
    <x v="5"/>
    <x v="19"/>
    <x v="0"/>
    <n v="2"/>
    <n v="649"/>
    <n v="1298"/>
  </r>
  <r>
    <x v="5"/>
    <x v="20"/>
    <x v="0"/>
    <n v="33"/>
    <n v="1800"/>
    <n v="59400"/>
  </r>
  <r>
    <x v="5"/>
    <x v="21"/>
    <x v="0"/>
    <n v="19"/>
    <n v="345"/>
    <n v="6555"/>
  </r>
  <r>
    <x v="5"/>
    <x v="22"/>
    <x v="0"/>
    <n v="9"/>
    <n v="350"/>
    <n v="3150"/>
  </r>
  <r>
    <x v="5"/>
    <x v="23"/>
    <x v="0"/>
    <n v="8"/>
    <n v="1575"/>
    <n v="12600"/>
  </r>
  <r>
    <x v="5"/>
    <x v="24"/>
    <x v="0"/>
    <n v="5"/>
    <n v="1045"/>
    <n v="5225"/>
  </r>
  <r>
    <x v="5"/>
    <x v="25"/>
    <x v="0"/>
    <n v="2"/>
    <n v="1186"/>
    <n v="2372"/>
  </r>
  <r>
    <x v="5"/>
    <x v="26"/>
    <x v="0"/>
    <n v="3"/>
    <n v="374"/>
    <n v="1122"/>
  </r>
  <r>
    <x v="5"/>
    <x v="27"/>
    <x v="0"/>
    <n v="0"/>
    <n v="1500"/>
    <n v="0"/>
  </r>
  <r>
    <x v="5"/>
    <x v="28"/>
    <x v="0"/>
    <n v="1"/>
    <n v="1800"/>
    <n v="1800"/>
  </r>
  <r>
    <x v="5"/>
    <x v="29"/>
    <x v="0"/>
    <n v="0"/>
    <n v="1477"/>
    <n v="0"/>
  </r>
  <r>
    <x v="5"/>
    <x v="0"/>
    <x v="1"/>
    <n v="22"/>
    <n v="210"/>
    <n v="4620"/>
  </r>
  <r>
    <x v="5"/>
    <x v="1"/>
    <x v="1"/>
    <n v="9"/>
    <n v="199"/>
    <n v="1791"/>
  </r>
  <r>
    <x v="5"/>
    <x v="2"/>
    <x v="1"/>
    <n v="9"/>
    <n v="322"/>
    <n v="2898"/>
  </r>
  <r>
    <x v="5"/>
    <x v="3"/>
    <x v="1"/>
    <n v="7"/>
    <n v="161"/>
    <n v="1127"/>
  </r>
  <r>
    <x v="5"/>
    <x v="4"/>
    <x v="1"/>
    <n v="4"/>
    <n v="109"/>
    <n v="436"/>
  </r>
  <r>
    <x v="5"/>
    <x v="5"/>
    <x v="1"/>
    <n v="3"/>
    <n v="122"/>
    <n v="366"/>
  </r>
  <r>
    <x v="5"/>
    <x v="6"/>
    <x v="1"/>
    <n v="2"/>
    <n v="96"/>
    <n v="192"/>
  </r>
  <r>
    <x v="5"/>
    <x v="7"/>
    <x v="1"/>
    <n v="1"/>
    <n v="73"/>
    <n v="73"/>
  </r>
  <r>
    <x v="5"/>
    <x v="8"/>
    <x v="1"/>
    <n v="0"/>
    <n v="225"/>
    <n v="0"/>
  </r>
  <r>
    <x v="5"/>
    <x v="9"/>
    <x v="1"/>
    <n v="1"/>
    <n v="559"/>
    <n v="559"/>
  </r>
  <r>
    <x v="5"/>
    <x v="10"/>
    <x v="1"/>
    <n v="18"/>
    <n v="3199"/>
    <n v="57582"/>
  </r>
  <r>
    <x v="5"/>
    <x v="11"/>
    <x v="1"/>
    <n v="3"/>
    <n v="371"/>
    <n v="1113"/>
  </r>
  <r>
    <x v="5"/>
    <x v="12"/>
    <x v="1"/>
    <n v="6"/>
    <n v="2300"/>
    <n v="13800"/>
  </r>
  <r>
    <x v="5"/>
    <x v="13"/>
    <x v="1"/>
    <n v="7"/>
    <n v="499"/>
    <n v="3493"/>
  </r>
  <r>
    <x v="5"/>
    <x v="14"/>
    <x v="1"/>
    <n v="7"/>
    <n v="299"/>
    <n v="2093"/>
  </r>
  <r>
    <x v="5"/>
    <x v="15"/>
    <x v="1"/>
    <n v="1"/>
    <n v="901"/>
    <n v="901"/>
  </r>
  <r>
    <x v="5"/>
    <x v="16"/>
    <x v="1"/>
    <n v="3"/>
    <n v="929"/>
    <n v="2787"/>
  </r>
  <r>
    <x v="5"/>
    <x v="17"/>
    <x v="1"/>
    <n v="0"/>
    <n v="1030"/>
    <n v="0"/>
  </r>
  <r>
    <x v="5"/>
    <x v="18"/>
    <x v="1"/>
    <n v="0"/>
    <n v="1222"/>
    <n v="0"/>
  </r>
  <r>
    <x v="5"/>
    <x v="19"/>
    <x v="1"/>
    <n v="1"/>
    <n v="649"/>
    <n v="649"/>
  </r>
  <r>
    <x v="5"/>
    <x v="20"/>
    <x v="1"/>
    <n v="20"/>
    <n v="1800"/>
    <n v="36000"/>
  </r>
  <r>
    <x v="5"/>
    <x v="21"/>
    <x v="1"/>
    <n v="10"/>
    <n v="345"/>
    <n v="3450"/>
  </r>
  <r>
    <x v="5"/>
    <x v="22"/>
    <x v="1"/>
    <n v="7"/>
    <n v="350"/>
    <n v="2450"/>
  </r>
  <r>
    <x v="5"/>
    <x v="23"/>
    <x v="1"/>
    <n v="6"/>
    <n v="1575"/>
    <n v="9450"/>
  </r>
  <r>
    <x v="5"/>
    <x v="24"/>
    <x v="1"/>
    <n v="2"/>
    <n v="1045"/>
    <n v="2090"/>
  </r>
  <r>
    <x v="5"/>
    <x v="25"/>
    <x v="1"/>
    <n v="1"/>
    <n v="1186"/>
    <n v="1186"/>
  </r>
  <r>
    <x v="5"/>
    <x v="26"/>
    <x v="1"/>
    <n v="0"/>
    <n v="374"/>
    <n v="0"/>
  </r>
  <r>
    <x v="5"/>
    <x v="27"/>
    <x v="1"/>
    <n v="0"/>
    <n v="1500"/>
    <n v="0"/>
  </r>
  <r>
    <x v="5"/>
    <x v="28"/>
    <x v="1"/>
    <n v="0"/>
    <n v="1800"/>
    <n v="0"/>
  </r>
  <r>
    <x v="5"/>
    <x v="29"/>
    <x v="1"/>
    <n v="0"/>
    <n v="1477"/>
    <n v="0"/>
  </r>
  <r>
    <x v="5"/>
    <x v="0"/>
    <x v="2"/>
    <n v="6"/>
    <n v="210"/>
    <n v="1260"/>
  </r>
  <r>
    <x v="5"/>
    <x v="1"/>
    <x v="2"/>
    <n v="5"/>
    <n v="199"/>
    <n v="995"/>
  </r>
  <r>
    <x v="5"/>
    <x v="2"/>
    <x v="2"/>
    <n v="3"/>
    <n v="322"/>
    <n v="966"/>
  </r>
  <r>
    <x v="5"/>
    <x v="3"/>
    <x v="2"/>
    <n v="5"/>
    <n v="161"/>
    <n v="805"/>
  </r>
  <r>
    <x v="5"/>
    <x v="4"/>
    <x v="2"/>
    <n v="4"/>
    <n v="109"/>
    <n v="436"/>
  </r>
  <r>
    <x v="5"/>
    <x v="5"/>
    <x v="2"/>
    <n v="1"/>
    <n v="122"/>
    <n v="122"/>
  </r>
  <r>
    <x v="5"/>
    <x v="6"/>
    <x v="2"/>
    <n v="1"/>
    <n v="96"/>
    <n v="96"/>
  </r>
  <r>
    <x v="5"/>
    <x v="7"/>
    <x v="2"/>
    <n v="2"/>
    <n v="73"/>
    <n v="146"/>
  </r>
  <r>
    <x v="5"/>
    <x v="8"/>
    <x v="2"/>
    <n v="1"/>
    <n v="225"/>
    <n v="225"/>
  </r>
  <r>
    <x v="5"/>
    <x v="9"/>
    <x v="2"/>
    <n v="1"/>
    <n v="559"/>
    <n v="559"/>
  </r>
  <r>
    <x v="5"/>
    <x v="10"/>
    <x v="2"/>
    <n v="8"/>
    <n v="3199"/>
    <n v="25592"/>
  </r>
  <r>
    <x v="5"/>
    <x v="11"/>
    <x v="2"/>
    <n v="11"/>
    <n v="371"/>
    <n v="4081"/>
  </r>
  <r>
    <x v="5"/>
    <x v="12"/>
    <x v="2"/>
    <n v="7"/>
    <n v="2300"/>
    <n v="16100"/>
  </r>
  <r>
    <x v="5"/>
    <x v="13"/>
    <x v="2"/>
    <n v="1"/>
    <n v="499"/>
    <n v="499"/>
  </r>
  <r>
    <x v="5"/>
    <x v="14"/>
    <x v="2"/>
    <n v="2"/>
    <n v="299"/>
    <n v="598"/>
  </r>
  <r>
    <x v="5"/>
    <x v="15"/>
    <x v="2"/>
    <n v="5"/>
    <n v="901"/>
    <n v="4505"/>
  </r>
  <r>
    <x v="5"/>
    <x v="16"/>
    <x v="2"/>
    <n v="1"/>
    <n v="929"/>
    <n v="929"/>
  </r>
  <r>
    <x v="5"/>
    <x v="17"/>
    <x v="2"/>
    <n v="0"/>
    <n v="1030"/>
    <n v="0"/>
  </r>
  <r>
    <x v="5"/>
    <x v="18"/>
    <x v="2"/>
    <n v="1"/>
    <n v="1222"/>
    <n v="1222"/>
  </r>
  <r>
    <x v="5"/>
    <x v="19"/>
    <x v="2"/>
    <n v="2"/>
    <n v="649"/>
    <n v="1298"/>
  </r>
  <r>
    <x v="5"/>
    <x v="20"/>
    <x v="2"/>
    <n v="11"/>
    <n v="1800"/>
    <n v="19800"/>
  </r>
  <r>
    <x v="5"/>
    <x v="21"/>
    <x v="2"/>
    <n v="5"/>
    <n v="345"/>
    <n v="1725"/>
  </r>
  <r>
    <x v="5"/>
    <x v="22"/>
    <x v="2"/>
    <n v="5"/>
    <n v="350"/>
    <n v="1750"/>
  </r>
  <r>
    <x v="5"/>
    <x v="23"/>
    <x v="2"/>
    <n v="5"/>
    <n v="1575"/>
    <n v="7875"/>
  </r>
  <r>
    <x v="5"/>
    <x v="24"/>
    <x v="2"/>
    <n v="6"/>
    <n v="1045"/>
    <n v="6270"/>
  </r>
  <r>
    <x v="5"/>
    <x v="25"/>
    <x v="2"/>
    <n v="2"/>
    <n v="1186"/>
    <n v="2372"/>
  </r>
  <r>
    <x v="5"/>
    <x v="26"/>
    <x v="2"/>
    <n v="4"/>
    <n v="374"/>
    <n v="1496"/>
  </r>
  <r>
    <x v="5"/>
    <x v="27"/>
    <x v="2"/>
    <n v="2"/>
    <n v="1500"/>
    <n v="3000"/>
  </r>
  <r>
    <x v="5"/>
    <x v="28"/>
    <x v="2"/>
    <n v="2"/>
    <n v="1800"/>
    <n v="3600"/>
  </r>
  <r>
    <x v="5"/>
    <x v="29"/>
    <x v="2"/>
    <n v="0"/>
    <n v="1477"/>
    <n v="0"/>
  </r>
  <r>
    <x v="6"/>
    <x v="0"/>
    <x v="0"/>
    <n v="32"/>
    <n v="210"/>
    <n v="6720"/>
  </r>
  <r>
    <x v="6"/>
    <x v="1"/>
    <x v="0"/>
    <n v="17"/>
    <n v="199"/>
    <n v="3383"/>
  </r>
  <r>
    <x v="6"/>
    <x v="2"/>
    <x v="0"/>
    <n v="8"/>
    <n v="322"/>
    <n v="2576"/>
  </r>
  <r>
    <x v="6"/>
    <x v="3"/>
    <x v="0"/>
    <n v="10"/>
    <n v="161"/>
    <n v="1610"/>
  </r>
  <r>
    <x v="6"/>
    <x v="4"/>
    <x v="0"/>
    <n v="4"/>
    <n v="109"/>
    <n v="436"/>
  </r>
  <r>
    <x v="6"/>
    <x v="5"/>
    <x v="0"/>
    <n v="3"/>
    <n v="122"/>
    <n v="366"/>
  </r>
  <r>
    <x v="6"/>
    <x v="6"/>
    <x v="0"/>
    <n v="3"/>
    <n v="96"/>
    <n v="288"/>
  </r>
  <r>
    <x v="6"/>
    <x v="7"/>
    <x v="0"/>
    <n v="1"/>
    <n v="73"/>
    <n v="73"/>
  </r>
  <r>
    <x v="6"/>
    <x v="8"/>
    <x v="0"/>
    <n v="2"/>
    <n v="225"/>
    <n v="450"/>
  </r>
  <r>
    <x v="6"/>
    <x v="9"/>
    <x v="0"/>
    <n v="0"/>
    <n v="559"/>
    <n v="0"/>
  </r>
  <r>
    <x v="6"/>
    <x v="10"/>
    <x v="0"/>
    <n v="33"/>
    <n v="3199"/>
    <n v="105567"/>
  </r>
  <r>
    <x v="6"/>
    <x v="11"/>
    <x v="0"/>
    <n v="16"/>
    <n v="371"/>
    <n v="5936"/>
  </r>
  <r>
    <x v="6"/>
    <x v="12"/>
    <x v="0"/>
    <n v="10"/>
    <n v="2300"/>
    <n v="23000"/>
  </r>
  <r>
    <x v="6"/>
    <x v="13"/>
    <x v="0"/>
    <n v="8"/>
    <n v="499"/>
    <n v="3992"/>
  </r>
  <r>
    <x v="6"/>
    <x v="14"/>
    <x v="0"/>
    <n v="5"/>
    <n v="299"/>
    <n v="1495"/>
  </r>
  <r>
    <x v="6"/>
    <x v="15"/>
    <x v="0"/>
    <n v="2"/>
    <n v="901"/>
    <n v="1802"/>
  </r>
  <r>
    <x v="6"/>
    <x v="16"/>
    <x v="0"/>
    <n v="4"/>
    <n v="929"/>
    <n v="3716"/>
  </r>
  <r>
    <x v="6"/>
    <x v="17"/>
    <x v="0"/>
    <n v="1"/>
    <n v="1030"/>
    <n v="1030"/>
  </r>
  <r>
    <x v="6"/>
    <x v="18"/>
    <x v="0"/>
    <n v="1"/>
    <n v="1222"/>
    <n v="1222"/>
  </r>
  <r>
    <x v="6"/>
    <x v="19"/>
    <x v="0"/>
    <n v="1"/>
    <n v="649"/>
    <n v="649"/>
  </r>
  <r>
    <x v="6"/>
    <x v="20"/>
    <x v="0"/>
    <n v="28"/>
    <n v="1800"/>
    <n v="50400"/>
  </r>
  <r>
    <x v="6"/>
    <x v="21"/>
    <x v="0"/>
    <n v="13"/>
    <n v="345"/>
    <n v="4485"/>
  </r>
  <r>
    <x v="6"/>
    <x v="22"/>
    <x v="0"/>
    <n v="11"/>
    <n v="350"/>
    <n v="3850"/>
  </r>
  <r>
    <x v="6"/>
    <x v="23"/>
    <x v="0"/>
    <n v="10"/>
    <n v="1575"/>
    <n v="15750"/>
  </r>
  <r>
    <x v="6"/>
    <x v="24"/>
    <x v="0"/>
    <n v="5"/>
    <n v="1045"/>
    <n v="5225"/>
  </r>
  <r>
    <x v="6"/>
    <x v="25"/>
    <x v="0"/>
    <n v="3"/>
    <n v="1186"/>
    <n v="3558"/>
  </r>
  <r>
    <x v="6"/>
    <x v="26"/>
    <x v="0"/>
    <n v="3"/>
    <n v="374"/>
    <n v="1122"/>
  </r>
  <r>
    <x v="6"/>
    <x v="27"/>
    <x v="0"/>
    <n v="2"/>
    <n v="1500"/>
    <n v="3000"/>
  </r>
  <r>
    <x v="6"/>
    <x v="28"/>
    <x v="0"/>
    <n v="0"/>
    <n v="1800"/>
    <n v="0"/>
  </r>
  <r>
    <x v="6"/>
    <x v="29"/>
    <x v="0"/>
    <n v="0"/>
    <n v="1477"/>
    <n v="0"/>
  </r>
  <r>
    <x v="6"/>
    <x v="0"/>
    <x v="1"/>
    <n v="19"/>
    <n v="210"/>
    <n v="3990"/>
  </r>
  <r>
    <x v="6"/>
    <x v="1"/>
    <x v="1"/>
    <n v="11"/>
    <n v="199"/>
    <n v="2189"/>
  </r>
  <r>
    <x v="6"/>
    <x v="2"/>
    <x v="1"/>
    <n v="6"/>
    <n v="322"/>
    <n v="1932"/>
  </r>
  <r>
    <x v="6"/>
    <x v="3"/>
    <x v="1"/>
    <n v="6"/>
    <n v="161"/>
    <n v="966"/>
  </r>
  <r>
    <x v="6"/>
    <x v="4"/>
    <x v="1"/>
    <n v="3"/>
    <n v="109"/>
    <n v="327"/>
  </r>
  <r>
    <x v="6"/>
    <x v="5"/>
    <x v="1"/>
    <n v="2"/>
    <n v="122"/>
    <n v="244"/>
  </r>
  <r>
    <x v="6"/>
    <x v="6"/>
    <x v="1"/>
    <n v="2"/>
    <n v="96"/>
    <n v="192"/>
  </r>
  <r>
    <x v="6"/>
    <x v="7"/>
    <x v="1"/>
    <n v="0"/>
    <n v="73"/>
    <n v="0"/>
  </r>
  <r>
    <x v="6"/>
    <x v="8"/>
    <x v="1"/>
    <n v="1"/>
    <n v="225"/>
    <n v="225"/>
  </r>
  <r>
    <x v="6"/>
    <x v="9"/>
    <x v="1"/>
    <n v="0"/>
    <n v="559"/>
    <n v="0"/>
  </r>
  <r>
    <x v="6"/>
    <x v="10"/>
    <x v="1"/>
    <n v="2"/>
    <n v="3199"/>
    <n v="6398"/>
  </r>
  <r>
    <x v="6"/>
    <x v="11"/>
    <x v="1"/>
    <n v="7"/>
    <n v="371"/>
    <n v="2597"/>
  </r>
  <r>
    <x v="6"/>
    <x v="12"/>
    <x v="1"/>
    <n v="5"/>
    <n v="2300"/>
    <n v="11500"/>
  </r>
  <r>
    <x v="6"/>
    <x v="13"/>
    <x v="1"/>
    <n v="2"/>
    <n v="499"/>
    <n v="998"/>
  </r>
  <r>
    <x v="6"/>
    <x v="14"/>
    <x v="1"/>
    <n v="4"/>
    <n v="299"/>
    <n v="1196"/>
  </r>
  <r>
    <x v="6"/>
    <x v="15"/>
    <x v="1"/>
    <n v="2"/>
    <n v="901"/>
    <n v="1802"/>
  </r>
  <r>
    <x v="6"/>
    <x v="16"/>
    <x v="1"/>
    <n v="4"/>
    <n v="929"/>
    <n v="3716"/>
  </r>
  <r>
    <x v="6"/>
    <x v="17"/>
    <x v="1"/>
    <n v="1"/>
    <n v="1030"/>
    <n v="1030"/>
  </r>
  <r>
    <x v="6"/>
    <x v="18"/>
    <x v="1"/>
    <n v="0"/>
    <n v="1222"/>
    <n v="0"/>
  </r>
  <r>
    <x v="6"/>
    <x v="19"/>
    <x v="1"/>
    <n v="0"/>
    <n v="649"/>
    <n v="0"/>
  </r>
  <r>
    <x v="6"/>
    <x v="20"/>
    <x v="1"/>
    <n v="25"/>
    <n v="1800"/>
    <n v="45000"/>
  </r>
  <r>
    <x v="6"/>
    <x v="21"/>
    <x v="1"/>
    <n v="10"/>
    <n v="345"/>
    <n v="3450"/>
  </r>
  <r>
    <x v="6"/>
    <x v="22"/>
    <x v="1"/>
    <n v="6"/>
    <n v="350"/>
    <n v="2100"/>
  </r>
  <r>
    <x v="6"/>
    <x v="23"/>
    <x v="1"/>
    <n v="7"/>
    <n v="1575"/>
    <n v="11025"/>
  </r>
  <r>
    <x v="6"/>
    <x v="24"/>
    <x v="1"/>
    <n v="5"/>
    <n v="1045"/>
    <n v="5225"/>
  </r>
  <r>
    <x v="6"/>
    <x v="25"/>
    <x v="1"/>
    <n v="2"/>
    <n v="1186"/>
    <n v="2372"/>
  </r>
  <r>
    <x v="6"/>
    <x v="26"/>
    <x v="1"/>
    <n v="0"/>
    <n v="374"/>
    <n v="0"/>
  </r>
  <r>
    <x v="6"/>
    <x v="27"/>
    <x v="1"/>
    <n v="1"/>
    <n v="1500"/>
    <n v="1500"/>
  </r>
  <r>
    <x v="6"/>
    <x v="28"/>
    <x v="1"/>
    <n v="0"/>
    <n v="1800"/>
    <n v="0"/>
  </r>
  <r>
    <x v="6"/>
    <x v="29"/>
    <x v="1"/>
    <n v="0"/>
    <n v="1477"/>
    <n v="0"/>
  </r>
  <r>
    <x v="6"/>
    <x v="0"/>
    <x v="2"/>
    <n v="11"/>
    <n v="210"/>
    <n v="2310"/>
  </r>
  <r>
    <x v="6"/>
    <x v="1"/>
    <x v="2"/>
    <n v="1"/>
    <n v="199"/>
    <n v="199"/>
  </r>
  <r>
    <x v="6"/>
    <x v="2"/>
    <x v="2"/>
    <n v="6"/>
    <n v="322"/>
    <n v="1932"/>
  </r>
  <r>
    <x v="6"/>
    <x v="3"/>
    <x v="2"/>
    <n v="3"/>
    <n v="161"/>
    <n v="483"/>
  </r>
  <r>
    <x v="6"/>
    <x v="4"/>
    <x v="2"/>
    <n v="3"/>
    <n v="109"/>
    <n v="327"/>
  </r>
  <r>
    <x v="6"/>
    <x v="5"/>
    <x v="2"/>
    <n v="2"/>
    <n v="122"/>
    <n v="244"/>
  </r>
  <r>
    <x v="6"/>
    <x v="6"/>
    <x v="2"/>
    <n v="2"/>
    <n v="96"/>
    <n v="192"/>
  </r>
  <r>
    <x v="6"/>
    <x v="7"/>
    <x v="2"/>
    <n v="2"/>
    <n v="73"/>
    <n v="146"/>
  </r>
  <r>
    <x v="6"/>
    <x v="8"/>
    <x v="2"/>
    <n v="2"/>
    <n v="225"/>
    <n v="450"/>
  </r>
  <r>
    <x v="6"/>
    <x v="9"/>
    <x v="2"/>
    <n v="2"/>
    <n v="559"/>
    <n v="1118"/>
  </r>
  <r>
    <x v="6"/>
    <x v="10"/>
    <x v="2"/>
    <n v="21"/>
    <n v="3199"/>
    <n v="67179"/>
  </r>
  <r>
    <x v="6"/>
    <x v="11"/>
    <x v="2"/>
    <n v="9"/>
    <n v="371"/>
    <n v="3339"/>
  </r>
  <r>
    <x v="6"/>
    <x v="12"/>
    <x v="2"/>
    <n v="10"/>
    <n v="2300"/>
    <n v="23000"/>
  </r>
  <r>
    <x v="6"/>
    <x v="13"/>
    <x v="2"/>
    <n v="10"/>
    <n v="499"/>
    <n v="4990"/>
  </r>
  <r>
    <x v="6"/>
    <x v="14"/>
    <x v="2"/>
    <n v="1"/>
    <n v="299"/>
    <n v="299"/>
  </r>
  <r>
    <x v="6"/>
    <x v="15"/>
    <x v="2"/>
    <n v="2"/>
    <n v="901"/>
    <n v="1802"/>
  </r>
  <r>
    <x v="6"/>
    <x v="16"/>
    <x v="2"/>
    <n v="1"/>
    <n v="929"/>
    <n v="929"/>
  </r>
  <r>
    <x v="6"/>
    <x v="17"/>
    <x v="2"/>
    <n v="1"/>
    <n v="1030"/>
    <n v="1030"/>
  </r>
  <r>
    <x v="6"/>
    <x v="18"/>
    <x v="2"/>
    <n v="3"/>
    <n v="1222"/>
    <n v="3666"/>
  </r>
  <r>
    <x v="6"/>
    <x v="19"/>
    <x v="2"/>
    <n v="2"/>
    <n v="649"/>
    <n v="1298"/>
  </r>
  <r>
    <x v="6"/>
    <x v="20"/>
    <x v="2"/>
    <n v="11"/>
    <n v="1800"/>
    <n v="19800"/>
  </r>
  <r>
    <x v="6"/>
    <x v="21"/>
    <x v="2"/>
    <n v="11"/>
    <n v="345"/>
    <n v="3795"/>
  </r>
  <r>
    <x v="6"/>
    <x v="22"/>
    <x v="2"/>
    <n v="6"/>
    <n v="350"/>
    <n v="2100"/>
  </r>
  <r>
    <x v="6"/>
    <x v="23"/>
    <x v="2"/>
    <n v="2"/>
    <n v="1575"/>
    <n v="3150"/>
  </r>
  <r>
    <x v="6"/>
    <x v="24"/>
    <x v="2"/>
    <n v="2"/>
    <n v="1045"/>
    <n v="2090"/>
  </r>
  <r>
    <x v="6"/>
    <x v="25"/>
    <x v="2"/>
    <n v="3"/>
    <n v="1186"/>
    <n v="3558"/>
  </r>
  <r>
    <x v="6"/>
    <x v="26"/>
    <x v="2"/>
    <n v="3"/>
    <n v="374"/>
    <n v="1122"/>
  </r>
  <r>
    <x v="6"/>
    <x v="27"/>
    <x v="2"/>
    <n v="2"/>
    <n v="1500"/>
    <n v="3000"/>
  </r>
  <r>
    <x v="6"/>
    <x v="28"/>
    <x v="2"/>
    <n v="1"/>
    <n v="1800"/>
    <n v="1800"/>
  </r>
  <r>
    <x v="6"/>
    <x v="29"/>
    <x v="2"/>
    <n v="0"/>
    <n v="1477"/>
    <n v="0"/>
  </r>
  <r>
    <x v="7"/>
    <x v="0"/>
    <x v="0"/>
    <n v="28"/>
    <n v="210"/>
    <n v="5880"/>
  </r>
  <r>
    <x v="7"/>
    <x v="1"/>
    <x v="0"/>
    <n v="13"/>
    <n v="199"/>
    <n v="2587"/>
  </r>
  <r>
    <x v="7"/>
    <x v="2"/>
    <x v="0"/>
    <n v="11"/>
    <n v="322"/>
    <n v="3542"/>
  </r>
  <r>
    <x v="7"/>
    <x v="3"/>
    <x v="0"/>
    <n v="7"/>
    <n v="161"/>
    <n v="1127"/>
  </r>
  <r>
    <x v="7"/>
    <x v="4"/>
    <x v="0"/>
    <n v="5"/>
    <n v="109"/>
    <n v="545"/>
  </r>
  <r>
    <x v="7"/>
    <x v="5"/>
    <x v="0"/>
    <n v="2"/>
    <n v="122"/>
    <n v="244"/>
  </r>
  <r>
    <x v="7"/>
    <x v="6"/>
    <x v="0"/>
    <n v="4"/>
    <n v="96"/>
    <n v="384"/>
  </r>
  <r>
    <x v="7"/>
    <x v="7"/>
    <x v="0"/>
    <n v="2"/>
    <n v="73"/>
    <n v="146"/>
  </r>
  <r>
    <x v="7"/>
    <x v="8"/>
    <x v="0"/>
    <n v="0"/>
    <n v="225"/>
    <n v="0"/>
  </r>
  <r>
    <x v="7"/>
    <x v="9"/>
    <x v="0"/>
    <n v="0"/>
    <n v="559"/>
    <n v="0"/>
  </r>
  <r>
    <x v="7"/>
    <x v="10"/>
    <x v="0"/>
    <n v="34"/>
    <n v="3199"/>
    <n v="108766"/>
  </r>
  <r>
    <x v="7"/>
    <x v="11"/>
    <x v="0"/>
    <n v="12"/>
    <n v="371"/>
    <n v="4452"/>
  </r>
  <r>
    <x v="7"/>
    <x v="12"/>
    <x v="0"/>
    <n v="13"/>
    <n v="2300"/>
    <n v="29900"/>
  </r>
  <r>
    <x v="7"/>
    <x v="13"/>
    <x v="0"/>
    <n v="12"/>
    <n v="499"/>
    <n v="5988"/>
  </r>
  <r>
    <x v="7"/>
    <x v="14"/>
    <x v="0"/>
    <n v="5"/>
    <n v="299"/>
    <n v="1495"/>
  </r>
  <r>
    <x v="7"/>
    <x v="15"/>
    <x v="0"/>
    <n v="2"/>
    <n v="901"/>
    <n v="1802"/>
  </r>
  <r>
    <x v="7"/>
    <x v="16"/>
    <x v="0"/>
    <n v="3"/>
    <n v="929"/>
    <n v="2787"/>
  </r>
  <r>
    <x v="7"/>
    <x v="17"/>
    <x v="0"/>
    <n v="0"/>
    <n v="1030"/>
    <n v="0"/>
  </r>
  <r>
    <x v="7"/>
    <x v="18"/>
    <x v="0"/>
    <n v="2"/>
    <n v="1222"/>
    <n v="2444"/>
  </r>
  <r>
    <x v="7"/>
    <x v="19"/>
    <x v="0"/>
    <n v="1"/>
    <n v="649"/>
    <n v="649"/>
  </r>
  <r>
    <x v="7"/>
    <x v="20"/>
    <x v="0"/>
    <n v="30"/>
    <n v="1800"/>
    <n v="54000"/>
  </r>
  <r>
    <x v="7"/>
    <x v="21"/>
    <x v="0"/>
    <n v="12"/>
    <n v="345"/>
    <n v="4140"/>
  </r>
  <r>
    <x v="7"/>
    <x v="22"/>
    <x v="0"/>
    <n v="10"/>
    <n v="350"/>
    <n v="3500"/>
  </r>
  <r>
    <x v="7"/>
    <x v="23"/>
    <x v="0"/>
    <n v="10"/>
    <n v="1575"/>
    <n v="15750"/>
  </r>
  <r>
    <x v="7"/>
    <x v="24"/>
    <x v="0"/>
    <n v="7"/>
    <n v="1045"/>
    <n v="7315"/>
  </r>
  <r>
    <x v="7"/>
    <x v="25"/>
    <x v="0"/>
    <n v="2"/>
    <n v="1186"/>
    <n v="2372"/>
  </r>
  <r>
    <x v="7"/>
    <x v="26"/>
    <x v="0"/>
    <n v="4"/>
    <n v="374"/>
    <n v="1496"/>
  </r>
  <r>
    <x v="7"/>
    <x v="27"/>
    <x v="0"/>
    <n v="0"/>
    <n v="1500"/>
    <n v="0"/>
  </r>
  <r>
    <x v="7"/>
    <x v="28"/>
    <x v="0"/>
    <n v="2"/>
    <n v="1800"/>
    <n v="3600"/>
  </r>
  <r>
    <x v="7"/>
    <x v="29"/>
    <x v="0"/>
    <n v="0"/>
    <n v="1477"/>
    <n v="0"/>
  </r>
  <r>
    <x v="7"/>
    <x v="0"/>
    <x v="1"/>
    <n v="18"/>
    <n v="210"/>
    <n v="3780"/>
  </r>
  <r>
    <x v="7"/>
    <x v="1"/>
    <x v="1"/>
    <n v="9"/>
    <n v="199"/>
    <n v="1791"/>
  </r>
  <r>
    <x v="7"/>
    <x v="2"/>
    <x v="1"/>
    <n v="8"/>
    <n v="322"/>
    <n v="2576"/>
  </r>
  <r>
    <x v="7"/>
    <x v="3"/>
    <x v="1"/>
    <n v="6"/>
    <n v="161"/>
    <n v="966"/>
  </r>
  <r>
    <x v="7"/>
    <x v="4"/>
    <x v="1"/>
    <n v="3"/>
    <n v="109"/>
    <n v="327"/>
  </r>
  <r>
    <x v="7"/>
    <x v="5"/>
    <x v="1"/>
    <n v="2"/>
    <n v="122"/>
    <n v="244"/>
  </r>
  <r>
    <x v="7"/>
    <x v="6"/>
    <x v="1"/>
    <n v="2"/>
    <n v="96"/>
    <n v="192"/>
  </r>
  <r>
    <x v="7"/>
    <x v="7"/>
    <x v="1"/>
    <n v="1"/>
    <n v="73"/>
    <n v="73"/>
  </r>
  <r>
    <x v="7"/>
    <x v="8"/>
    <x v="1"/>
    <n v="0"/>
    <n v="225"/>
    <n v="0"/>
  </r>
  <r>
    <x v="7"/>
    <x v="9"/>
    <x v="1"/>
    <n v="0"/>
    <n v="559"/>
    <n v="0"/>
  </r>
  <r>
    <x v="7"/>
    <x v="10"/>
    <x v="1"/>
    <n v="24"/>
    <n v="3199"/>
    <n v="76776"/>
  </r>
  <r>
    <x v="7"/>
    <x v="11"/>
    <x v="1"/>
    <n v="3"/>
    <n v="371"/>
    <n v="1113"/>
  </r>
  <r>
    <x v="7"/>
    <x v="12"/>
    <x v="1"/>
    <n v="0"/>
    <n v="2300"/>
    <n v="0"/>
  </r>
  <r>
    <x v="7"/>
    <x v="13"/>
    <x v="1"/>
    <n v="7"/>
    <n v="499"/>
    <n v="3493"/>
  </r>
  <r>
    <x v="7"/>
    <x v="14"/>
    <x v="1"/>
    <n v="2"/>
    <n v="299"/>
    <n v="598"/>
  </r>
  <r>
    <x v="7"/>
    <x v="15"/>
    <x v="1"/>
    <n v="0"/>
    <n v="901"/>
    <n v="0"/>
  </r>
  <r>
    <x v="7"/>
    <x v="16"/>
    <x v="1"/>
    <n v="2"/>
    <n v="929"/>
    <n v="1858"/>
  </r>
  <r>
    <x v="7"/>
    <x v="17"/>
    <x v="1"/>
    <n v="0"/>
    <n v="1030"/>
    <n v="0"/>
  </r>
  <r>
    <x v="7"/>
    <x v="18"/>
    <x v="1"/>
    <n v="0"/>
    <n v="1222"/>
    <n v="0"/>
  </r>
  <r>
    <x v="7"/>
    <x v="19"/>
    <x v="1"/>
    <n v="0"/>
    <n v="649"/>
    <n v="0"/>
  </r>
  <r>
    <x v="7"/>
    <x v="20"/>
    <x v="1"/>
    <n v="22"/>
    <n v="1800"/>
    <n v="39600"/>
  </r>
  <r>
    <x v="7"/>
    <x v="21"/>
    <x v="1"/>
    <n v="10"/>
    <n v="345"/>
    <n v="3450"/>
  </r>
  <r>
    <x v="7"/>
    <x v="22"/>
    <x v="1"/>
    <n v="9"/>
    <n v="350"/>
    <n v="3150"/>
  </r>
  <r>
    <x v="7"/>
    <x v="23"/>
    <x v="1"/>
    <n v="6"/>
    <n v="1575"/>
    <n v="9450"/>
  </r>
  <r>
    <x v="7"/>
    <x v="24"/>
    <x v="1"/>
    <n v="1"/>
    <n v="1045"/>
    <n v="1045"/>
  </r>
  <r>
    <x v="7"/>
    <x v="25"/>
    <x v="1"/>
    <n v="1"/>
    <n v="1186"/>
    <n v="1186"/>
  </r>
  <r>
    <x v="7"/>
    <x v="26"/>
    <x v="1"/>
    <n v="0"/>
    <n v="374"/>
    <n v="0"/>
  </r>
  <r>
    <x v="7"/>
    <x v="27"/>
    <x v="1"/>
    <n v="0"/>
    <n v="1500"/>
    <n v="0"/>
  </r>
  <r>
    <x v="7"/>
    <x v="28"/>
    <x v="1"/>
    <n v="1"/>
    <n v="1800"/>
    <n v="1800"/>
  </r>
  <r>
    <x v="7"/>
    <x v="29"/>
    <x v="1"/>
    <n v="0"/>
    <n v="1477"/>
    <n v="0"/>
  </r>
  <r>
    <x v="7"/>
    <x v="0"/>
    <x v="2"/>
    <n v="13"/>
    <n v="210"/>
    <n v="2730"/>
  </r>
  <r>
    <x v="7"/>
    <x v="1"/>
    <x v="2"/>
    <n v="6"/>
    <n v="199"/>
    <n v="1194"/>
  </r>
  <r>
    <x v="7"/>
    <x v="2"/>
    <x v="2"/>
    <n v="6"/>
    <n v="322"/>
    <n v="1932"/>
  </r>
  <r>
    <x v="7"/>
    <x v="3"/>
    <x v="2"/>
    <n v="4"/>
    <n v="161"/>
    <n v="644"/>
  </r>
  <r>
    <x v="7"/>
    <x v="4"/>
    <x v="2"/>
    <n v="5"/>
    <n v="109"/>
    <n v="545"/>
  </r>
  <r>
    <x v="7"/>
    <x v="5"/>
    <x v="2"/>
    <n v="2"/>
    <n v="122"/>
    <n v="244"/>
  </r>
  <r>
    <x v="7"/>
    <x v="6"/>
    <x v="2"/>
    <n v="2"/>
    <n v="96"/>
    <n v="192"/>
  </r>
  <r>
    <x v="7"/>
    <x v="7"/>
    <x v="2"/>
    <n v="1"/>
    <n v="73"/>
    <n v="73"/>
  </r>
  <r>
    <x v="7"/>
    <x v="8"/>
    <x v="2"/>
    <n v="1"/>
    <n v="225"/>
    <n v="225"/>
  </r>
  <r>
    <x v="7"/>
    <x v="9"/>
    <x v="2"/>
    <n v="0"/>
    <n v="559"/>
    <n v="0"/>
  </r>
  <r>
    <x v="7"/>
    <x v="10"/>
    <x v="2"/>
    <n v="1"/>
    <n v="3199"/>
    <n v="3199"/>
  </r>
  <r>
    <x v="7"/>
    <x v="11"/>
    <x v="2"/>
    <n v="10"/>
    <n v="371"/>
    <n v="3710"/>
  </r>
  <r>
    <x v="7"/>
    <x v="12"/>
    <x v="2"/>
    <n v="10"/>
    <n v="2300"/>
    <n v="23000"/>
  </r>
  <r>
    <x v="7"/>
    <x v="13"/>
    <x v="2"/>
    <n v="1"/>
    <n v="499"/>
    <n v="499"/>
  </r>
  <r>
    <x v="7"/>
    <x v="14"/>
    <x v="2"/>
    <n v="4"/>
    <n v="299"/>
    <n v="1196"/>
  </r>
  <r>
    <x v="7"/>
    <x v="15"/>
    <x v="2"/>
    <n v="3"/>
    <n v="901"/>
    <n v="2703"/>
  </r>
  <r>
    <x v="7"/>
    <x v="16"/>
    <x v="2"/>
    <n v="2"/>
    <n v="929"/>
    <n v="1858"/>
  </r>
  <r>
    <x v="7"/>
    <x v="17"/>
    <x v="2"/>
    <n v="1"/>
    <n v="1030"/>
    <n v="1030"/>
  </r>
  <r>
    <x v="7"/>
    <x v="18"/>
    <x v="2"/>
    <n v="2"/>
    <n v="1222"/>
    <n v="2444"/>
  </r>
  <r>
    <x v="7"/>
    <x v="19"/>
    <x v="2"/>
    <n v="2"/>
    <n v="649"/>
    <n v="1298"/>
  </r>
  <r>
    <x v="7"/>
    <x v="20"/>
    <x v="2"/>
    <n v="6"/>
    <n v="1800"/>
    <n v="10800"/>
  </r>
  <r>
    <x v="7"/>
    <x v="21"/>
    <x v="2"/>
    <n v="8"/>
    <n v="345"/>
    <n v="2760"/>
  </r>
  <r>
    <x v="7"/>
    <x v="22"/>
    <x v="2"/>
    <n v="6"/>
    <n v="350"/>
    <n v="2100"/>
  </r>
  <r>
    <x v="7"/>
    <x v="23"/>
    <x v="2"/>
    <n v="2"/>
    <n v="1575"/>
    <n v="3150"/>
  </r>
  <r>
    <x v="7"/>
    <x v="24"/>
    <x v="2"/>
    <n v="5"/>
    <n v="1045"/>
    <n v="5225"/>
  </r>
  <r>
    <x v="7"/>
    <x v="25"/>
    <x v="2"/>
    <n v="2"/>
    <n v="1186"/>
    <n v="2372"/>
  </r>
  <r>
    <x v="7"/>
    <x v="26"/>
    <x v="2"/>
    <n v="4"/>
    <n v="374"/>
    <n v="1496"/>
  </r>
  <r>
    <x v="7"/>
    <x v="27"/>
    <x v="2"/>
    <n v="1"/>
    <n v="1500"/>
    <n v="1500"/>
  </r>
  <r>
    <x v="7"/>
    <x v="28"/>
    <x v="2"/>
    <n v="2"/>
    <n v="1800"/>
    <n v="3600"/>
  </r>
  <r>
    <x v="7"/>
    <x v="29"/>
    <x v="2"/>
    <n v="1"/>
    <n v="1477"/>
    <n v="1477"/>
  </r>
  <r>
    <x v="8"/>
    <x v="0"/>
    <x v="0"/>
    <n v="27"/>
    <n v="210"/>
    <n v="5670"/>
  </r>
  <r>
    <x v="8"/>
    <x v="1"/>
    <x v="0"/>
    <n v="16"/>
    <n v="199"/>
    <n v="3184"/>
  </r>
  <r>
    <x v="8"/>
    <x v="2"/>
    <x v="0"/>
    <n v="11"/>
    <n v="322"/>
    <n v="3542"/>
  </r>
  <r>
    <x v="8"/>
    <x v="3"/>
    <x v="0"/>
    <n v="8"/>
    <n v="161"/>
    <n v="1288"/>
  </r>
  <r>
    <x v="8"/>
    <x v="4"/>
    <x v="0"/>
    <n v="7"/>
    <n v="109"/>
    <n v="763"/>
  </r>
  <r>
    <x v="8"/>
    <x v="5"/>
    <x v="0"/>
    <n v="4"/>
    <n v="122"/>
    <n v="488"/>
  </r>
  <r>
    <x v="8"/>
    <x v="6"/>
    <x v="0"/>
    <n v="2"/>
    <n v="96"/>
    <n v="192"/>
  </r>
  <r>
    <x v="8"/>
    <x v="7"/>
    <x v="0"/>
    <n v="2"/>
    <n v="73"/>
    <n v="146"/>
  </r>
  <r>
    <x v="8"/>
    <x v="8"/>
    <x v="0"/>
    <n v="1"/>
    <n v="225"/>
    <n v="225"/>
  </r>
  <r>
    <x v="8"/>
    <x v="9"/>
    <x v="0"/>
    <n v="0"/>
    <n v="559"/>
    <n v="0"/>
  </r>
  <r>
    <x v="8"/>
    <x v="10"/>
    <x v="0"/>
    <n v="30"/>
    <n v="3199"/>
    <n v="95970"/>
  </r>
  <r>
    <x v="8"/>
    <x v="11"/>
    <x v="0"/>
    <n v="14"/>
    <n v="371"/>
    <n v="5194"/>
  </r>
  <r>
    <x v="8"/>
    <x v="12"/>
    <x v="0"/>
    <n v="11"/>
    <n v="2300"/>
    <n v="25300"/>
  </r>
  <r>
    <x v="8"/>
    <x v="13"/>
    <x v="0"/>
    <n v="8"/>
    <n v="499"/>
    <n v="3992"/>
  </r>
  <r>
    <x v="8"/>
    <x v="14"/>
    <x v="0"/>
    <n v="7"/>
    <n v="299"/>
    <n v="2093"/>
  </r>
  <r>
    <x v="8"/>
    <x v="15"/>
    <x v="0"/>
    <n v="2"/>
    <n v="901"/>
    <n v="1802"/>
  </r>
  <r>
    <x v="8"/>
    <x v="16"/>
    <x v="0"/>
    <n v="2"/>
    <n v="929"/>
    <n v="1858"/>
  </r>
  <r>
    <x v="8"/>
    <x v="17"/>
    <x v="0"/>
    <n v="2"/>
    <n v="1030"/>
    <n v="2060"/>
  </r>
  <r>
    <x v="8"/>
    <x v="18"/>
    <x v="0"/>
    <n v="1"/>
    <n v="1222"/>
    <n v="1222"/>
  </r>
  <r>
    <x v="8"/>
    <x v="19"/>
    <x v="0"/>
    <n v="0"/>
    <n v="649"/>
    <n v="0"/>
  </r>
  <r>
    <x v="8"/>
    <x v="20"/>
    <x v="0"/>
    <n v="31"/>
    <n v="1800"/>
    <n v="55800"/>
  </r>
  <r>
    <x v="8"/>
    <x v="21"/>
    <x v="0"/>
    <n v="14"/>
    <n v="345"/>
    <n v="4830"/>
  </r>
  <r>
    <x v="8"/>
    <x v="22"/>
    <x v="0"/>
    <n v="14"/>
    <n v="350"/>
    <n v="4900"/>
  </r>
  <r>
    <x v="8"/>
    <x v="23"/>
    <x v="0"/>
    <n v="10"/>
    <n v="1575"/>
    <n v="15750"/>
  </r>
  <r>
    <x v="8"/>
    <x v="24"/>
    <x v="0"/>
    <n v="6"/>
    <n v="1045"/>
    <n v="6270"/>
  </r>
  <r>
    <x v="8"/>
    <x v="25"/>
    <x v="0"/>
    <n v="3"/>
    <n v="1186"/>
    <n v="3558"/>
  </r>
  <r>
    <x v="8"/>
    <x v="26"/>
    <x v="0"/>
    <n v="2"/>
    <n v="374"/>
    <n v="748"/>
  </r>
  <r>
    <x v="8"/>
    <x v="27"/>
    <x v="0"/>
    <n v="0"/>
    <n v="1500"/>
    <n v="0"/>
  </r>
  <r>
    <x v="8"/>
    <x v="28"/>
    <x v="0"/>
    <n v="1"/>
    <n v="1800"/>
    <n v="1800"/>
  </r>
  <r>
    <x v="8"/>
    <x v="29"/>
    <x v="0"/>
    <n v="0"/>
    <n v="1477"/>
    <n v="0"/>
  </r>
  <r>
    <x v="8"/>
    <x v="0"/>
    <x v="1"/>
    <n v="20"/>
    <n v="210"/>
    <n v="4200"/>
  </r>
  <r>
    <x v="8"/>
    <x v="1"/>
    <x v="1"/>
    <n v="9"/>
    <n v="199"/>
    <n v="1791"/>
  </r>
  <r>
    <x v="8"/>
    <x v="2"/>
    <x v="1"/>
    <n v="7"/>
    <n v="322"/>
    <n v="2254"/>
  </r>
  <r>
    <x v="8"/>
    <x v="3"/>
    <x v="1"/>
    <n v="6"/>
    <n v="161"/>
    <n v="966"/>
  </r>
  <r>
    <x v="8"/>
    <x v="4"/>
    <x v="1"/>
    <n v="4"/>
    <n v="109"/>
    <n v="436"/>
  </r>
  <r>
    <x v="8"/>
    <x v="5"/>
    <x v="1"/>
    <n v="3"/>
    <n v="122"/>
    <n v="366"/>
  </r>
  <r>
    <x v="8"/>
    <x v="6"/>
    <x v="1"/>
    <n v="2"/>
    <n v="96"/>
    <n v="192"/>
  </r>
  <r>
    <x v="8"/>
    <x v="7"/>
    <x v="1"/>
    <n v="1"/>
    <n v="73"/>
    <n v="73"/>
  </r>
  <r>
    <x v="8"/>
    <x v="8"/>
    <x v="1"/>
    <n v="0"/>
    <n v="225"/>
    <n v="0"/>
  </r>
  <r>
    <x v="8"/>
    <x v="9"/>
    <x v="1"/>
    <n v="0"/>
    <n v="559"/>
    <n v="0"/>
  </r>
  <r>
    <x v="8"/>
    <x v="10"/>
    <x v="1"/>
    <n v="5"/>
    <n v="3199"/>
    <n v="15995"/>
  </r>
  <r>
    <x v="8"/>
    <x v="11"/>
    <x v="1"/>
    <n v="1"/>
    <n v="371"/>
    <n v="371"/>
  </r>
  <r>
    <x v="8"/>
    <x v="12"/>
    <x v="1"/>
    <n v="4"/>
    <n v="2300"/>
    <n v="9200"/>
  </r>
  <r>
    <x v="8"/>
    <x v="13"/>
    <x v="1"/>
    <n v="6"/>
    <n v="499"/>
    <n v="2994"/>
  </r>
  <r>
    <x v="8"/>
    <x v="14"/>
    <x v="1"/>
    <n v="0"/>
    <n v="299"/>
    <n v="0"/>
  </r>
  <r>
    <x v="8"/>
    <x v="15"/>
    <x v="1"/>
    <n v="3"/>
    <n v="901"/>
    <n v="2703"/>
  </r>
  <r>
    <x v="8"/>
    <x v="16"/>
    <x v="1"/>
    <n v="1"/>
    <n v="929"/>
    <n v="929"/>
  </r>
  <r>
    <x v="8"/>
    <x v="17"/>
    <x v="1"/>
    <n v="2"/>
    <n v="1030"/>
    <n v="2060"/>
  </r>
  <r>
    <x v="8"/>
    <x v="18"/>
    <x v="1"/>
    <n v="1"/>
    <n v="1222"/>
    <n v="1222"/>
  </r>
  <r>
    <x v="8"/>
    <x v="19"/>
    <x v="1"/>
    <n v="0"/>
    <n v="649"/>
    <n v="0"/>
  </r>
  <r>
    <x v="8"/>
    <x v="20"/>
    <x v="1"/>
    <n v="19"/>
    <n v="1800"/>
    <n v="34200"/>
  </r>
  <r>
    <x v="8"/>
    <x v="21"/>
    <x v="1"/>
    <n v="8"/>
    <n v="345"/>
    <n v="2760"/>
  </r>
  <r>
    <x v="8"/>
    <x v="22"/>
    <x v="1"/>
    <n v="7"/>
    <n v="350"/>
    <n v="2450"/>
  </r>
  <r>
    <x v="8"/>
    <x v="23"/>
    <x v="1"/>
    <n v="6"/>
    <n v="1575"/>
    <n v="9450"/>
  </r>
  <r>
    <x v="8"/>
    <x v="24"/>
    <x v="1"/>
    <n v="4"/>
    <n v="1045"/>
    <n v="4180"/>
  </r>
  <r>
    <x v="8"/>
    <x v="25"/>
    <x v="1"/>
    <n v="0"/>
    <n v="1186"/>
    <n v="0"/>
  </r>
  <r>
    <x v="8"/>
    <x v="26"/>
    <x v="1"/>
    <n v="1"/>
    <n v="374"/>
    <n v="374"/>
  </r>
  <r>
    <x v="8"/>
    <x v="27"/>
    <x v="1"/>
    <n v="1"/>
    <n v="1500"/>
    <n v="1500"/>
  </r>
  <r>
    <x v="8"/>
    <x v="28"/>
    <x v="1"/>
    <n v="0"/>
    <n v="1800"/>
    <n v="0"/>
  </r>
  <r>
    <x v="8"/>
    <x v="29"/>
    <x v="1"/>
    <n v="0"/>
    <n v="1477"/>
    <n v="0"/>
  </r>
  <r>
    <x v="8"/>
    <x v="0"/>
    <x v="2"/>
    <n v="14"/>
    <n v="210"/>
    <n v="2940"/>
  </r>
  <r>
    <x v="8"/>
    <x v="1"/>
    <x v="2"/>
    <n v="6"/>
    <n v="199"/>
    <n v="1194"/>
  </r>
  <r>
    <x v="8"/>
    <x v="2"/>
    <x v="2"/>
    <n v="6"/>
    <n v="322"/>
    <n v="1932"/>
  </r>
  <r>
    <x v="8"/>
    <x v="3"/>
    <x v="2"/>
    <n v="6"/>
    <n v="161"/>
    <n v="966"/>
  </r>
  <r>
    <x v="8"/>
    <x v="4"/>
    <x v="2"/>
    <n v="4"/>
    <n v="109"/>
    <n v="436"/>
  </r>
  <r>
    <x v="8"/>
    <x v="5"/>
    <x v="2"/>
    <n v="1"/>
    <n v="122"/>
    <n v="122"/>
  </r>
  <r>
    <x v="8"/>
    <x v="6"/>
    <x v="2"/>
    <n v="2"/>
    <n v="96"/>
    <n v="192"/>
  </r>
  <r>
    <x v="8"/>
    <x v="7"/>
    <x v="2"/>
    <n v="1"/>
    <n v="73"/>
    <n v="73"/>
  </r>
  <r>
    <x v="8"/>
    <x v="8"/>
    <x v="2"/>
    <n v="1"/>
    <n v="225"/>
    <n v="225"/>
  </r>
  <r>
    <x v="8"/>
    <x v="9"/>
    <x v="2"/>
    <n v="0"/>
    <n v="559"/>
    <n v="0"/>
  </r>
  <r>
    <x v="8"/>
    <x v="10"/>
    <x v="2"/>
    <n v="30"/>
    <n v="3199"/>
    <n v="95970"/>
  </r>
  <r>
    <x v="8"/>
    <x v="11"/>
    <x v="2"/>
    <n v="11"/>
    <n v="371"/>
    <n v="4081"/>
  </r>
  <r>
    <x v="8"/>
    <x v="12"/>
    <x v="2"/>
    <n v="6"/>
    <n v="2300"/>
    <n v="13800"/>
  </r>
  <r>
    <x v="8"/>
    <x v="13"/>
    <x v="2"/>
    <n v="3"/>
    <n v="499"/>
    <n v="1497"/>
  </r>
  <r>
    <x v="8"/>
    <x v="14"/>
    <x v="2"/>
    <n v="7"/>
    <n v="299"/>
    <n v="2093"/>
  </r>
  <r>
    <x v="8"/>
    <x v="15"/>
    <x v="2"/>
    <n v="1"/>
    <n v="901"/>
    <n v="901"/>
  </r>
  <r>
    <x v="8"/>
    <x v="16"/>
    <x v="2"/>
    <n v="3"/>
    <n v="929"/>
    <n v="2787"/>
  </r>
  <r>
    <x v="8"/>
    <x v="17"/>
    <x v="2"/>
    <n v="1"/>
    <n v="1030"/>
    <n v="1030"/>
  </r>
  <r>
    <x v="8"/>
    <x v="18"/>
    <x v="2"/>
    <n v="1"/>
    <n v="1222"/>
    <n v="1222"/>
  </r>
  <r>
    <x v="8"/>
    <x v="19"/>
    <x v="2"/>
    <n v="0"/>
    <n v="649"/>
    <n v="0"/>
  </r>
  <r>
    <x v="8"/>
    <x v="20"/>
    <x v="2"/>
    <n v="15"/>
    <n v="1800"/>
    <n v="27000"/>
  </r>
  <r>
    <x v="8"/>
    <x v="21"/>
    <x v="2"/>
    <n v="5"/>
    <n v="345"/>
    <n v="1725"/>
  </r>
  <r>
    <x v="8"/>
    <x v="22"/>
    <x v="2"/>
    <n v="4"/>
    <n v="350"/>
    <n v="1400"/>
  </r>
  <r>
    <x v="8"/>
    <x v="23"/>
    <x v="2"/>
    <n v="1"/>
    <n v="1575"/>
    <n v="1575"/>
  </r>
  <r>
    <x v="8"/>
    <x v="24"/>
    <x v="2"/>
    <n v="4"/>
    <n v="1045"/>
    <n v="4180"/>
  </r>
  <r>
    <x v="8"/>
    <x v="25"/>
    <x v="2"/>
    <n v="3"/>
    <n v="1186"/>
    <n v="3558"/>
  </r>
  <r>
    <x v="8"/>
    <x v="26"/>
    <x v="2"/>
    <n v="2"/>
    <n v="374"/>
    <n v="748"/>
  </r>
  <r>
    <x v="8"/>
    <x v="27"/>
    <x v="2"/>
    <n v="1"/>
    <n v="1500"/>
    <n v="1500"/>
  </r>
  <r>
    <x v="8"/>
    <x v="28"/>
    <x v="2"/>
    <n v="1"/>
    <n v="1800"/>
    <n v="1800"/>
  </r>
  <r>
    <x v="8"/>
    <x v="29"/>
    <x v="2"/>
    <n v="0"/>
    <n v="1477"/>
    <n v="0"/>
  </r>
  <r>
    <x v="9"/>
    <x v="0"/>
    <x v="0"/>
    <n v="33"/>
    <n v="210"/>
    <n v="6930"/>
  </r>
  <r>
    <x v="9"/>
    <x v="1"/>
    <x v="0"/>
    <n v="18"/>
    <n v="199"/>
    <n v="3582"/>
  </r>
  <r>
    <x v="9"/>
    <x v="2"/>
    <x v="0"/>
    <n v="11"/>
    <n v="322"/>
    <n v="3542"/>
  </r>
  <r>
    <x v="9"/>
    <x v="3"/>
    <x v="0"/>
    <n v="8"/>
    <n v="161"/>
    <n v="1288"/>
  </r>
  <r>
    <x v="9"/>
    <x v="4"/>
    <x v="0"/>
    <n v="7"/>
    <n v="109"/>
    <n v="763"/>
  </r>
  <r>
    <x v="9"/>
    <x v="5"/>
    <x v="0"/>
    <n v="4"/>
    <n v="122"/>
    <n v="488"/>
  </r>
  <r>
    <x v="9"/>
    <x v="6"/>
    <x v="0"/>
    <n v="3"/>
    <n v="96"/>
    <n v="288"/>
  </r>
  <r>
    <x v="9"/>
    <x v="7"/>
    <x v="0"/>
    <n v="0"/>
    <n v="73"/>
    <n v="0"/>
  </r>
  <r>
    <x v="9"/>
    <x v="8"/>
    <x v="0"/>
    <n v="0"/>
    <n v="225"/>
    <n v="0"/>
  </r>
  <r>
    <x v="9"/>
    <x v="9"/>
    <x v="0"/>
    <n v="0"/>
    <n v="559"/>
    <n v="0"/>
  </r>
  <r>
    <x v="9"/>
    <x v="10"/>
    <x v="0"/>
    <n v="28"/>
    <n v="3199"/>
    <n v="89572"/>
  </r>
  <r>
    <x v="9"/>
    <x v="11"/>
    <x v="0"/>
    <n v="14"/>
    <n v="371"/>
    <n v="5194"/>
  </r>
  <r>
    <x v="9"/>
    <x v="12"/>
    <x v="0"/>
    <n v="9"/>
    <n v="2300"/>
    <n v="20700"/>
  </r>
  <r>
    <x v="9"/>
    <x v="13"/>
    <x v="0"/>
    <n v="9"/>
    <n v="499"/>
    <n v="4491"/>
  </r>
  <r>
    <x v="9"/>
    <x v="14"/>
    <x v="0"/>
    <n v="5"/>
    <n v="299"/>
    <n v="1495"/>
  </r>
  <r>
    <x v="9"/>
    <x v="15"/>
    <x v="0"/>
    <n v="2"/>
    <n v="901"/>
    <n v="1802"/>
  </r>
  <r>
    <x v="9"/>
    <x v="16"/>
    <x v="0"/>
    <n v="3"/>
    <n v="929"/>
    <n v="2787"/>
  </r>
  <r>
    <x v="9"/>
    <x v="17"/>
    <x v="0"/>
    <n v="0"/>
    <n v="1030"/>
    <n v="0"/>
  </r>
  <r>
    <x v="9"/>
    <x v="18"/>
    <x v="0"/>
    <n v="0"/>
    <n v="1222"/>
    <n v="0"/>
  </r>
  <r>
    <x v="9"/>
    <x v="19"/>
    <x v="0"/>
    <n v="1"/>
    <n v="649"/>
    <n v="649"/>
  </r>
  <r>
    <x v="9"/>
    <x v="20"/>
    <x v="0"/>
    <n v="36"/>
    <n v="1800"/>
    <n v="64800"/>
  </r>
  <r>
    <x v="9"/>
    <x v="21"/>
    <x v="0"/>
    <n v="17"/>
    <n v="345"/>
    <n v="5865"/>
  </r>
  <r>
    <x v="9"/>
    <x v="22"/>
    <x v="0"/>
    <n v="12"/>
    <n v="350"/>
    <n v="4200"/>
  </r>
  <r>
    <x v="9"/>
    <x v="23"/>
    <x v="0"/>
    <n v="7"/>
    <n v="1575"/>
    <n v="11025"/>
  </r>
  <r>
    <x v="9"/>
    <x v="24"/>
    <x v="0"/>
    <n v="6"/>
    <n v="1045"/>
    <n v="6270"/>
  </r>
  <r>
    <x v="9"/>
    <x v="25"/>
    <x v="0"/>
    <n v="3"/>
    <n v="1186"/>
    <n v="3558"/>
  </r>
  <r>
    <x v="9"/>
    <x v="26"/>
    <x v="0"/>
    <n v="2"/>
    <n v="374"/>
    <n v="748"/>
  </r>
  <r>
    <x v="9"/>
    <x v="27"/>
    <x v="0"/>
    <n v="0"/>
    <n v="1500"/>
    <n v="0"/>
  </r>
  <r>
    <x v="9"/>
    <x v="28"/>
    <x v="0"/>
    <n v="2"/>
    <n v="1800"/>
    <n v="3600"/>
  </r>
  <r>
    <x v="9"/>
    <x v="29"/>
    <x v="0"/>
    <n v="2"/>
    <n v="1477"/>
    <n v="2954"/>
  </r>
  <r>
    <x v="9"/>
    <x v="0"/>
    <x v="1"/>
    <n v="21"/>
    <n v="210"/>
    <n v="4410"/>
  </r>
  <r>
    <x v="9"/>
    <x v="1"/>
    <x v="1"/>
    <n v="9"/>
    <n v="199"/>
    <n v="1791"/>
  </r>
  <r>
    <x v="9"/>
    <x v="2"/>
    <x v="1"/>
    <n v="9"/>
    <n v="322"/>
    <n v="2898"/>
  </r>
  <r>
    <x v="9"/>
    <x v="3"/>
    <x v="1"/>
    <n v="5"/>
    <n v="161"/>
    <n v="805"/>
  </r>
  <r>
    <x v="9"/>
    <x v="4"/>
    <x v="1"/>
    <n v="4"/>
    <n v="109"/>
    <n v="436"/>
  </r>
  <r>
    <x v="9"/>
    <x v="5"/>
    <x v="1"/>
    <n v="3"/>
    <n v="122"/>
    <n v="366"/>
  </r>
  <r>
    <x v="9"/>
    <x v="6"/>
    <x v="1"/>
    <n v="2"/>
    <n v="96"/>
    <n v="192"/>
  </r>
  <r>
    <x v="9"/>
    <x v="7"/>
    <x v="1"/>
    <n v="0"/>
    <n v="73"/>
    <n v="0"/>
  </r>
  <r>
    <x v="9"/>
    <x v="8"/>
    <x v="1"/>
    <n v="0"/>
    <n v="225"/>
    <n v="0"/>
  </r>
  <r>
    <x v="9"/>
    <x v="9"/>
    <x v="1"/>
    <n v="0"/>
    <n v="559"/>
    <n v="0"/>
  </r>
  <r>
    <x v="9"/>
    <x v="10"/>
    <x v="1"/>
    <n v="13"/>
    <n v="3199"/>
    <n v="41587"/>
  </r>
  <r>
    <x v="9"/>
    <x v="11"/>
    <x v="1"/>
    <n v="3"/>
    <n v="371"/>
    <n v="1113"/>
  </r>
  <r>
    <x v="9"/>
    <x v="12"/>
    <x v="1"/>
    <n v="1"/>
    <n v="2300"/>
    <n v="2300"/>
  </r>
  <r>
    <x v="9"/>
    <x v="13"/>
    <x v="1"/>
    <n v="6"/>
    <n v="499"/>
    <n v="2994"/>
  </r>
  <r>
    <x v="9"/>
    <x v="14"/>
    <x v="1"/>
    <n v="3"/>
    <n v="299"/>
    <n v="897"/>
  </r>
  <r>
    <x v="9"/>
    <x v="15"/>
    <x v="1"/>
    <n v="1"/>
    <n v="901"/>
    <n v="901"/>
  </r>
  <r>
    <x v="9"/>
    <x v="16"/>
    <x v="1"/>
    <n v="3"/>
    <n v="929"/>
    <n v="2787"/>
  </r>
  <r>
    <x v="9"/>
    <x v="17"/>
    <x v="1"/>
    <n v="0"/>
    <n v="1030"/>
    <n v="0"/>
  </r>
  <r>
    <x v="9"/>
    <x v="18"/>
    <x v="1"/>
    <n v="0"/>
    <n v="1222"/>
    <n v="0"/>
  </r>
  <r>
    <x v="9"/>
    <x v="19"/>
    <x v="1"/>
    <n v="2"/>
    <n v="649"/>
    <n v="1298"/>
  </r>
  <r>
    <x v="9"/>
    <x v="20"/>
    <x v="1"/>
    <n v="24"/>
    <n v="1800"/>
    <n v="43200"/>
  </r>
  <r>
    <x v="9"/>
    <x v="21"/>
    <x v="1"/>
    <n v="11"/>
    <n v="345"/>
    <n v="3795"/>
  </r>
  <r>
    <x v="9"/>
    <x v="22"/>
    <x v="1"/>
    <n v="7"/>
    <n v="350"/>
    <n v="2450"/>
  </r>
  <r>
    <x v="9"/>
    <x v="23"/>
    <x v="1"/>
    <n v="5"/>
    <n v="1575"/>
    <n v="7875"/>
  </r>
  <r>
    <x v="9"/>
    <x v="24"/>
    <x v="1"/>
    <n v="5"/>
    <n v="1045"/>
    <n v="5225"/>
  </r>
  <r>
    <x v="9"/>
    <x v="25"/>
    <x v="1"/>
    <n v="0"/>
    <n v="1186"/>
    <n v="0"/>
  </r>
  <r>
    <x v="9"/>
    <x v="26"/>
    <x v="1"/>
    <n v="1"/>
    <n v="374"/>
    <n v="374"/>
  </r>
  <r>
    <x v="9"/>
    <x v="27"/>
    <x v="1"/>
    <n v="0"/>
    <n v="1500"/>
    <n v="0"/>
  </r>
  <r>
    <x v="9"/>
    <x v="28"/>
    <x v="1"/>
    <n v="0"/>
    <n v="1800"/>
    <n v="0"/>
  </r>
  <r>
    <x v="9"/>
    <x v="29"/>
    <x v="1"/>
    <n v="2"/>
    <n v="1477"/>
    <n v="2954"/>
  </r>
  <r>
    <x v="9"/>
    <x v="0"/>
    <x v="2"/>
    <n v="2"/>
    <n v="210"/>
    <n v="420"/>
  </r>
  <r>
    <x v="9"/>
    <x v="1"/>
    <x v="2"/>
    <n v="5"/>
    <n v="199"/>
    <n v="995"/>
  </r>
  <r>
    <x v="9"/>
    <x v="2"/>
    <x v="2"/>
    <n v="3"/>
    <n v="322"/>
    <n v="966"/>
  </r>
  <r>
    <x v="9"/>
    <x v="3"/>
    <x v="2"/>
    <n v="4"/>
    <n v="161"/>
    <n v="644"/>
  </r>
  <r>
    <x v="9"/>
    <x v="4"/>
    <x v="2"/>
    <n v="3"/>
    <n v="109"/>
    <n v="327"/>
  </r>
  <r>
    <x v="9"/>
    <x v="5"/>
    <x v="2"/>
    <n v="3"/>
    <n v="122"/>
    <n v="366"/>
  </r>
  <r>
    <x v="9"/>
    <x v="6"/>
    <x v="2"/>
    <n v="1"/>
    <n v="96"/>
    <n v="96"/>
  </r>
  <r>
    <x v="9"/>
    <x v="7"/>
    <x v="2"/>
    <n v="1"/>
    <n v="73"/>
    <n v="73"/>
  </r>
  <r>
    <x v="9"/>
    <x v="8"/>
    <x v="2"/>
    <n v="2"/>
    <n v="225"/>
    <n v="450"/>
  </r>
  <r>
    <x v="9"/>
    <x v="9"/>
    <x v="2"/>
    <n v="1"/>
    <n v="559"/>
    <n v="559"/>
  </r>
  <r>
    <x v="9"/>
    <x v="10"/>
    <x v="2"/>
    <n v="23"/>
    <n v="3199"/>
    <n v="73577"/>
  </r>
  <r>
    <x v="9"/>
    <x v="11"/>
    <x v="2"/>
    <n v="10"/>
    <n v="371"/>
    <n v="3710"/>
  </r>
  <r>
    <x v="9"/>
    <x v="12"/>
    <x v="2"/>
    <n v="11"/>
    <n v="2300"/>
    <n v="25300"/>
  </r>
  <r>
    <x v="9"/>
    <x v="13"/>
    <x v="2"/>
    <n v="3"/>
    <n v="499"/>
    <n v="1497"/>
  </r>
  <r>
    <x v="9"/>
    <x v="14"/>
    <x v="2"/>
    <n v="2"/>
    <n v="299"/>
    <n v="598"/>
  </r>
  <r>
    <x v="9"/>
    <x v="15"/>
    <x v="2"/>
    <n v="2"/>
    <n v="901"/>
    <n v="1802"/>
  </r>
  <r>
    <x v="9"/>
    <x v="16"/>
    <x v="2"/>
    <n v="2"/>
    <n v="929"/>
    <n v="1858"/>
  </r>
  <r>
    <x v="9"/>
    <x v="17"/>
    <x v="2"/>
    <n v="2"/>
    <n v="1030"/>
    <n v="2060"/>
  </r>
  <r>
    <x v="9"/>
    <x v="18"/>
    <x v="2"/>
    <n v="1"/>
    <n v="1222"/>
    <n v="1222"/>
  </r>
  <r>
    <x v="9"/>
    <x v="19"/>
    <x v="2"/>
    <n v="1"/>
    <n v="649"/>
    <n v="649"/>
  </r>
  <r>
    <x v="9"/>
    <x v="20"/>
    <x v="2"/>
    <n v="4"/>
    <n v="1800"/>
    <n v="7200"/>
  </r>
  <r>
    <x v="9"/>
    <x v="21"/>
    <x v="2"/>
    <n v="3"/>
    <n v="345"/>
    <n v="1035"/>
  </r>
  <r>
    <x v="9"/>
    <x v="22"/>
    <x v="2"/>
    <n v="4"/>
    <n v="350"/>
    <n v="1400"/>
  </r>
  <r>
    <x v="9"/>
    <x v="23"/>
    <x v="2"/>
    <n v="3"/>
    <n v="1575"/>
    <n v="4725"/>
  </r>
  <r>
    <x v="9"/>
    <x v="24"/>
    <x v="2"/>
    <n v="4"/>
    <n v="1045"/>
    <n v="4180"/>
  </r>
  <r>
    <x v="9"/>
    <x v="25"/>
    <x v="2"/>
    <n v="4"/>
    <n v="1186"/>
    <n v="4744"/>
  </r>
  <r>
    <x v="9"/>
    <x v="26"/>
    <x v="2"/>
    <n v="4"/>
    <n v="374"/>
    <n v="1496"/>
  </r>
  <r>
    <x v="9"/>
    <x v="27"/>
    <x v="2"/>
    <n v="0"/>
    <n v="1500"/>
    <n v="0"/>
  </r>
  <r>
    <x v="9"/>
    <x v="28"/>
    <x v="2"/>
    <n v="2"/>
    <n v="1800"/>
    <n v="3600"/>
  </r>
  <r>
    <x v="9"/>
    <x v="29"/>
    <x v="2"/>
    <n v="1"/>
    <n v="1477"/>
    <n v="1477"/>
  </r>
  <r>
    <x v="10"/>
    <x v="0"/>
    <x v="0"/>
    <n v="25"/>
    <n v="210"/>
    <n v="5250"/>
  </r>
  <r>
    <x v="10"/>
    <x v="1"/>
    <x v="0"/>
    <n v="16"/>
    <n v="199"/>
    <n v="3184"/>
  </r>
  <r>
    <x v="10"/>
    <x v="2"/>
    <x v="0"/>
    <n v="11"/>
    <n v="322"/>
    <n v="3542"/>
  </r>
  <r>
    <x v="10"/>
    <x v="3"/>
    <x v="0"/>
    <n v="9"/>
    <n v="161"/>
    <n v="1449"/>
  </r>
  <r>
    <x v="10"/>
    <x v="4"/>
    <x v="0"/>
    <n v="5"/>
    <n v="109"/>
    <n v="545"/>
  </r>
  <r>
    <x v="10"/>
    <x v="5"/>
    <x v="0"/>
    <n v="5"/>
    <n v="122"/>
    <n v="610"/>
  </r>
  <r>
    <x v="10"/>
    <x v="6"/>
    <x v="0"/>
    <n v="5"/>
    <n v="96"/>
    <n v="480"/>
  </r>
  <r>
    <x v="10"/>
    <x v="7"/>
    <x v="0"/>
    <n v="0"/>
    <n v="73"/>
    <n v="0"/>
  </r>
  <r>
    <x v="10"/>
    <x v="8"/>
    <x v="0"/>
    <n v="1"/>
    <n v="225"/>
    <n v="225"/>
  </r>
  <r>
    <x v="10"/>
    <x v="9"/>
    <x v="0"/>
    <n v="0"/>
    <n v="559"/>
    <n v="0"/>
  </r>
  <r>
    <x v="10"/>
    <x v="10"/>
    <x v="0"/>
    <n v="27"/>
    <n v="3199"/>
    <n v="86373"/>
  </r>
  <r>
    <x v="10"/>
    <x v="11"/>
    <x v="0"/>
    <n v="15"/>
    <n v="371"/>
    <n v="5565"/>
  </r>
  <r>
    <x v="10"/>
    <x v="12"/>
    <x v="0"/>
    <n v="13"/>
    <n v="2300"/>
    <n v="29900"/>
  </r>
  <r>
    <x v="10"/>
    <x v="13"/>
    <x v="0"/>
    <n v="10"/>
    <n v="499"/>
    <n v="4990"/>
  </r>
  <r>
    <x v="10"/>
    <x v="14"/>
    <x v="0"/>
    <n v="5"/>
    <n v="299"/>
    <n v="1495"/>
  </r>
  <r>
    <x v="10"/>
    <x v="15"/>
    <x v="0"/>
    <n v="2"/>
    <n v="901"/>
    <n v="1802"/>
  </r>
  <r>
    <x v="10"/>
    <x v="16"/>
    <x v="0"/>
    <n v="5"/>
    <n v="929"/>
    <n v="4645"/>
  </r>
  <r>
    <x v="10"/>
    <x v="17"/>
    <x v="0"/>
    <n v="0"/>
    <n v="1030"/>
    <n v="0"/>
  </r>
  <r>
    <x v="10"/>
    <x v="18"/>
    <x v="0"/>
    <n v="1"/>
    <n v="1222"/>
    <n v="1222"/>
  </r>
  <r>
    <x v="10"/>
    <x v="19"/>
    <x v="0"/>
    <n v="0"/>
    <n v="649"/>
    <n v="0"/>
  </r>
  <r>
    <x v="10"/>
    <x v="20"/>
    <x v="0"/>
    <n v="31"/>
    <n v="1800"/>
    <n v="55800"/>
  </r>
  <r>
    <x v="10"/>
    <x v="21"/>
    <x v="0"/>
    <n v="11"/>
    <n v="345"/>
    <n v="3795"/>
  </r>
  <r>
    <x v="10"/>
    <x v="22"/>
    <x v="0"/>
    <n v="10"/>
    <n v="350"/>
    <n v="3500"/>
  </r>
  <r>
    <x v="10"/>
    <x v="23"/>
    <x v="0"/>
    <n v="7"/>
    <n v="1575"/>
    <n v="11025"/>
  </r>
  <r>
    <x v="10"/>
    <x v="24"/>
    <x v="0"/>
    <n v="7"/>
    <n v="1045"/>
    <n v="7315"/>
  </r>
  <r>
    <x v="10"/>
    <x v="25"/>
    <x v="0"/>
    <n v="5"/>
    <n v="1186"/>
    <n v="5930"/>
  </r>
  <r>
    <x v="10"/>
    <x v="26"/>
    <x v="0"/>
    <n v="2"/>
    <n v="374"/>
    <n v="748"/>
  </r>
  <r>
    <x v="10"/>
    <x v="27"/>
    <x v="0"/>
    <n v="1"/>
    <n v="1500"/>
    <n v="1500"/>
  </r>
  <r>
    <x v="10"/>
    <x v="28"/>
    <x v="0"/>
    <n v="0"/>
    <n v="1800"/>
    <n v="0"/>
  </r>
  <r>
    <x v="10"/>
    <x v="29"/>
    <x v="0"/>
    <n v="0"/>
    <n v="1477"/>
    <n v="0"/>
  </r>
  <r>
    <x v="10"/>
    <x v="0"/>
    <x v="1"/>
    <n v="23"/>
    <n v="210"/>
    <n v="4830"/>
  </r>
  <r>
    <x v="10"/>
    <x v="1"/>
    <x v="1"/>
    <n v="13"/>
    <n v="199"/>
    <n v="2587"/>
  </r>
  <r>
    <x v="10"/>
    <x v="2"/>
    <x v="1"/>
    <n v="8"/>
    <n v="322"/>
    <n v="2576"/>
  </r>
  <r>
    <x v="10"/>
    <x v="3"/>
    <x v="1"/>
    <n v="5"/>
    <n v="161"/>
    <n v="805"/>
  </r>
  <r>
    <x v="10"/>
    <x v="4"/>
    <x v="1"/>
    <n v="4"/>
    <n v="109"/>
    <n v="436"/>
  </r>
  <r>
    <x v="10"/>
    <x v="5"/>
    <x v="1"/>
    <n v="3"/>
    <n v="122"/>
    <n v="366"/>
  </r>
  <r>
    <x v="10"/>
    <x v="6"/>
    <x v="1"/>
    <n v="3"/>
    <n v="96"/>
    <n v="288"/>
  </r>
  <r>
    <x v="10"/>
    <x v="7"/>
    <x v="1"/>
    <n v="0"/>
    <n v="73"/>
    <n v="0"/>
  </r>
  <r>
    <x v="10"/>
    <x v="8"/>
    <x v="1"/>
    <n v="1"/>
    <n v="225"/>
    <n v="225"/>
  </r>
  <r>
    <x v="10"/>
    <x v="9"/>
    <x v="1"/>
    <n v="0"/>
    <n v="559"/>
    <n v="0"/>
  </r>
  <r>
    <x v="10"/>
    <x v="10"/>
    <x v="1"/>
    <n v="9"/>
    <n v="3199"/>
    <n v="28791"/>
  </r>
  <r>
    <x v="10"/>
    <x v="11"/>
    <x v="1"/>
    <n v="13"/>
    <n v="371"/>
    <n v="4823"/>
  </r>
  <r>
    <x v="10"/>
    <x v="12"/>
    <x v="1"/>
    <n v="1"/>
    <n v="2300"/>
    <n v="2300"/>
  </r>
  <r>
    <x v="10"/>
    <x v="13"/>
    <x v="1"/>
    <n v="4"/>
    <n v="499"/>
    <n v="1996"/>
  </r>
  <r>
    <x v="10"/>
    <x v="14"/>
    <x v="1"/>
    <n v="3"/>
    <n v="299"/>
    <n v="897"/>
  </r>
  <r>
    <x v="10"/>
    <x v="15"/>
    <x v="1"/>
    <n v="3"/>
    <n v="901"/>
    <n v="2703"/>
  </r>
  <r>
    <x v="10"/>
    <x v="16"/>
    <x v="1"/>
    <n v="2"/>
    <n v="929"/>
    <n v="1858"/>
  </r>
  <r>
    <x v="10"/>
    <x v="17"/>
    <x v="1"/>
    <n v="0"/>
    <n v="1030"/>
    <n v="0"/>
  </r>
  <r>
    <x v="10"/>
    <x v="18"/>
    <x v="1"/>
    <n v="0"/>
    <n v="1222"/>
    <n v="0"/>
  </r>
  <r>
    <x v="10"/>
    <x v="19"/>
    <x v="1"/>
    <n v="0"/>
    <n v="649"/>
    <n v="0"/>
  </r>
  <r>
    <x v="10"/>
    <x v="20"/>
    <x v="1"/>
    <n v="20"/>
    <n v="1800"/>
    <n v="36000"/>
  </r>
  <r>
    <x v="10"/>
    <x v="21"/>
    <x v="1"/>
    <n v="8"/>
    <n v="345"/>
    <n v="2760"/>
  </r>
  <r>
    <x v="10"/>
    <x v="22"/>
    <x v="1"/>
    <n v="6"/>
    <n v="350"/>
    <n v="2100"/>
  </r>
  <r>
    <x v="10"/>
    <x v="23"/>
    <x v="1"/>
    <n v="5"/>
    <n v="1575"/>
    <n v="7875"/>
  </r>
  <r>
    <x v="10"/>
    <x v="24"/>
    <x v="1"/>
    <n v="2"/>
    <n v="1045"/>
    <n v="2090"/>
  </r>
  <r>
    <x v="10"/>
    <x v="25"/>
    <x v="1"/>
    <n v="0"/>
    <n v="1186"/>
    <n v="0"/>
  </r>
  <r>
    <x v="10"/>
    <x v="26"/>
    <x v="1"/>
    <n v="0"/>
    <n v="374"/>
    <n v="0"/>
  </r>
  <r>
    <x v="10"/>
    <x v="27"/>
    <x v="1"/>
    <n v="0"/>
    <n v="1500"/>
    <n v="0"/>
  </r>
  <r>
    <x v="10"/>
    <x v="28"/>
    <x v="1"/>
    <n v="0"/>
    <n v="1800"/>
    <n v="0"/>
  </r>
  <r>
    <x v="10"/>
    <x v="29"/>
    <x v="1"/>
    <n v="0"/>
    <n v="1477"/>
    <n v="0"/>
  </r>
  <r>
    <x v="10"/>
    <x v="0"/>
    <x v="2"/>
    <n v="11"/>
    <n v="210"/>
    <n v="2310"/>
  </r>
  <r>
    <x v="10"/>
    <x v="1"/>
    <x v="2"/>
    <n v="6"/>
    <n v="199"/>
    <n v="1194"/>
  </r>
  <r>
    <x v="10"/>
    <x v="2"/>
    <x v="2"/>
    <n v="5"/>
    <n v="322"/>
    <n v="1610"/>
  </r>
  <r>
    <x v="10"/>
    <x v="3"/>
    <x v="2"/>
    <n v="3"/>
    <n v="161"/>
    <n v="483"/>
  </r>
  <r>
    <x v="10"/>
    <x v="4"/>
    <x v="2"/>
    <n v="3"/>
    <n v="109"/>
    <n v="327"/>
  </r>
  <r>
    <x v="10"/>
    <x v="5"/>
    <x v="2"/>
    <n v="2"/>
    <n v="122"/>
    <n v="244"/>
  </r>
  <r>
    <x v="10"/>
    <x v="6"/>
    <x v="2"/>
    <n v="2"/>
    <n v="96"/>
    <n v="192"/>
  </r>
  <r>
    <x v="10"/>
    <x v="7"/>
    <x v="2"/>
    <n v="0"/>
    <n v="73"/>
    <n v="0"/>
  </r>
  <r>
    <x v="10"/>
    <x v="8"/>
    <x v="2"/>
    <n v="2"/>
    <n v="225"/>
    <n v="450"/>
  </r>
  <r>
    <x v="10"/>
    <x v="9"/>
    <x v="2"/>
    <n v="2"/>
    <n v="559"/>
    <n v="1118"/>
  </r>
  <r>
    <x v="10"/>
    <x v="10"/>
    <x v="2"/>
    <n v="21"/>
    <n v="3199"/>
    <n v="67179"/>
  </r>
  <r>
    <x v="10"/>
    <x v="11"/>
    <x v="2"/>
    <n v="1"/>
    <n v="371"/>
    <n v="371"/>
  </r>
  <r>
    <x v="10"/>
    <x v="12"/>
    <x v="2"/>
    <n v="10"/>
    <n v="2300"/>
    <n v="23000"/>
  </r>
  <r>
    <x v="10"/>
    <x v="13"/>
    <x v="2"/>
    <n v="5"/>
    <n v="499"/>
    <n v="2495"/>
  </r>
  <r>
    <x v="10"/>
    <x v="14"/>
    <x v="2"/>
    <n v="3"/>
    <n v="299"/>
    <n v="897"/>
  </r>
  <r>
    <x v="10"/>
    <x v="15"/>
    <x v="2"/>
    <n v="1"/>
    <n v="901"/>
    <n v="901"/>
  </r>
  <r>
    <x v="10"/>
    <x v="16"/>
    <x v="2"/>
    <n v="3"/>
    <n v="929"/>
    <n v="2787"/>
  </r>
  <r>
    <x v="10"/>
    <x v="17"/>
    <x v="2"/>
    <n v="1"/>
    <n v="1030"/>
    <n v="1030"/>
  </r>
  <r>
    <x v="10"/>
    <x v="18"/>
    <x v="2"/>
    <n v="1"/>
    <n v="1222"/>
    <n v="1222"/>
  </r>
  <r>
    <x v="10"/>
    <x v="19"/>
    <x v="2"/>
    <n v="2"/>
    <n v="649"/>
    <n v="1298"/>
  </r>
  <r>
    <x v="10"/>
    <x v="20"/>
    <x v="2"/>
    <n v="12"/>
    <n v="1800"/>
    <n v="21600"/>
  </r>
  <r>
    <x v="10"/>
    <x v="21"/>
    <x v="2"/>
    <n v="8"/>
    <n v="345"/>
    <n v="2760"/>
  </r>
  <r>
    <x v="10"/>
    <x v="22"/>
    <x v="2"/>
    <n v="4"/>
    <n v="350"/>
    <n v="1400"/>
  </r>
  <r>
    <x v="10"/>
    <x v="23"/>
    <x v="2"/>
    <n v="3"/>
    <n v="1575"/>
    <n v="4725"/>
  </r>
  <r>
    <x v="10"/>
    <x v="24"/>
    <x v="2"/>
    <n v="5"/>
    <n v="1045"/>
    <n v="5225"/>
  </r>
  <r>
    <x v="10"/>
    <x v="25"/>
    <x v="2"/>
    <n v="5"/>
    <n v="1186"/>
    <n v="5930"/>
  </r>
  <r>
    <x v="10"/>
    <x v="26"/>
    <x v="2"/>
    <n v="3"/>
    <n v="374"/>
    <n v="1122"/>
  </r>
  <r>
    <x v="10"/>
    <x v="27"/>
    <x v="2"/>
    <n v="2"/>
    <n v="1500"/>
    <n v="3000"/>
  </r>
  <r>
    <x v="10"/>
    <x v="28"/>
    <x v="2"/>
    <n v="2"/>
    <n v="1800"/>
    <n v="3600"/>
  </r>
  <r>
    <x v="10"/>
    <x v="29"/>
    <x v="2"/>
    <n v="0"/>
    <n v="1477"/>
    <n v="0"/>
  </r>
  <r>
    <x v="11"/>
    <x v="0"/>
    <x v="0"/>
    <n v="35"/>
    <n v="210"/>
    <n v="7350"/>
  </r>
  <r>
    <x v="11"/>
    <x v="1"/>
    <x v="0"/>
    <n v="12"/>
    <n v="199"/>
    <n v="2388"/>
  </r>
  <r>
    <x v="11"/>
    <x v="2"/>
    <x v="0"/>
    <n v="10"/>
    <n v="322"/>
    <n v="3220"/>
  </r>
  <r>
    <x v="11"/>
    <x v="3"/>
    <x v="0"/>
    <n v="8"/>
    <n v="161"/>
    <n v="1288"/>
  </r>
  <r>
    <x v="11"/>
    <x v="4"/>
    <x v="0"/>
    <n v="4"/>
    <n v="109"/>
    <n v="436"/>
  </r>
  <r>
    <x v="11"/>
    <x v="5"/>
    <x v="0"/>
    <n v="2"/>
    <n v="122"/>
    <n v="244"/>
  </r>
  <r>
    <x v="11"/>
    <x v="6"/>
    <x v="0"/>
    <n v="5"/>
    <n v="96"/>
    <n v="480"/>
  </r>
  <r>
    <x v="11"/>
    <x v="7"/>
    <x v="0"/>
    <n v="0"/>
    <n v="73"/>
    <n v="0"/>
  </r>
  <r>
    <x v="11"/>
    <x v="8"/>
    <x v="0"/>
    <n v="2"/>
    <n v="225"/>
    <n v="450"/>
  </r>
  <r>
    <x v="11"/>
    <x v="9"/>
    <x v="0"/>
    <n v="1"/>
    <n v="559"/>
    <n v="559"/>
  </r>
  <r>
    <x v="11"/>
    <x v="10"/>
    <x v="0"/>
    <n v="25"/>
    <n v="3199"/>
    <n v="79975"/>
  </r>
  <r>
    <x v="11"/>
    <x v="11"/>
    <x v="0"/>
    <n v="10"/>
    <n v="371"/>
    <n v="3710"/>
  </r>
  <r>
    <x v="11"/>
    <x v="12"/>
    <x v="0"/>
    <n v="9"/>
    <n v="2300"/>
    <n v="20700"/>
  </r>
  <r>
    <x v="11"/>
    <x v="13"/>
    <x v="0"/>
    <n v="9"/>
    <n v="499"/>
    <n v="4491"/>
  </r>
  <r>
    <x v="11"/>
    <x v="14"/>
    <x v="0"/>
    <n v="5"/>
    <n v="299"/>
    <n v="1495"/>
  </r>
  <r>
    <x v="11"/>
    <x v="15"/>
    <x v="0"/>
    <n v="4"/>
    <n v="901"/>
    <n v="3604"/>
  </r>
  <r>
    <x v="11"/>
    <x v="16"/>
    <x v="0"/>
    <n v="2"/>
    <n v="929"/>
    <n v="1858"/>
  </r>
  <r>
    <x v="11"/>
    <x v="17"/>
    <x v="0"/>
    <n v="1"/>
    <n v="1030"/>
    <n v="1030"/>
  </r>
  <r>
    <x v="11"/>
    <x v="18"/>
    <x v="0"/>
    <n v="1"/>
    <n v="1222"/>
    <n v="1222"/>
  </r>
  <r>
    <x v="11"/>
    <x v="19"/>
    <x v="0"/>
    <n v="2"/>
    <n v="649"/>
    <n v="1298"/>
  </r>
  <r>
    <x v="11"/>
    <x v="20"/>
    <x v="0"/>
    <n v="25"/>
    <n v="1800"/>
    <n v="45000"/>
  </r>
  <r>
    <x v="11"/>
    <x v="21"/>
    <x v="0"/>
    <n v="12"/>
    <n v="345"/>
    <n v="4140"/>
  </r>
  <r>
    <x v="11"/>
    <x v="22"/>
    <x v="0"/>
    <n v="12"/>
    <n v="350"/>
    <n v="4200"/>
  </r>
  <r>
    <x v="11"/>
    <x v="23"/>
    <x v="0"/>
    <n v="8"/>
    <n v="1575"/>
    <n v="12600"/>
  </r>
  <r>
    <x v="11"/>
    <x v="24"/>
    <x v="0"/>
    <n v="6"/>
    <n v="1045"/>
    <n v="6270"/>
  </r>
  <r>
    <x v="11"/>
    <x v="25"/>
    <x v="0"/>
    <n v="4"/>
    <n v="1186"/>
    <n v="4744"/>
  </r>
  <r>
    <x v="11"/>
    <x v="26"/>
    <x v="0"/>
    <n v="4"/>
    <n v="374"/>
    <n v="1496"/>
  </r>
  <r>
    <x v="11"/>
    <x v="27"/>
    <x v="0"/>
    <n v="0"/>
    <n v="1500"/>
    <n v="0"/>
  </r>
  <r>
    <x v="11"/>
    <x v="28"/>
    <x v="0"/>
    <n v="0"/>
    <n v="1800"/>
    <n v="0"/>
  </r>
  <r>
    <x v="11"/>
    <x v="29"/>
    <x v="0"/>
    <n v="0"/>
    <n v="1477"/>
    <n v="0"/>
  </r>
  <r>
    <x v="11"/>
    <x v="0"/>
    <x v="1"/>
    <n v="23"/>
    <n v="210"/>
    <n v="4830"/>
  </r>
  <r>
    <x v="11"/>
    <x v="1"/>
    <x v="1"/>
    <n v="10"/>
    <n v="199"/>
    <n v="1990"/>
  </r>
  <r>
    <x v="11"/>
    <x v="2"/>
    <x v="1"/>
    <n v="8"/>
    <n v="322"/>
    <n v="2576"/>
  </r>
  <r>
    <x v="11"/>
    <x v="3"/>
    <x v="1"/>
    <n v="5"/>
    <n v="161"/>
    <n v="805"/>
  </r>
  <r>
    <x v="11"/>
    <x v="4"/>
    <x v="1"/>
    <n v="3"/>
    <n v="109"/>
    <n v="327"/>
  </r>
  <r>
    <x v="11"/>
    <x v="5"/>
    <x v="1"/>
    <n v="1"/>
    <n v="122"/>
    <n v="122"/>
  </r>
  <r>
    <x v="11"/>
    <x v="6"/>
    <x v="1"/>
    <n v="3"/>
    <n v="96"/>
    <n v="288"/>
  </r>
  <r>
    <x v="11"/>
    <x v="7"/>
    <x v="1"/>
    <n v="0"/>
    <n v="73"/>
    <n v="0"/>
  </r>
  <r>
    <x v="11"/>
    <x v="8"/>
    <x v="1"/>
    <n v="1"/>
    <n v="225"/>
    <n v="225"/>
  </r>
  <r>
    <x v="11"/>
    <x v="9"/>
    <x v="1"/>
    <n v="1"/>
    <n v="559"/>
    <n v="559"/>
  </r>
  <r>
    <x v="11"/>
    <x v="10"/>
    <x v="1"/>
    <n v="23"/>
    <n v="3199"/>
    <n v="73577"/>
  </r>
  <r>
    <x v="11"/>
    <x v="11"/>
    <x v="1"/>
    <n v="10"/>
    <n v="371"/>
    <n v="3710"/>
  </r>
  <r>
    <x v="11"/>
    <x v="12"/>
    <x v="1"/>
    <n v="9"/>
    <n v="2300"/>
    <n v="20700"/>
  </r>
  <r>
    <x v="11"/>
    <x v="13"/>
    <x v="1"/>
    <n v="0"/>
    <n v="499"/>
    <n v="0"/>
  </r>
  <r>
    <x v="11"/>
    <x v="14"/>
    <x v="1"/>
    <n v="4"/>
    <n v="299"/>
    <n v="1196"/>
  </r>
  <r>
    <x v="11"/>
    <x v="15"/>
    <x v="1"/>
    <n v="4"/>
    <n v="901"/>
    <n v="3604"/>
  </r>
  <r>
    <x v="11"/>
    <x v="16"/>
    <x v="1"/>
    <n v="0"/>
    <n v="929"/>
    <n v="0"/>
  </r>
  <r>
    <x v="11"/>
    <x v="17"/>
    <x v="1"/>
    <n v="1"/>
    <n v="1030"/>
    <n v="1030"/>
  </r>
  <r>
    <x v="11"/>
    <x v="18"/>
    <x v="1"/>
    <n v="0"/>
    <n v="1222"/>
    <n v="0"/>
  </r>
  <r>
    <x v="11"/>
    <x v="19"/>
    <x v="1"/>
    <n v="0"/>
    <n v="649"/>
    <n v="0"/>
  </r>
  <r>
    <x v="11"/>
    <x v="20"/>
    <x v="1"/>
    <n v="19"/>
    <n v="1800"/>
    <n v="34200"/>
  </r>
  <r>
    <x v="11"/>
    <x v="21"/>
    <x v="1"/>
    <n v="8"/>
    <n v="345"/>
    <n v="2760"/>
  </r>
  <r>
    <x v="11"/>
    <x v="22"/>
    <x v="1"/>
    <n v="8"/>
    <n v="350"/>
    <n v="2800"/>
  </r>
  <r>
    <x v="11"/>
    <x v="23"/>
    <x v="1"/>
    <n v="7"/>
    <n v="1575"/>
    <n v="11025"/>
  </r>
  <r>
    <x v="11"/>
    <x v="24"/>
    <x v="1"/>
    <n v="2"/>
    <n v="1045"/>
    <n v="2090"/>
  </r>
  <r>
    <x v="11"/>
    <x v="25"/>
    <x v="1"/>
    <n v="1"/>
    <n v="1186"/>
    <n v="1186"/>
  </r>
  <r>
    <x v="11"/>
    <x v="26"/>
    <x v="1"/>
    <n v="1"/>
    <n v="374"/>
    <n v="374"/>
  </r>
  <r>
    <x v="11"/>
    <x v="27"/>
    <x v="1"/>
    <n v="0"/>
    <n v="1500"/>
    <n v="0"/>
  </r>
  <r>
    <x v="11"/>
    <x v="28"/>
    <x v="1"/>
    <n v="0"/>
    <n v="1800"/>
    <n v="0"/>
  </r>
  <r>
    <x v="11"/>
    <x v="29"/>
    <x v="1"/>
    <n v="0"/>
    <n v="1477"/>
    <n v="0"/>
  </r>
  <r>
    <x v="11"/>
    <x v="0"/>
    <x v="2"/>
    <n v="3"/>
    <n v="210"/>
    <n v="630"/>
  </r>
  <r>
    <x v="11"/>
    <x v="1"/>
    <x v="2"/>
    <n v="6"/>
    <n v="199"/>
    <n v="1194"/>
  </r>
  <r>
    <x v="11"/>
    <x v="2"/>
    <x v="2"/>
    <n v="2"/>
    <n v="322"/>
    <n v="644"/>
  </r>
  <r>
    <x v="11"/>
    <x v="3"/>
    <x v="2"/>
    <n v="5"/>
    <n v="161"/>
    <n v="805"/>
  </r>
  <r>
    <x v="11"/>
    <x v="4"/>
    <x v="2"/>
    <n v="3"/>
    <n v="109"/>
    <n v="327"/>
  </r>
  <r>
    <x v="11"/>
    <x v="5"/>
    <x v="2"/>
    <n v="2"/>
    <n v="122"/>
    <n v="244"/>
  </r>
  <r>
    <x v="11"/>
    <x v="6"/>
    <x v="2"/>
    <n v="1"/>
    <n v="96"/>
    <n v="96"/>
  </r>
  <r>
    <x v="11"/>
    <x v="7"/>
    <x v="2"/>
    <n v="0"/>
    <n v="73"/>
    <n v="0"/>
  </r>
  <r>
    <x v="11"/>
    <x v="8"/>
    <x v="2"/>
    <n v="2"/>
    <n v="225"/>
    <n v="450"/>
  </r>
  <r>
    <x v="11"/>
    <x v="9"/>
    <x v="2"/>
    <n v="2"/>
    <n v="559"/>
    <n v="1118"/>
  </r>
  <r>
    <x v="11"/>
    <x v="10"/>
    <x v="2"/>
    <n v="14"/>
    <n v="3199"/>
    <n v="44786"/>
  </r>
  <r>
    <x v="11"/>
    <x v="11"/>
    <x v="2"/>
    <n v="6"/>
    <n v="371"/>
    <n v="2226"/>
  </r>
  <r>
    <x v="11"/>
    <x v="12"/>
    <x v="2"/>
    <n v="2"/>
    <n v="2300"/>
    <n v="4600"/>
  </r>
  <r>
    <x v="11"/>
    <x v="13"/>
    <x v="2"/>
    <n v="7"/>
    <n v="499"/>
    <n v="3493"/>
  </r>
  <r>
    <x v="11"/>
    <x v="14"/>
    <x v="2"/>
    <n v="4"/>
    <n v="299"/>
    <n v="1196"/>
  </r>
  <r>
    <x v="11"/>
    <x v="15"/>
    <x v="2"/>
    <n v="2"/>
    <n v="901"/>
    <n v="1802"/>
  </r>
  <r>
    <x v="11"/>
    <x v="16"/>
    <x v="2"/>
    <n v="3"/>
    <n v="929"/>
    <n v="2787"/>
  </r>
  <r>
    <x v="11"/>
    <x v="17"/>
    <x v="2"/>
    <n v="2"/>
    <n v="1030"/>
    <n v="2060"/>
  </r>
  <r>
    <x v="11"/>
    <x v="18"/>
    <x v="2"/>
    <n v="2"/>
    <n v="1222"/>
    <n v="2444"/>
  </r>
  <r>
    <x v="11"/>
    <x v="19"/>
    <x v="2"/>
    <n v="3"/>
    <n v="649"/>
    <n v="1947"/>
  </r>
  <r>
    <x v="11"/>
    <x v="20"/>
    <x v="2"/>
    <n v="11"/>
    <n v="1800"/>
    <n v="19800"/>
  </r>
  <r>
    <x v="11"/>
    <x v="21"/>
    <x v="2"/>
    <n v="7"/>
    <n v="345"/>
    <n v="2415"/>
  </r>
  <r>
    <x v="11"/>
    <x v="22"/>
    <x v="2"/>
    <n v="1"/>
    <n v="350"/>
    <n v="350"/>
  </r>
  <r>
    <x v="11"/>
    <x v="23"/>
    <x v="2"/>
    <n v="3"/>
    <n v="1575"/>
    <n v="4725"/>
  </r>
  <r>
    <x v="11"/>
    <x v="24"/>
    <x v="2"/>
    <n v="5"/>
    <n v="1045"/>
    <n v="5225"/>
  </r>
  <r>
    <x v="11"/>
    <x v="25"/>
    <x v="2"/>
    <n v="3"/>
    <n v="1186"/>
    <n v="3558"/>
  </r>
  <r>
    <x v="11"/>
    <x v="26"/>
    <x v="2"/>
    <n v="3"/>
    <n v="374"/>
    <n v="1122"/>
  </r>
  <r>
    <x v="11"/>
    <x v="27"/>
    <x v="2"/>
    <n v="0"/>
    <n v="1500"/>
    <n v="0"/>
  </r>
  <r>
    <x v="11"/>
    <x v="28"/>
    <x v="2"/>
    <n v="1"/>
    <n v="1800"/>
    <n v="1800"/>
  </r>
  <r>
    <x v="11"/>
    <x v="29"/>
    <x v="2"/>
    <n v="0"/>
    <n v="1477"/>
    <n v="0"/>
  </r>
  <r>
    <x v="12"/>
    <x v="0"/>
    <x v="0"/>
    <n v="32"/>
    <n v="210"/>
    <n v="6720"/>
  </r>
  <r>
    <x v="12"/>
    <x v="1"/>
    <x v="0"/>
    <n v="15"/>
    <n v="199"/>
    <n v="2985"/>
  </r>
  <r>
    <x v="12"/>
    <x v="2"/>
    <x v="0"/>
    <n v="10"/>
    <n v="322"/>
    <n v="3220"/>
  </r>
  <r>
    <x v="12"/>
    <x v="3"/>
    <x v="0"/>
    <n v="8"/>
    <n v="161"/>
    <n v="1288"/>
  </r>
  <r>
    <x v="12"/>
    <x v="4"/>
    <x v="0"/>
    <n v="4"/>
    <n v="109"/>
    <n v="436"/>
  </r>
  <r>
    <x v="12"/>
    <x v="5"/>
    <x v="0"/>
    <n v="4"/>
    <n v="122"/>
    <n v="488"/>
  </r>
  <r>
    <x v="12"/>
    <x v="6"/>
    <x v="0"/>
    <n v="3"/>
    <n v="96"/>
    <n v="288"/>
  </r>
  <r>
    <x v="12"/>
    <x v="7"/>
    <x v="0"/>
    <n v="0"/>
    <n v="73"/>
    <n v="0"/>
  </r>
  <r>
    <x v="12"/>
    <x v="8"/>
    <x v="0"/>
    <n v="0"/>
    <n v="225"/>
    <n v="0"/>
  </r>
  <r>
    <x v="12"/>
    <x v="9"/>
    <x v="0"/>
    <n v="2"/>
    <n v="559"/>
    <n v="1118"/>
  </r>
  <r>
    <x v="12"/>
    <x v="10"/>
    <x v="0"/>
    <n v="26"/>
    <n v="3199"/>
    <n v="83174"/>
  </r>
  <r>
    <x v="12"/>
    <x v="11"/>
    <x v="0"/>
    <n v="17"/>
    <n v="371"/>
    <n v="6307"/>
  </r>
  <r>
    <x v="12"/>
    <x v="12"/>
    <x v="0"/>
    <n v="12"/>
    <n v="2300"/>
    <n v="27600"/>
  </r>
  <r>
    <x v="12"/>
    <x v="13"/>
    <x v="0"/>
    <n v="8"/>
    <n v="499"/>
    <n v="3992"/>
  </r>
  <r>
    <x v="12"/>
    <x v="14"/>
    <x v="0"/>
    <n v="6"/>
    <n v="299"/>
    <n v="1794"/>
  </r>
  <r>
    <x v="12"/>
    <x v="15"/>
    <x v="0"/>
    <n v="2"/>
    <n v="901"/>
    <n v="1802"/>
  </r>
  <r>
    <x v="12"/>
    <x v="16"/>
    <x v="0"/>
    <n v="3"/>
    <n v="929"/>
    <n v="2787"/>
  </r>
  <r>
    <x v="12"/>
    <x v="17"/>
    <x v="0"/>
    <n v="0"/>
    <n v="1030"/>
    <n v="0"/>
  </r>
  <r>
    <x v="12"/>
    <x v="18"/>
    <x v="0"/>
    <n v="2"/>
    <n v="1222"/>
    <n v="2444"/>
  </r>
  <r>
    <x v="12"/>
    <x v="19"/>
    <x v="0"/>
    <n v="0"/>
    <n v="649"/>
    <n v="0"/>
  </r>
  <r>
    <x v="12"/>
    <x v="20"/>
    <x v="0"/>
    <n v="34"/>
    <n v="1800"/>
    <n v="61200"/>
  </r>
  <r>
    <x v="12"/>
    <x v="21"/>
    <x v="0"/>
    <n v="14"/>
    <n v="345"/>
    <n v="4830"/>
  </r>
  <r>
    <x v="12"/>
    <x v="22"/>
    <x v="0"/>
    <n v="9"/>
    <n v="350"/>
    <n v="3150"/>
  </r>
  <r>
    <x v="12"/>
    <x v="23"/>
    <x v="0"/>
    <n v="7"/>
    <n v="1575"/>
    <n v="11025"/>
  </r>
  <r>
    <x v="12"/>
    <x v="24"/>
    <x v="0"/>
    <n v="7"/>
    <n v="1045"/>
    <n v="7315"/>
  </r>
  <r>
    <x v="12"/>
    <x v="25"/>
    <x v="0"/>
    <n v="5"/>
    <n v="1186"/>
    <n v="5930"/>
  </r>
  <r>
    <x v="12"/>
    <x v="26"/>
    <x v="0"/>
    <n v="4"/>
    <n v="374"/>
    <n v="1496"/>
  </r>
  <r>
    <x v="12"/>
    <x v="27"/>
    <x v="0"/>
    <n v="2"/>
    <n v="1500"/>
    <n v="3000"/>
  </r>
  <r>
    <x v="12"/>
    <x v="28"/>
    <x v="0"/>
    <n v="1"/>
    <n v="1800"/>
    <n v="1800"/>
  </r>
  <r>
    <x v="12"/>
    <x v="29"/>
    <x v="0"/>
    <n v="0"/>
    <n v="1477"/>
    <n v="0"/>
  </r>
  <r>
    <x v="12"/>
    <x v="0"/>
    <x v="1"/>
    <n v="24"/>
    <n v="210"/>
    <n v="5040"/>
  </r>
  <r>
    <x v="12"/>
    <x v="1"/>
    <x v="1"/>
    <n v="9"/>
    <n v="199"/>
    <n v="1791"/>
  </r>
  <r>
    <x v="12"/>
    <x v="2"/>
    <x v="1"/>
    <n v="6"/>
    <n v="322"/>
    <n v="1932"/>
  </r>
  <r>
    <x v="12"/>
    <x v="3"/>
    <x v="1"/>
    <n v="6"/>
    <n v="161"/>
    <n v="966"/>
  </r>
  <r>
    <x v="12"/>
    <x v="4"/>
    <x v="1"/>
    <n v="4"/>
    <n v="109"/>
    <n v="436"/>
  </r>
  <r>
    <x v="12"/>
    <x v="5"/>
    <x v="1"/>
    <n v="3"/>
    <n v="122"/>
    <n v="366"/>
  </r>
  <r>
    <x v="12"/>
    <x v="6"/>
    <x v="1"/>
    <n v="2"/>
    <n v="96"/>
    <n v="192"/>
  </r>
  <r>
    <x v="12"/>
    <x v="7"/>
    <x v="1"/>
    <n v="0"/>
    <n v="73"/>
    <n v="0"/>
  </r>
  <r>
    <x v="12"/>
    <x v="8"/>
    <x v="1"/>
    <n v="0"/>
    <n v="225"/>
    <n v="0"/>
  </r>
  <r>
    <x v="12"/>
    <x v="9"/>
    <x v="1"/>
    <n v="1"/>
    <n v="559"/>
    <n v="559"/>
  </r>
  <r>
    <x v="12"/>
    <x v="10"/>
    <x v="1"/>
    <n v="25"/>
    <n v="3199"/>
    <n v="79975"/>
  </r>
  <r>
    <x v="12"/>
    <x v="11"/>
    <x v="1"/>
    <n v="3"/>
    <n v="371"/>
    <n v="1113"/>
  </r>
  <r>
    <x v="12"/>
    <x v="12"/>
    <x v="1"/>
    <n v="11"/>
    <n v="2300"/>
    <n v="25300"/>
  </r>
  <r>
    <x v="12"/>
    <x v="13"/>
    <x v="1"/>
    <n v="5"/>
    <n v="499"/>
    <n v="2495"/>
  </r>
  <r>
    <x v="12"/>
    <x v="14"/>
    <x v="1"/>
    <n v="0"/>
    <n v="299"/>
    <n v="0"/>
  </r>
  <r>
    <x v="12"/>
    <x v="15"/>
    <x v="1"/>
    <n v="1"/>
    <n v="901"/>
    <n v="901"/>
  </r>
  <r>
    <x v="12"/>
    <x v="16"/>
    <x v="1"/>
    <n v="1"/>
    <n v="929"/>
    <n v="929"/>
  </r>
  <r>
    <x v="12"/>
    <x v="17"/>
    <x v="1"/>
    <n v="0"/>
    <n v="1030"/>
    <n v="0"/>
  </r>
  <r>
    <x v="12"/>
    <x v="18"/>
    <x v="1"/>
    <n v="0"/>
    <n v="1222"/>
    <n v="0"/>
  </r>
  <r>
    <x v="12"/>
    <x v="19"/>
    <x v="1"/>
    <n v="0"/>
    <n v="649"/>
    <n v="0"/>
  </r>
  <r>
    <x v="12"/>
    <x v="20"/>
    <x v="1"/>
    <n v="24"/>
    <n v="1800"/>
    <n v="43200"/>
  </r>
  <r>
    <x v="12"/>
    <x v="21"/>
    <x v="1"/>
    <n v="9"/>
    <n v="345"/>
    <n v="3105"/>
  </r>
  <r>
    <x v="12"/>
    <x v="22"/>
    <x v="1"/>
    <n v="7"/>
    <n v="350"/>
    <n v="2450"/>
  </r>
  <r>
    <x v="12"/>
    <x v="23"/>
    <x v="1"/>
    <n v="6"/>
    <n v="1575"/>
    <n v="9450"/>
  </r>
  <r>
    <x v="12"/>
    <x v="24"/>
    <x v="1"/>
    <n v="3"/>
    <n v="1045"/>
    <n v="3135"/>
  </r>
  <r>
    <x v="12"/>
    <x v="25"/>
    <x v="1"/>
    <n v="2"/>
    <n v="1186"/>
    <n v="2372"/>
  </r>
  <r>
    <x v="12"/>
    <x v="26"/>
    <x v="1"/>
    <n v="1"/>
    <n v="374"/>
    <n v="374"/>
  </r>
  <r>
    <x v="12"/>
    <x v="27"/>
    <x v="1"/>
    <n v="0"/>
    <n v="1500"/>
    <n v="0"/>
  </r>
  <r>
    <x v="12"/>
    <x v="28"/>
    <x v="1"/>
    <n v="0"/>
    <n v="1800"/>
    <n v="0"/>
  </r>
  <r>
    <x v="12"/>
    <x v="29"/>
    <x v="1"/>
    <n v="0"/>
    <n v="1477"/>
    <n v="0"/>
  </r>
  <r>
    <x v="12"/>
    <x v="0"/>
    <x v="2"/>
    <n v="8"/>
    <n v="210"/>
    <n v="1680"/>
  </r>
  <r>
    <x v="12"/>
    <x v="1"/>
    <x v="2"/>
    <n v="5"/>
    <n v="199"/>
    <n v="995"/>
  </r>
  <r>
    <x v="12"/>
    <x v="2"/>
    <x v="2"/>
    <n v="6"/>
    <n v="322"/>
    <n v="1932"/>
  </r>
  <r>
    <x v="12"/>
    <x v="3"/>
    <x v="2"/>
    <n v="6"/>
    <n v="161"/>
    <n v="966"/>
  </r>
  <r>
    <x v="12"/>
    <x v="4"/>
    <x v="2"/>
    <n v="4"/>
    <n v="109"/>
    <n v="436"/>
  </r>
  <r>
    <x v="12"/>
    <x v="5"/>
    <x v="2"/>
    <n v="2"/>
    <n v="122"/>
    <n v="244"/>
  </r>
  <r>
    <x v="12"/>
    <x v="6"/>
    <x v="2"/>
    <n v="2"/>
    <n v="96"/>
    <n v="192"/>
  </r>
  <r>
    <x v="12"/>
    <x v="7"/>
    <x v="2"/>
    <n v="0"/>
    <n v="73"/>
    <n v="0"/>
  </r>
  <r>
    <x v="12"/>
    <x v="8"/>
    <x v="2"/>
    <n v="1"/>
    <n v="225"/>
    <n v="225"/>
  </r>
  <r>
    <x v="12"/>
    <x v="9"/>
    <x v="2"/>
    <n v="1"/>
    <n v="559"/>
    <n v="559"/>
  </r>
  <r>
    <x v="12"/>
    <x v="10"/>
    <x v="2"/>
    <n v="13"/>
    <n v="3199"/>
    <n v="41587"/>
  </r>
  <r>
    <x v="12"/>
    <x v="11"/>
    <x v="2"/>
    <n v="13"/>
    <n v="371"/>
    <n v="4823"/>
  </r>
  <r>
    <x v="12"/>
    <x v="12"/>
    <x v="2"/>
    <n v="2"/>
    <n v="2300"/>
    <n v="4600"/>
  </r>
  <r>
    <x v="12"/>
    <x v="13"/>
    <x v="2"/>
    <n v="6"/>
    <n v="499"/>
    <n v="2994"/>
  </r>
  <r>
    <x v="12"/>
    <x v="14"/>
    <x v="2"/>
    <n v="6"/>
    <n v="299"/>
    <n v="1794"/>
  </r>
  <r>
    <x v="12"/>
    <x v="15"/>
    <x v="2"/>
    <n v="4"/>
    <n v="901"/>
    <n v="3604"/>
  </r>
  <r>
    <x v="12"/>
    <x v="16"/>
    <x v="2"/>
    <n v="3"/>
    <n v="929"/>
    <n v="2787"/>
  </r>
  <r>
    <x v="12"/>
    <x v="17"/>
    <x v="2"/>
    <n v="1"/>
    <n v="1030"/>
    <n v="1030"/>
  </r>
  <r>
    <x v="12"/>
    <x v="18"/>
    <x v="2"/>
    <n v="2"/>
    <n v="1222"/>
    <n v="2444"/>
  </r>
  <r>
    <x v="12"/>
    <x v="19"/>
    <x v="2"/>
    <n v="2"/>
    <n v="649"/>
    <n v="1298"/>
  </r>
  <r>
    <x v="12"/>
    <x v="20"/>
    <x v="2"/>
    <n v="3"/>
    <n v="1800"/>
    <n v="5400"/>
  </r>
  <r>
    <x v="12"/>
    <x v="21"/>
    <x v="2"/>
    <n v="5"/>
    <n v="345"/>
    <n v="1725"/>
  </r>
  <r>
    <x v="12"/>
    <x v="22"/>
    <x v="2"/>
    <n v="5"/>
    <n v="350"/>
    <n v="1750"/>
  </r>
  <r>
    <x v="12"/>
    <x v="23"/>
    <x v="2"/>
    <n v="2"/>
    <n v="1575"/>
    <n v="3150"/>
  </r>
  <r>
    <x v="12"/>
    <x v="24"/>
    <x v="2"/>
    <n v="4"/>
    <n v="1045"/>
    <n v="4180"/>
  </r>
  <r>
    <x v="12"/>
    <x v="25"/>
    <x v="2"/>
    <n v="2"/>
    <n v="1186"/>
    <n v="2372"/>
  </r>
  <r>
    <x v="12"/>
    <x v="26"/>
    <x v="2"/>
    <n v="3"/>
    <n v="374"/>
    <n v="1122"/>
  </r>
  <r>
    <x v="12"/>
    <x v="27"/>
    <x v="2"/>
    <n v="3"/>
    <n v="1500"/>
    <n v="4500"/>
  </r>
  <r>
    <x v="12"/>
    <x v="28"/>
    <x v="2"/>
    <n v="2"/>
    <n v="1800"/>
    <n v="3600"/>
  </r>
  <r>
    <x v="12"/>
    <x v="29"/>
    <x v="2"/>
    <n v="2"/>
    <n v="1477"/>
    <n v="2954"/>
  </r>
  <r>
    <x v="13"/>
    <x v="0"/>
    <x v="0"/>
    <n v="31"/>
    <n v="210"/>
    <n v="6510"/>
  </r>
  <r>
    <x v="13"/>
    <x v="1"/>
    <x v="0"/>
    <n v="15"/>
    <n v="199"/>
    <n v="2985"/>
  </r>
  <r>
    <x v="13"/>
    <x v="2"/>
    <x v="0"/>
    <n v="9"/>
    <n v="322"/>
    <n v="2898"/>
  </r>
  <r>
    <x v="13"/>
    <x v="3"/>
    <x v="0"/>
    <n v="10"/>
    <n v="161"/>
    <n v="1610"/>
  </r>
  <r>
    <x v="13"/>
    <x v="4"/>
    <x v="0"/>
    <n v="7"/>
    <n v="109"/>
    <n v="763"/>
  </r>
  <r>
    <x v="13"/>
    <x v="5"/>
    <x v="0"/>
    <n v="4"/>
    <n v="122"/>
    <n v="488"/>
  </r>
  <r>
    <x v="13"/>
    <x v="6"/>
    <x v="0"/>
    <n v="3"/>
    <n v="96"/>
    <n v="288"/>
  </r>
  <r>
    <x v="13"/>
    <x v="7"/>
    <x v="0"/>
    <n v="0"/>
    <n v="73"/>
    <n v="0"/>
  </r>
  <r>
    <x v="13"/>
    <x v="8"/>
    <x v="0"/>
    <n v="1"/>
    <n v="225"/>
    <n v="225"/>
  </r>
  <r>
    <x v="13"/>
    <x v="9"/>
    <x v="0"/>
    <n v="0"/>
    <n v="559"/>
    <n v="0"/>
  </r>
  <r>
    <x v="13"/>
    <x v="10"/>
    <x v="0"/>
    <n v="30"/>
    <n v="3199"/>
    <n v="95970"/>
  </r>
  <r>
    <x v="13"/>
    <x v="11"/>
    <x v="0"/>
    <n v="14"/>
    <n v="371"/>
    <n v="5194"/>
  </r>
  <r>
    <x v="13"/>
    <x v="12"/>
    <x v="0"/>
    <n v="8"/>
    <n v="2300"/>
    <n v="18400"/>
  </r>
  <r>
    <x v="13"/>
    <x v="13"/>
    <x v="0"/>
    <n v="11"/>
    <n v="499"/>
    <n v="5489"/>
  </r>
  <r>
    <x v="13"/>
    <x v="14"/>
    <x v="0"/>
    <n v="7"/>
    <n v="299"/>
    <n v="2093"/>
  </r>
  <r>
    <x v="13"/>
    <x v="15"/>
    <x v="0"/>
    <n v="5"/>
    <n v="901"/>
    <n v="4505"/>
  </r>
  <r>
    <x v="13"/>
    <x v="16"/>
    <x v="0"/>
    <n v="5"/>
    <n v="929"/>
    <n v="4645"/>
  </r>
  <r>
    <x v="13"/>
    <x v="17"/>
    <x v="0"/>
    <n v="0"/>
    <n v="1030"/>
    <n v="0"/>
  </r>
  <r>
    <x v="13"/>
    <x v="18"/>
    <x v="0"/>
    <n v="1"/>
    <n v="1222"/>
    <n v="1222"/>
  </r>
  <r>
    <x v="13"/>
    <x v="19"/>
    <x v="0"/>
    <n v="1"/>
    <n v="649"/>
    <n v="649"/>
  </r>
  <r>
    <x v="13"/>
    <x v="20"/>
    <x v="0"/>
    <n v="28"/>
    <n v="1800"/>
    <n v="50400"/>
  </r>
  <r>
    <x v="13"/>
    <x v="21"/>
    <x v="0"/>
    <n v="12"/>
    <n v="345"/>
    <n v="4140"/>
  </r>
  <r>
    <x v="13"/>
    <x v="22"/>
    <x v="0"/>
    <n v="10"/>
    <n v="350"/>
    <n v="3500"/>
  </r>
  <r>
    <x v="13"/>
    <x v="23"/>
    <x v="0"/>
    <n v="8"/>
    <n v="1575"/>
    <n v="12600"/>
  </r>
  <r>
    <x v="13"/>
    <x v="24"/>
    <x v="0"/>
    <n v="7"/>
    <n v="1045"/>
    <n v="7315"/>
  </r>
  <r>
    <x v="13"/>
    <x v="25"/>
    <x v="0"/>
    <n v="4"/>
    <n v="1186"/>
    <n v="4744"/>
  </r>
  <r>
    <x v="13"/>
    <x v="26"/>
    <x v="0"/>
    <n v="2"/>
    <n v="374"/>
    <n v="748"/>
  </r>
  <r>
    <x v="13"/>
    <x v="27"/>
    <x v="0"/>
    <n v="1"/>
    <n v="1500"/>
    <n v="1500"/>
  </r>
  <r>
    <x v="13"/>
    <x v="28"/>
    <x v="0"/>
    <n v="0"/>
    <n v="1800"/>
    <n v="0"/>
  </r>
  <r>
    <x v="13"/>
    <x v="29"/>
    <x v="0"/>
    <n v="0"/>
    <n v="1477"/>
    <n v="0"/>
  </r>
  <r>
    <x v="13"/>
    <x v="0"/>
    <x v="1"/>
    <n v="22"/>
    <n v="210"/>
    <n v="4620"/>
  </r>
  <r>
    <x v="13"/>
    <x v="1"/>
    <x v="1"/>
    <n v="12"/>
    <n v="199"/>
    <n v="2388"/>
  </r>
  <r>
    <x v="13"/>
    <x v="2"/>
    <x v="1"/>
    <n v="6"/>
    <n v="322"/>
    <n v="1932"/>
  </r>
  <r>
    <x v="13"/>
    <x v="3"/>
    <x v="1"/>
    <n v="6"/>
    <n v="161"/>
    <n v="966"/>
  </r>
  <r>
    <x v="13"/>
    <x v="4"/>
    <x v="1"/>
    <n v="4"/>
    <n v="109"/>
    <n v="436"/>
  </r>
  <r>
    <x v="13"/>
    <x v="5"/>
    <x v="1"/>
    <n v="2"/>
    <n v="122"/>
    <n v="244"/>
  </r>
  <r>
    <x v="13"/>
    <x v="6"/>
    <x v="1"/>
    <n v="3"/>
    <n v="96"/>
    <n v="288"/>
  </r>
  <r>
    <x v="13"/>
    <x v="7"/>
    <x v="1"/>
    <n v="0"/>
    <n v="73"/>
    <n v="0"/>
  </r>
  <r>
    <x v="13"/>
    <x v="8"/>
    <x v="1"/>
    <n v="0"/>
    <n v="225"/>
    <n v="0"/>
  </r>
  <r>
    <x v="13"/>
    <x v="9"/>
    <x v="1"/>
    <n v="0"/>
    <n v="559"/>
    <n v="0"/>
  </r>
  <r>
    <x v="13"/>
    <x v="10"/>
    <x v="1"/>
    <n v="2"/>
    <n v="3199"/>
    <n v="6398"/>
  </r>
  <r>
    <x v="13"/>
    <x v="11"/>
    <x v="1"/>
    <n v="10"/>
    <n v="371"/>
    <n v="3710"/>
  </r>
  <r>
    <x v="13"/>
    <x v="12"/>
    <x v="1"/>
    <n v="10"/>
    <n v="2300"/>
    <n v="23000"/>
  </r>
  <r>
    <x v="13"/>
    <x v="13"/>
    <x v="1"/>
    <n v="6"/>
    <n v="499"/>
    <n v="2994"/>
  </r>
  <r>
    <x v="13"/>
    <x v="14"/>
    <x v="1"/>
    <n v="0"/>
    <n v="299"/>
    <n v="0"/>
  </r>
  <r>
    <x v="13"/>
    <x v="15"/>
    <x v="1"/>
    <n v="0"/>
    <n v="901"/>
    <n v="0"/>
  </r>
  <r>
    <x v="13"/>
    <x v="16"/>
    <x v="1"/>
    <n v="1"/>
    <n v="929"/>
    <n v="929"/>
  </r>
  <r>
    <x v="13"/>
    <x v="17"/>
    <x v="1"/>
    <n v="1"/>
    <n v="1030"/>
    <n v="1030"/>
  </r>
  <r>
    <x v="13"/>
    <x v="18"/>
    <x v="1"/>
    <n v="0"/>
    <n v="1222"/>
    <n v="0"/>
  </r>
  <r>
    <x v="13"/>
    <x v="19"/>
    <x v="1"/>
    <n v="0"/>
    <n v="649"/>
    <n v="0"/>
  </r>
  <r>
    <x v="13"/>
    <x v="20"/>
    <x v="1"/>
    <n v="19"/>
    <n v="1800"/>
    <n v="34200"/>
  </r>
  <r>
    <x v="13"/>
    <x v="21"/>
    <x v="1"/>
    <n v="10"/>
    <n v="345"/>
    <n v="3450"/>
  </r>
  <r>
    <x v="13"/>
    <x v="22"/>
    <x v="1"/>
    <n v="6"/>
    <n v="350"/>
    <n v="2100"/>
  </r>
  <r>
    <x v="13"/>
    <x v="23"/>
    <x v="1"/>
    <n v="5"/>
    <n v="1575"/>
    <n v="7875"/>
  </r>
  <r>
    <x v="13"/>
    <x v="24"/>
    <x v="1"/>
    <n v="2"/>
    <n v="1045"/>
    <n v="2090"/>
  </r>
  <r>
    <x v="13"/>
    <x v="25"/>
    <x v="1"/>
    <n v="4"/>
    <n v="1186"/>
    <n v="4744"/>
  </r>
  <r>
    <x v="13"/>
    <x v="26"/>
    <x v="1"/>
    <n v="1"/>
    <n v="374"/>
    <n v="374"/>
  </r>
  <r>
    <x v="13"/>
    <x v="27"/>
    <x v="1"/>
    <n v="1"/>
    <n v="1500"/>
    <n v="1500"/>
  </r>
  <r>
    <x v="13"/>
    <x v="28"/>
    <x v="1"/>
    <n v="0"/>
    <n v="1800"/>
    <n v="0"/>
  </r>
  <r>
    <x v="13"/>
    <x v="29"/>
    <x v="1"/>
    <n v="0"/>
    <n v="1477"/>
    <n v="0"/>
  </r>
  <r>
    <x v="13"/>
    <x v="0"/>
    <x v="2"/>
    <n v="10"/>
    <n v="210"/>
    <n v="2100"/>
  </r>
  <r>
    <x v="13"/>
    <x v="1"/>
    <x v="2"/>
    <n v="6"/>
    <n v="199"/>
    <n v="1194"/>
  </r>
  <r>
    <x v="13"/>
    <x v="2"/>
    <x v="2"/>
    <n v="5"/>
    <n v="322"/>
    <n v="1610"/>
  </r>
  <r>
    <x v="13"/>
    <x v="3"/>
    <x v="2"/>
    <n v="2"/>
    <n v="161"/>
    <n v="322"/>
  </r>
  <r>
    <x v="13"/>
    <x v="4"/>
    <x v="2"/>
    <n v="3"/>
    <n v="109"/>
    <n v="327"/>
  </r>
  <r>
    <x v="13"/>
    <x v="5"/>
    <x v="2"/>
    <n v="2"/>
    <n v="122"/>
    <n v="244"/>
  </r>
  <r>
    <x v="13"/>
    <x v="6"/>
    <x v="2"/>
    <n v="2"/>
    <n v="96"/>
    <n v="192"/>
  </r>
  <r>
    <x v="13"/>
    <x v="7"/>
    <x v="2"/>
    <n v="1"/>
    <n v="73"/>
    <n v="73"/>
  </r>
  <r>
    <x v="13"/>
    <x v="8"/>
    <x v="2"/>
    <n v="1"/>
    <n v="225"/>
    <n v="225"/>
  </r>
  <r>
    <x v="13"/>
    <x v="9"/>
    <x v="2"/>
    <n v="1"/>
    <n v="559"/>
    <n v="559"/>
  </r>
  <r>
    <x v="13"/>
    <x v="10"/>
    <x v="2"/>
    <n v="28"/>
    <n v="3199"/>
    <n v="89572"/>
  </r>
  <r>
    <x v="13"/>
    <x v="11"/>
    <x v="2"/>
    <n v="1"/>
    <n v="371"/>
    <n v="371"/>
  </r>
  <r>
    <x v="13"/>
    <x v="12"/>
    <x v="2"/>
    <n v="4"/>
    <n v="2300"/>
    <n v="9200"/>
  </r>
  <r>
    <x v="13"/>
    <x v="13"/>
    <x v="2"/>
    <n v="3"/>
    <n v="499"/>
    <n v="1497"/>
  </r>
  <r>
    <x v="13"/>
    <x v="14"/>
    <x v="2"/>
    <n v="6"/>
    <n v="299"/>
    <n v="1794"/>
  </r>
  <r>
    <x v="13"/>
    <x v="15"/>
    <x v="2"/>
    <n v="5"/>
    <n v="901"/>
    <n v="4505"/>
  </r>
  <r>
    <x v="13"/>
    <x v="16"/>
    <x v="2"/>
    <n v="3"/>
    <n v="929"/>
    <n v="2787"/>
  </r>
  <r>
    <x v="13"/>
    <x v="17"/>
    <x v="2"/>
    <n v="1"/>
    <n v="1030"/>
    <n v="1030"/>
  </r>
  <r>
    <x v="13"/>
    <x v="18"/>
    <x v="2"/>
    <n v="2"/>
    <n v="1222"/>
    <n v="2444"/>
  </r>
  <r>
    <x v="13"/>
    <x v="19"/>
    <x v="2"/>
    <n v="2"/>
    <n v="649"/>
    <n v="1298"/>
  </r>
  <r>
    <x v="13"/>
    <x v="20"/>
    <x v="2"/>
    <n v="14"/>
    <n v="1800"/>
    <n v="25200"/>
  </r>
  <r>
    <x v="13"/>
    <x v="21"/>
    <x v="2"/>
    <n v="6"/>
    <n v="345"/>
    <n v="2070"/>
  </r>
  <r>
    <x v="13"/>
    <x v="22"/>
    <x v="2"/>
    <n v="5"/>
    <n v="350"/>
    <n v="1750"/>
  </r>
  <r>
    <x v="13"/>
    <x v="23"/>
    <x v="2"/>
    <n v="4"/>
    <n v="1575"/>
    <n v="6300"/>
  </r>
  <r>
    <x v="13"/>
    <x v="24"/>
    <x v="2"/>
    <n v="5"/>
    <n v="1045"/>
    <n v="5225"/>
  </r>
  <r>
    <x v="13"/>
    <x v="25"/>
    <x v="2"/>
    <n v="2"/>
    <n v="1186"/>
    <n v="2372"/>
  </r>
  <r>
    <x v="13"/>
    <x v="26"/>
    <x v="2"/>
    <n v="3"/>
    <n v="374"/>
    <n v="1122"/>
  </r>
  <r>
    <x v="13"/>
    <x v="27"/>
    <x v="2"/>
    <n v="2"/>
    <n v="1500"/>
    <n v="3000"/>
  </r>
  <r>
    <x v="13"/>
    <x v="28"/>
    <x v="2"/>
    <n v="1"/>
    <n v="1800"/>
    <n v="1800"/>
  </r>
  <r>
    <x v="13"/>
    <x v="29"/>
    <x v="2"/>
    <n v="1"/>
    <n v="1477"/>
    <n v="1477"/>
  </r>
  <r>
    <x v="14"/>
    <x v="0"/>
    <x v="0"/>
    <n v="27"/>
    <n v="210"/>
    <n v="5670"/>
  </r>
  <r>
    <x v="14"/>
    <x v="1"/>
    <x v="0"/>
    <n v="16"/>
    <n v="199"/>
    <n v="3184"/>
  </r>
  <r>
    <x v="14"/>
    <x v="2"/>
    <x v="0"/>
    <n v="11"/>
    <n v="322"/>
    <n v="3542"/>
  </r>
  <r>
    <x v="14"/>
    <x v="3"/>
    <x v="0"/>
    <n v="8"/>
    <n v="161"/>
    <n v="1288"/>
  </r>
  <r>
    <x v="14"/>
    <x v="4"/>
    <x v="0"/>
    <n v="6"/>
    <n v="109"/>
    <n v="654"/>
  </r>
  <r>
    <x v="14"/>
    <x v="5"/>
    <x v="0"/>
    <n v="2"/>
    <n v="122"/>
    <n v="244"/>
  </r>
  <r>
    <x v="14"/>
    <x v="6"/>
    <x v="0"/>
    <n v="3"/>
    <n v="96"/>
    <n v="288"/>
  </r>
  <r>
    <x v="14"/>
    <x v="7"/>
    <x v="0"/>
    <n v="0"/>
    <n v="73"/>
    <n v="0"/>
  </r>
  <r>
    <x v="14"/>
    <x v="8"/>
    <x v="0"/>
    <n v="2"/>
    <n v="225"/>
    <n v="450"/>
  </r>
  <r>
    <x v="14"/>
    <x v="9"/>
    <x v="0"/>
    <n v="1"/>
    <n v="559"/>
    <n v="559"/>
  </r>
  <r>
    <x v="14"/>
    <x v="10"/>
    <x v="0"/>
    <n v="30"/>
    <n v="3199"/>
    <n v="95970"/>
  </r>
  <r>
    <x v="14"/>
    <x v="11"/>
    <x v="0"/>
    <n v="16"/>
    <n v="371"/>
    <n v="5936"/>
  </r>
  <r>
    <x v="14"/>
    <x v="12"/>
    <x v="0"/>
    <n v="8"/>
    <n v="2300"/>
    <n v="18400"/>
  </r>
  <r>
    <x v="14"/>
    <x v="13"/>
    <x v="0"/>
    <n v="7"/>
    <n v="499"/>
    <n v="3493"/>
  </r>
  <r>
    <x v="14"/>
    <x v="14"/>
    <x v="0"/>
    <n v="7"/>
    <n v="299"/>
    <n v="2093"/>
  </r>
  <r>
    <x v="14"/>
    <x v="15"/>
    <x v="0"/>
    <n v="2"/>
    <n v="901"/>
    <n v="1802"/>
  </r>
  <r>
    <x v="14"/>
    <x v="16"/>
    <x v="0"/>
    <n v="3"/>
    <n v="929"/>
    <n v="2787"/>
  </r>
  <r>
    <x v="14"/>
    <x v="17"/>
    <x v="0"/>
    <n v="1"/>
    <n v="1030"/>
    <n v="1030"/>
  </r>
  <r>
    <x v="14"/>
    <x v="18"/>
    <x v="0"/>
    <n v="0"/>
    <n v="1222"/>
    <n v="0"/>
  </r>
  <r>
    <x v="14"/>
    <x v="19"/>
    <x v="0"/>
    <n v="2"/>
    <n v="649"/>
    <n v="1298"/>
  </r>
  <r>
    <x v="14"/>
    <x v="20"/>
    <x v="0"/>
    <n v="30"/>
    <n v="1800"/>
    <n v="54000"/>
  </r>
  <r>
    <x v="14"/>
    <x v="21"/>
    <x v="0"/>
    <n v="18"/>
    <n v="345"/>
    <n v="6210"/>
  </r>
  <r>
    <x v="14"/>
    <x v="22"/>
    <x v="0"/>
    <n v="10"/>
    <n v="350"/>
    <n v="3500"/>
  </r>
  <r>
    <x v="14"/>
    <x v="23"/>
    <x v="0"/>
    <n v="11"/>
    <n v="1575"/>
    <n v="17325"/>
  </r>
  <r>
    <x v="14"/>
    <x v="24"/>
    <x v="0"/>
    <n v="7"/>
    <n v="1045"/>
    <n v="7315"/>
  </r>
  <r>
    <x v="14"/>
    <x v="25"/>
    <x v="0"/>
    <n v="4"/>
    <n v="1186"/>
    <n v="4744"/>
  </r>
  <r>
    <x v="14"/>
    <x v="26"/>
    <x v="0"/>
    <n v="2"/>
    <n v="374"/>
    <n v="748"/>
  </r>
  <r>
    <x v="14"/>
    <x v="27"/>
    <x v="0"/>
    <n v="1"/>
    <n v="1500"/>
    <n v="1500"/>
  </r>
  <r>
    <x v="14"/>
    <x v="28"/>
    <x v="0"/>
    <n v="1"/>
    <n v="1800"/>
    <n v="1800"/>
  </r>
  <r>
    <x v="14"/>
    <x v="29"/>
    <x v="0"/>
    <n v="0"/>
    <n v="1477"/>
    <n v="0"/>
  </r>
  <r>
    <x v="14"/>
    <x v="0"/>
    <x v="1"/>
    <n v="19"/>
    <n v="210"/>
    <n v="3990"/>
  </r>
  <r>
    <x v="14"/>
    <x v="1"/>
    <x v="1"/>
    <n v="11"/>
    <n v="199"/>
    <n v="2189"/>
  </r>
  <r>
    <x v="14"/>
    <x v="2"/>
    <x v="1"/>
    <n v="8"/>
    <n v="322"/>
    <n v="2576"/>
  </r>
  <r>
    <x v="14"/>
    <x v="3"/>
    <x v="1"/>
    <n v="6"/>
    <n v="161"/>
    <n v="966"/>
  </r>
  <r>
    <x v="14"/>
    <x v="4"/>
    <x v="1"/>
    <n v="3"/>
    <n v="109"/>
    <n v="327"/>
  </r>
  <r>
    <x v="14"/>
    <x v="5"/>
    <x v="1"/>
    <n v="1"/>
    <n v="122"/>
    <n v="122"/>
  </r>
  <r>
    <x v="14"/>
    <x v="6"/>
    <x v="1"/>
    <n v="2"/>
    <n v="96"/>
    <n v="192"/>
  </r>
  <r>
    <x v="14"/>
    <x v="7"/>
    <x v="1"/>
    <n v="0"/>
    <n v="73"/>
    <n v="0"/>
  </r>
  <r>
    <x v="14"/>
    <x v="8"/>
    <x v="1"/>
    <n v="1"/>
    <n v="225"/>
    <n v="225"/>
  </r>
  <r>
    <x v="14"/>
    <x v="9"/>
    <x v="1"/>
    <n v="0"/>
    <n v="559"/>
    <n v="0"/>
  </r>
  <r>
    <x v="14"/>
    <x v="10"/>
    <x v="1"/>
    <n v="26"/>
    <n v="3199"/>
    <n v="83174"/>
  </r>
  <r>
    <x v="14"/>
    <x v="11"/>
    <x v="1"/>
    <n v="3"/>
    <n v="371"/>
    <n v="1113"/>
  </r>
  <r>
    <x v="14"/>
    <x v="12"/>
    <x v="1"/>
    <n v="9"/>
    <n v="2300"/>
    <n v="20700"/>
  </r>
  <r>
    <x v="14"/>
    <x v="13"/>
    <x v="1"/>
    <n v="8"/>
    <n v="499"/>
    <n v="3992"/>
  </r>
  <r>
    <x v="14"/>
    <x v="14"/>
    <x v="1"/>
    <n v="0"/>
    <n v="299"/>
    <n v="0"/>
  </r>
  <r>
    <x v="14"/>
    <x v="15"/>
    <x v="1"/>
    <n v="0"/>
    <n v="901"/>
    <n v="0"/>
  </r>
  <r>
    <x v="14"/>
    <x v="16"/>
    <x v="1"/>
    <n v="2"/>
    <n v="929"/>
    <n v="1858"/>
  </r>
  <r>
    <x v="14"/>
    <x v="17"/>
    <x v="1"/>
    <n v="0"/>
    <n v="1030"/>
    <n v="0"/>
  </r>
  <r>
    <x v="14"/>
    <x v="18"/>
    <x v="1"/>
    <n v="0"/>
    <n v="1222"/>
    <n v="0"/>
  </r>
  <r>
    <x v="14"/>
    <x v="19"/>
    <x v="1"/>
    <n v="0"/>
    <n v="649"/>
    <n v="0"/>
  </r>
  <r>
    <x v="14"/>
    <x v="20"/>
    <x v="1"/>
    <n v="18"/>
    <n v="1800"/>
    <n v="32400"/>
  </r>
  <r>
    <x v="14"/>
    <x v="21"/>
    <x v="1"/>
    <n v="13"/>
    <n v="345"/>
    <n v="4485"/>
  </r>
  <r>
    <x v="14"/>
    <x v="22"/>
    <x v="1"/>
    <n v="8"/>
    <n v="350"/>
    <n v="2800"/>
  </r>
  <r>
    <x v="14"/>
    <x v="23"/>
    <x v="1"/>
    <n v="7"/>
    <n v="1575"/>
    <n v="11025"/>
  </r>
  <r>
    <x v="14"/>
    <x v="24"/>
    <x v="1"/>
    <n v="3"/>
    <n v="1045"/>
    <n v="3135"/>
  </r>
  <r>
    <x v="14"/>
    <x v="25"/>
    <x v="1"/>
    <n v="5"/>
    <n v="1186"/>
    <n v="5930"/>
  </r>
  <r>
    <x v="14"/>
    <x v="26"/>
    <x v="1"/>
    <n v="0"/>
    <n v="374"/>
    <n v="0"/>
  </r>
  <r>
    <x v="14"/>
    <x v="27"/>
    <x v="1"/>
    <n v="1"/>
    <n v="1500"/>
    <n v="1500"/>
  </r>
  <r>
    <x v="14"/>
    <x v="28"/>
    <x v="1"/>
    <n v="0"/>
    <n v="1800"/>
    <n v="0"/>
  </r>
  <r>
    <x v="14"/>
    <x v="29"/>
    <x v="1"/>
    <n v="0"/>
    <n v="1477"/>
    <n v="0"/>
  </r>
  <r>
    <x v="14"/>
    <x v="0"/>
    <x v="2"/>
    <n v="12"/>
    <n v="210"/>
    <n v="2520"/>
  </r>
  <r>
    <x v="14"/>
    <x v="1"/>
    <x v="2"/>
    <n v="5"/>
    <n v="199"/>
    <n v="995"/>
  </r>
  <r>
    <x v="14"/>
    <x v="2"/>
    <x v="2"/>
    <n v="3"/>
    <n v="322"/>
    <n v="966"/>
  </r>
  <r>
    <x v="14"/>
    <x v="3"/>
    <x v="2"/>
    <n v="4"/>
    <n v="161"/>
    <n v="644"/>
  </r>
  <r>
    <x v="14"/>
    <x v="4"/>
    <x v="2"/>
    <n v="2"/>
    <n v="109"/>
    <n v="218"/>
  </r>
  <r>
    <x v="14"/>
    <x v="5"/>
    <x v="2"/>
    <n v="2"/>
    <n v="122"/>
    <n v="244"/>
  </r>
  <r>
    <x v="14"/>
    <x v="6"/>
    <x v="2"/>
    <n v="2"/>
    <n v="96"/>
    <n v="192"/>
  </r>
  <r>
    <x v="14"/>
    <x v="7"/>
    <x v="2"/>
    <n v="0"/>
    <n v="73"/>
    <n v="0"/>
  </r>
  <r>
    <x v="14"/>
    <x v="8"/>
    <x v="2"/>
    <n v="2"/>
    <n v="225"/>
    <n v="450"/>
  </r>
  <r>
    <x v="14"/>
    <x v="9"/>
    <x v="2"/>
    <n v="1"/>
    <n v="559"/>
    <n v="559"/>
  </r>
  <r>
    <x v="14"/>
    <x v="10"/>
    <x v="2"/>
    <n v="1"/>
    <n v="3199"/>
    <n v="3199"/>
  </r>
  <r>
    <x v="14"/>
    <x v="11"/>
    <x v="2"/>
    <n v="16"/>
    <n v="371"/>
    <n v="5936"/>
  </r>
  <r>
    <x v="14"/>
    <x v="12"/>
    <x v="2"/>
    <n v="3"/>
    <n v="2300"/>
    <n v="6900"/>
  </r>
  <r>
    <x v="14"/>
    <x v="13"/>
    <x v="2"/>
    <n v="4"/>
    <n v="499"/>
    <n v="1996"/>
  </r>
  <r>
    <x v="14"/>
    <x v="14"/>
    <x v="2"/>
    <n v="6"/>
    <n v="299"/>
    <n v="1794"/>
  </r>
  <r>
    <x v="14"/>
    <x v="15"/>
    <x v="2"/>
    <n v="3"/>
    <n v="901"/>
    <n v="2703"/>
  </r>
  <r>
    <x v="14"/>
    <x v="16"/>
    <x v="2"/>
    <n v="2"/>
    <n v="929"/>
    <n v="1858"/>
  </r>
  <r>
    <x v="14"/>
    <x v="17"/>
    <x v="2"/>
    <n v="2"/>
    <n v="1030"/>
    <n v="2060"/>
  </r>
  <r>
    <x v="14"/>
    <x v="18"/>
    <x v="2"/>
    <n v="1"/>
    <n v="1222"/>
    <n v="1222"/>
  </r>
  <r>
    <x v="14"/>
    <x v="19"/>
    <x v="2"/>
    <n v="3"/>
    <n v="649"/>
    <n v="1947"/>
  </r>
  <r>
    <x v="14"/>
    <x v="20"/>
    <x v="2"/>
    <n v="9"/>
    <n v="1800"/>
    <n v="16200"/>
  </r>
  <r>
    <x v="14"/>
    <x v="21"/>
    <x v="2"/>
    <n v="2"/>
    <n v="345"/>
    <n v="690"/>
  </r>
  <r>
    <x v="14"/>
    <x v="22"/>
    <x v="2"/>
    <n v="6"/>
    <n v="350"/>
    <n v="2100"/>
  </r>
  <r>
    <x v="14"/>
    <x v="23"/>
    <x v="2"/>
    <n v="2"/>
    <n v="1575"/>
    <n v="3150"/>
  </r>
  <r>
    <x v="14"/>
    <x v="24"/>
    <x v="2"/>
    <n v="5"/>
    <n v="1045"/>
    <n v="5225"/>
  </r>
  <r>
    <x v="14"/>
    <x v="25"/>
    <x v="2"/>
    <n v="1"/>
    <n v="1186"/>
    <n v="1186"/>
  </r>
  <r>
    <x v="14"/>
    <x v="26"/>
    <x v="2"/>
    <n v="5"/>
    <n v="374"/>
    <n v="1870"/>
  </r>
  <r>
    <x v="14"/>
    <x v="27"/>
    <x v="2"/>
    <n v="1"/>
    <n v="1500"/>
    <n v="1500"/>
  </r>
  <r>
    <x v="14"/>
    <x v="28"/>
    <x v="2"/>
    <n v="2"/>
    <n v="1800"/>
    <n v="3600"/>
  </r>
  <r>
    <x v="14"/>
    <x v="29"/>
    <x v="2"/>
    <n v="0"/>
    <n v="1477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50">
  <r>
    <x v="0"/>
    <s v="H"/>
    <n v="26"/>
    <n v="210"/>
    <n v="5460"/>
  </r>
  <r>
    <x v="1"/>
    <s v="H"/>
    <n v="13"/>
    <n v="199"/>
    <n v="2587"/>
  </r>
  <r>
    <x v="2"/>
    <s v="H"/>
    <n v="9"/>
    <n v="322"/>
    <n v="2898"/>
  </r>
  <r>
    <x v="3"/>
    <s v="H"/>
    <n v="6"/>
    <n v="161"/>
    <n v="966"/>
  </r>
  <r>
    <x v="4"/>
    <s v="H"/>
    <n v="8"/>
    <n v="109"/>
    <n v="872"/>
  </r>
  <r>
    <x v="5"/>
    <s v="H"/>
    <n v="3"/>
    <n v="122"/>
    <n v="366"/>
  </r>
  <r>
    <x v="6"/>
    <s v="H"/>
    <n v="3"/>
    <n v="96"/>
    <n v="288"/>
  </r>
  <r>
    <x v="7"/>
    <s v="H"/>
    <n v="2"/>
    <n v="73"/>
    <n v="146"/>
  </r>
  <r>
    <x v="8"/>
    <s v="H"/>
    <n v="0"/>
    <n v="225"/>
    <n v="0"/>
  </r>
  <r>
    <x v="9"/>
    <s v="H"/>
    <n v="0"/>
    <n v="559"/>
    <n v="0"/>
  </r>
  <r>
    <x v="10"/>
    <s v="H"/>
    <n v="31"/>
    <n v="3199"/>
    <n v="99169"/>
  </r>
  <r>
    <x v="11"/>
    <s v="H"/>
    <n v="10"/>
    <n v="371"/>
    <n v="3710"/>
  </r>
  <r>
    <x v="12"/>
    <s v="H"/>
    <n v="10"/>
    <n v="2300"/>
    <n v="23000"/>
  </r>
  <r>
    <x v="13"/>
    <s v="H"/>
    <n v="7"/>
    <n v="499"/>
    <n v="3493"/>
  </r>
  <r>
    <x v="14"/>
    <s v="H"/>
    <n v="5"/>
    <n v="299"/>
    <n v="1495"/>
  </r>
  <r>
    <x v="15"/>
    <s v="H"/>
    <n v="5"/>
    <n v="901"/>
    <n v="4505"/>
  </r>
  <r>
    <x v="16"/>
    <s v="H"/>
    <n v="3"/>
    <n v="929"/>
    <n v="2787"/>
  </r>
  <r>
    <x v="17"/>
    <s v="H"/>
    <n v="2"/>
    <n v="1030"/>
    <n v="2060"/>
  </r>
  <r>
    <x v="18"/>
    <s v="H"/>
    <n v="0"/>
    <n v="1222"/>
    <n v="0"/>
  </r>
  <r>
    <x v="19"/>
    <s v="H"/>
    <n v="2"/>
    <n v="649"/>
    <n v="1298"/>
  </r>
  <r>
    <x v="20"/>
    <s v="H"/>
    <n v="26"/>
    <n v="1800"/>
    <n v="46800"/>
  </r>
  <r>
    <x v="21"/>
    <s v="H"/>
    <n v="13"/>
    <n v="345"/>
    <n v="4485"/>
  </r>
  <r>
    <x v="22"/>
    <s v="H"/>
    <n v="9"/>
    <n v="350"/>
    <n v="3150"/>
  </r>
  <r>
    <x v="23"/>
    <s v="H"/>
    <n v="7"/>
    <n v="1575"/>
    <n v="11025"/>
  </r>
  <r>
    <x v="24"/>
    <s v="H"/>
    <n v="4"/>
    <n v="1045"/>
    <n v="4180"/>
  </r>
  <r>
    <x v="25"/>
    <s v="H"/>
    <n v="2"/>
    <n v="1186"/>
    <n v="2372"/>
  </r>
  <r>
    <x v="26"/>
    <s v="H"/>
    <n v="3"/>
    <n v="374"/>
    <n v="1122"/>
  </r>
  <r>
    <x v="27"/>
    <s v="H"/>
    <n v="1"/>
    <n v="1500"/>
    <n v="1500"/>
  </r>
  <r>
    <x v="28"/>
    <s v="H"/>
    <n v="0"/>
    <n v="1800"/>
    <n v="0"/>
  </r>
  <r>
    <x v="29"/>
    <s v="H"/>
    <n v="2"/>
    <n v="1477"/>
    <n v="2954"/>
  </r>
  <r>
    <x v="0"/>
    <s v="M"/>
    <n v="17"/>
    <n v="210"/>
    <n v="3570"/>
  </r>
  <r>
    <x v="1"/>
    <s v="M"/>
    <n v="12"/>
    <n v="199"/>
    <n v="2388"/>
  </r>
  <r>
    <x v="2"/>
    <s v="M"/>
    <n v="8"/>
    <n v="322"/>
    <n v="2576"/>
  </r>
  <r>
    <x v="3"/>
    <s v="M"/>
    <n v="5"/>
    <n v="161"/>
    <n v="805"/>
  </r>
  <r>
    <x v="4"/>
    <s v="M"/>
    <n v="5"/>
    <n v="109"/>
    <n v="545"/>
  </r>
  <r>
    <x v="5"/>
    <s v="M"/>
    <n v="2"/>
    <n v="122"/>
    <n v="244"/>
  </r>
  <r>
    <x v="6"/>
    <s v="M"/>
    <n v="3"/>
    <n v="96"/>
    <n v="288"/>
  </r>
  <r>
    <x v="7"/>
    <s v="M"/>
    <n v="1"/>
    <n v="73"/>
    <n v="73"/>
  </r>
  <r>
    <x v="8"/>
    <s v="M"/>
    <n v="0"/>
    <n v="225"/>
    <n v="0"/>
  </r>
  <r>
    <x v="9"/>
    <s v="M"/>
    <n v="0"/>
    <n v="559"/>
    <n v="0"/>
  </r>
  <r>
    <x v="10"/>
    <s v="M"/>
    <n v="14"/>
    <n v="3199"/>
    <n v="44786"/>
  </r>
  <r>
    <x v="11"/>
    <s v="M"/>
    <n v="13"/>
    <n v="371"/>
    <n v="4823"/>
  </r>
  <r>
    <x v="12"/>
    <s v="M"/>
    <n v="8"/>
    <n v="2300"/>
    <n v="18400"/>
  </r>
  <r>
    <x v="13"/>
    <s v="M"/>
    <n v="1"/>
    <n v="499"/>
    <n v="499"/>
  </r>
  <r>
    <x v="14"/>
    <s v="M"/>
    <n v="2"/>
    <n v="299"/>
    <n v="598"/>
  </r>
  <r>
    <x v="15"/>
    <s v="M"/>
    <n v="0"/>
    <n v="901"/>
    <n v="0"/>
  </r>
  <r>
    <x v="16"/>
    <s v="M"/>
    <n v="4"/>
    <n v="929"/>
    <n v="3716"/>
  </r>
  <r>
    <x v="17"/>
    <s v="M"/>
    <n v="1"/>
    <n v="1030"/>
    <n v="1030"/>
  </r>
  <r>
    <x v="18"/>
    <s v="M"/>
    <n v="0"/>
    <n v="1222"/>
    <n v="0"/>
  </r>
  <r>
    <x v="19"/>
    <s v="M"/>
    <n v="0"/>
    <n v="649"/>
    <n v="0"/>
  </r>
  <r>
    <x v="20"/>
    <s v="M"/>
    <n v="20"/>
    <n v="1800"/>
    <n v="36000"/>
  </r>
  <r>
    <x v="21"/>
    <s v="M"/>
    <n v="8"/>
    <n v="345"/>
    <n v="2760"/>
  </r>
  <r>
    <x v="22"/>
    <s v="M"/>
    <n v="8"/>
    <n v="350"/>
    <n v="2800"/>
  </r>
  <r>
    <x v="23"/>
    <s v="M"/>
    <n v="4"/>
    <n v="1575"/>
    <n v="6300"/>
  </r>
  <r>
    <x v="24"/>
    <s v="M"/>
    <n v="3"/>
    <n v="1045"/>
    <n v="3135"/>
  </r>
  <r>
    <x v="25"/>
    <s v="M"/>
    <n v="0"/>
    <n v="1186"/>
    <n v="0"/>
  </r>
  <r>
    <x v="26"/>
    <s v="M"/>
    <n v="0"/>
    <n v="374"/>
    <n v="0"/>
  </r>
  <r>
    <x v="27"/>
    <s v="M"/>
    <n v="0"/>
    <n v="1500"/>
    <n v="0"/>
  </r>
  <r>
    <x v="28"/>
    <s v="M"/>
    <n v="0"/>
    <n v="1800"/>
    <n v="0"/>
  </r>
  <r>
    <x v="29"/>
    <s v="M"/>
    <n v="1"/>
    <n v="1477"/>
    <n v="1477"/>
  </r>
  <r>
    <x v="0"/>
    <s v="C"/>
    <n v="14"/>
    <n v="210"/>
    <n v="2940"/>
  </r>
  <r>
    <x v="1"/>
    <s v="C"/>
    <n v="9"/>
    <n v="199"/>
    <n v="1791"/>
  </r>
  <r>
    <x v="2"/>
    <s v="C"/>
    <n v="6"/>
    <n v="322"/>
    <n v="1932"/>
  </r>
  <r>
    <x v="3"/>
    <s v="C"/>
    <n v="5"/>
    <n v="161"/>
    <n v="805"/>
  </r>
  <r>
    <x v="4"/>
    <s v="C"/>
    <n v="2"/>
    <n v="109"/>
    <n v="218"/>
  </r>
  <r>
    <x v="5"/>
    <s v="C"/>
    <n v="2"/>
    <n v="122"/>
    <n v="244"/>
  </r>
  <r>
    <x v="6"/>
    <s v="C"/>
    <n v="2"/>
    <n v="96"/>
    <n v="192"/>
  </r>
  <r>
    <x v="7"/>
    <s v="C"/>
    <n v="1"/>
    <n v="73"/>
    <n v="73"/>
  </r>
  <r>
    <x v="8"/>
    <s v="C"/>
    <n v="1"/>
    <n v="225"/>
    <n v="225"/>
  </r>
  <r>
    <x v="9"/>
    <s v="C"/>
    <n v="2"/>
    <n v="559"/>
    <n v="1118"/>
  </r>
  <r>
    <x v="10"/>
    <s v="C"/>
    <n v="12"/>
    <n v="3199"/>
    <n v="38388"/>
  </r>
  <r>
    <x v="11"/>
    <s v="C"/>
    <n v="3"/>
    <n v="371"/>
    <n v="1113"/>
  </r>
  <r>
    <x v="12"/>
    <s v="C"/>
    <n v="3"/>
    <n v="2300"/>
    <n v="6900"/>
  </r>
  <r>
    <x v="13"/>
    <s v="C"/>
    <n v="8"/>
    <n v="499"/>
    <n v="3992"/>
  </r>
  <r>
    <x v="14"/>
    <s v="C"/>
    <n v="4"/>
    <n v="299"/>
    <n v="1196"/>
  </r>
  <r>
    <x v="15"/>
    <s v="C"/>
    <n v="4"/>
    <n v="901"/>
    <n v="3604"/>
  </r>
  <r>
    <x v="16"/>
    <s v="C"/>
    <n v="2"/>
    <n v="929"/>
    <n v="1858"/>
  </r>
  <r>
    <x v="17"/>
    <s v="C"/>
    <n v="2"/>
    <n v="1030"/>
    <n v="2060"/>
  </r>
  <r>
    <x v="18"/>
    <s v="C"/>
    <n v="0"/>
    <n v="1222"/>
    <n v="0"/>
  </r>
  <r>
    <x v="19"/>
    <s v="C"/>
    <n v="3"/>
    <n v="649"/>
    <n v="1947"/>
  </r>
  <r>
    <x v="20"/>
    <s v="C"/>
    <n v="9"/>
    <n v="1800"/>
    <n v="16200"/>
  </r>
  <r>
    <x v="21"/>
    <s v="C"/>
    <n v="7"/>
    <n v="345"/>
    <n v="2415"/>
  </r>
  <r>
    <x v="22"/>
    <s v="C"/>
    <n v="6"/>
    <n v="350"/>
    <n v="2100"/>
  </r>
  <r>
    <x v="23"/>
    <s v="C"/>
    <n v="4"/>
    <n v="1575"/>
    <n v="6300"/>
  </r>
  <r>
    <x v="24"/>
    <s v="C"/>
    <n v="4"/>
    <n v="1045"/>
    <n v="4180"/>
  </r>
  <r>
    <x v="25"/>
    <s v="C"/>
    <n v="3"/>
    <n v="1186"/>
    <n v="3558"/>
  </r>
  <r>
    <x v="26"/>
    <s v="C"/>
    <n v="4"/>
    <n v="374"/>
    <n v="1496"/>
  </r>
  <r>
    <x v="27"/>
    <s v="C"/>
    <n v="2"/>
    <n v="1500"/>
    <n v="3000"/>
  </r>
  <r>
    <x v="28"/>
    <s v="C"/>
    <n v="0"/>
    <n v="1800"/>
    <n v="0"/>
  </r>
  <r>
    <x v="29"/>
    <s v="C"/>
    <n v="2"/>
    <n v="1477"/>
    <n v="2954"/>
  </r>
  <r>
    <x v="0"/>
    <s v="H"/>
    <n v="26"/>
    <n v="210"/>
    <n v="5460"/>
  </r>
  <r>
    <x v="1"/>
    <s v="H"/>
    <n v="12"/>
    <n v="199"/>
    <n v="2388"/>
  </r>
  <r>
    <x v="2"/>
    <s v="H"/>
    <n v="9"/>
    <n v="322"/>
    <n v="2898"/>
  </r>
  <r>
    <x v="3"/>
    <s v="H"/>
    <n v="6"/>
    <n v="161"/>
    <n v="966"/>
  </r>
  <r>
    <x v="4"/>
    <s v="H"/>
    <n v="8"/>
    <n v="109"/>
    <n v="872"/>
  </r>
  <r>
    <x v="5"/>
    <s v="H"/>
    <n v="4"/>
    <n v="122"/>
    <n v="488"/>
  </r>
  <r>
    <x v="6"/>
    <s v="H"/>
    <n v="3"/>
    <n v="96"/>
    <n v="288"/>
  </r>
  <r>
    <x v="7"/>
    <s v="H"/>
    <n v="0"/>
    <n v="73"/>
    <n v="0"/>
  </r>
  <r>
    <x v="8"/>
    <s v="H"/>
    <n v="2"/>
    <n v="225"/>
    <n v="450"/>
  </r>
  <r>
    <x v="9"/>
    <s v="H"/>
    <n v="0"/>
    <n v="559"/>
    <n v="0"/>
  </r>
  <r>
    <x v="10"/>
    <s v="H"/>
    <n v="28"/>
    <n v="3199"/>
    <n v="89572"/>
  </r>
  <r>
    <x v="11"/>
    <s v="H"/>
    <n v="14"/>
    <n v="371"/>
    <n v="5194"/>
  </r>
  <r>
    <x v="12"/>
    <s v="H"/>
    <n v="10"/>
    <n v="2300"/>
    <n v="23000"/>
  </r>
  <r>
    <x v="13"/>
    <s v="H"/>
    <n v="9"/>
    <n v="499"/>
    <n v="4491"/>
  </r>
  <r>
    <x v="14"/>
    <s v="H"/>
    <n v="7"/>
    <n v="299"/>
    <n v="2093"/>
  </r>
  <r>
    <x v="15"/>
    <s v="H"/>
    <n v="5"/>
    <n v="901"/>
    <n v="4505"/>
  </r>
  <r>
    <x v="16"/>
    <s v="H"/>
    <n v="3"/>
    <n v="929"/>
    <n v="2787"/>
  </r>
  <r>
    <x v="17"/>
    <s v="H"/>
    <n v="0"/>
    <n v="1030"/>
    <n v="0"/>
  </r>
  <r>
    <x v="18"/>
    <s v="H"/>
    <n v="1"/>
    <n v="1222"/>
    <n v="1222"/>
  </r>
  <r>
    <x v="19"/>
    <s v="H"/>
    <n v="3"/>
    <n v="649"/>
    <n v="1947"/>
  </r>
  <r>
    <x v="20"/>
    <s v="H"/>
    <n v="32"/>
    <n v="1800"/>
    <n v="57600"/>
  </r>
  <r>
    <x v="21"/>
    <s v="H"/>
    <n v="16"/>
    <n v="345"/>
    <n v="5520"/>
  </r>
  <r>
    <x v="22"/>
    <s v="H"/>
    <n v="11"/>
    <n v="350"/>
    <n v="3850"/>
  </r>
  <r>
    <x v="23"/>
    <s v="H"/>
    <n v="7"/>
    <n v="1575"/>
    <n v="11025"/>
  </r>
  <r>
    <x v="24"/>
    <s v="H"/>
    <n v="6"/>
    <n v="1045"/>
    <n v="6270"/>
  </r>
  <r>
    <x v="25"/>
    <s v="H"/>
    <n v="3"/>
    <n v="1186"/>
    <n v="3558"/>
  </r>
  <r>
    <x v="26"/>
    <s v="H"/>
    <n v="4"/>
    <n v="374"/>
    <n v="1496"/>
  </r>
  <r>
    <x v="27"/>
    <s v="H"/>
    <n v="1"/>
    <n v="1500"/>
    <n v="1500"/>
  </r>
  <r>
    <x v="28"/>
    <s v="H"/>
    <n v="0"/>
    <n v="1800"/>
    <n v="0"/>
  </r>
  <r>
    <x v="29"/>
    <s v="H"/>
    <n v="0"/>
    <n v="1477"/>
    <n v="0"/>
  </r>
  <r>
    <x v="0"/>
    <s v="M"/>
    <n v="23"/>
    <n v="210"/>
    <n v="4830"/>
  </r>
  <r>
    <x v="1"/>
    <s v="M"/>
    <n v="9"/>
    <n v="199"/>
    <n v="1791"/>
  </r>
  <r>
    <x v="2"/>
    <s v="M"/>
    <n v="6"/>
    <n v="322"/>
    <n v="1932"/>
  </r>
  <r>
    <x v="3"/>
    <s v="M"/>
    <n v="5"/>
    <n v="161"/>
    <n v="805"/>
  </r>
  <r>
    <x v="4"/>
    <s v="M"/>
    <n v="5"/>
    <n v="109"/>
    <n v="545"/>
  </r>
  <r>
    <x v="5"/>
    <s v="M"/>
    <n v="4"/>
    <n v="122"/>
    <n v="488"/>
  </r>
  <r>
    <x v="6"/>
    <s v="M"/>
    <n v="1"/>
    <n v="96"/>
    <n v="96"/>
  </r>
  <r>
    <x v="7"/>
    <s v="M"/>
    <n v="0"/>
    <n v="73"/>
    <n v="0"/>
  </r>
  <r>
    <x v="8"/>
    <s v="M"/>
    <n v="1"/>
    <n v="225"/>
    <n v="225"/>
  </r>
  <r>
    <x v="9"/>
    <s v="M"/>
    <n v="0"/>
    <n v="559"/>
    <n v="0"/>
  </r>
  <r>
    <x v="10"/>
    <s v="M"/>
    <n v="9"/>
    <n v="3199"/>
    <n v="28791"/>
  </r>
  <r>
    <x v="11"/>
    <s v="M"/>
    <n v="5"/>
    <n v="371"/>
    <n v="1855"/>
  </r>
  <r>
    <x v="12"/>
    <s v="M"/>
    <n v="5"/>
    <n v="2300"/>
    <n v="11500"/>
  </r>
  <r>
    <x v="13"/>
    <s v="M"/>
    <n v="1"/>
    <n v="499"/>
    <n v="499"/>
  </r>
  <r>
    <x v="14"/>
    <s v="M"/>
    <n v="0"/>
    <n v="299"/>
    <n v="0"/>
  </r>
  <r>
    <x v="15"/>
    <s v="M"/>
    <n v="3"/>
    <n v="901"/>
    <n v="2703"/>
  </r>
  <r>
    <x v="16"/>
    <s v="M"/>
    <n v="1"/>
    <n v="929"/>
    <n v="929"/>
  </r>
  <r>
    <x v="17"/>
    <s v="M"/>
    <n v="0"/>
    <n v="1030"/>
    <n v="0"/>
  </r>
  <r>
    <x v="18"/>
    <s v="M"/>
    <n v="1"/>
    <n v="1222"/>
    <n v="1222"/>
  </r>
  <r>
    <x v="19"/>
    <s v="M"/>
    <n v="0"/>
    <n v="649"/>
    <n v="0"/>
  </r>
  <r>
    <x v="20"/>
    <s v="M"/>
    <n v="18"/>
    <n v="1800"/>
    <n v="32400"/>
  </r>
  <r>
    <x v="21"/>
    <s v="M"/>
    <n v="10"/>
    <n v="345"/>
    <n v="3450"/>
  </r>
  <r>
    <x v="22"/>
    <s v="M"/>
    <n v="7"/>
    <n v="350"/>
    <n v="2450"/>
  </r>
  <r>
    <x v="23"/>
    <s v="M"/>
    <n v="4"/>
    <n v="1575"/>
    <n v="6300"/>
  </r>
  <r>
    <x v="24"/>
    <s v="M"/>
    <n v="1"/>
    <n v="1045"/>
    <n v="1045"/>
  </r>
  <r>
    <x v="25"/>
    <s v="M"/>
    <n v="0"/>
    <n v="1186"/>
    <n v="0"/>
  </r>
  <r>
    <x v="26"/>
    <s v="M"/>
    <n v="1"/>
    <n v="374"/>
    <n v="374"/>
  </r>
  <r>
    <x v="27"/>
    <s v="M"/>
    <n v="0"/>
    <n v="1500"/>
    <n v="0"/>
  </r>
  <r>
    <x v="28"/>
    <s v="M"/>
    <n v="0"/>
    <n v="1800"/>
    <n v="0"/>
  </r>
  <r>
    <x v="29"/>
    <s v="M"/>
    <n v="0"/>
    <n v="1477"/>
    <n v="0"/>
  </r>
  <r>
    <x v="0"/>
    <s v="C"/>
    <n v="10"/>
    <n v="210"/>
    <n v="2100"/>
  </r>
  <r>
    <x v="1"/>
    <s v="C"/>
    <n v="7"/>
    <n v="199"/>
    <n v="1393"/>
  </r>
  <r>
    <x v="2"/>
    <s v="C"/>
    <n v="6"/>
    <n v="322"/>
    <n v="1932"/>
  </r>
  <r>
    <x v="3"/>
    <s v="C"/>
    <n v="5"/>
    <n v="161"/>
    <n v="805"/>
  </r>
  <r>
    <x v="4"/>
    <s v="C"/>
    <n v="1"/>
    <n v="109"/>
    <n v="109"/>
  </r>
  <r>
    <x v="5"/>
    <s v="C"/>
    <n v="2"/>
    <n v="122"/>
    <n v="244"/>
  </r>
  <r>
    <x v="6"/>
    <s v="C"/>
    <n v="2"/>
    <n v="96"/>
    <n v="192"/>
  </r>
  <r>
    <x v="7"/>
    <s v="C"/>
    <n v="0"/>
    <n v="73"/>
    <n v="0"/>
  </r>
  <r>
    <x v="8"/>
    <s v="C"/>
    <n v="2"/>
    <n v="225"/>
    <n v="450"/>
  </r>
  <r>
    <x v="9"/>
    <s v="C"/>
    <n v="2"/>
    <n v="559"/>
    <n v="1118"/>
  </r>
  <r>
    <x v="10"/>
    <s v="C"/>
    <n v="28"/>
    <n v="3199"/>
    <n v="89572"/>
  </r>
  <r>
    <x v="11"/>
    <s v="C"/>
    <n v="7"/>
    <n v="371"/>
    <n v="2597"/>
  </r>
  <r>
    <x v="12"/>
    <s v="C"/>
    <n v="5"/>
    <n v="2300"/>
    <n v="11500"/>
  </r>
  <r>
    <x v="13"/>
    <s v="C"/>
    <n v="8"/>
    <n v="499"/>
    <n v="3992"/>
  </r>
  <r>
    <x v="14"/>
    <s v="C"/>
    <n v="6"/>
    <n v="299"/>
    <n v="1794"/>
  </r>
  <r>
    <x v="15"/>
    <s v="C"/>
    <n v="2"/>
    <n v="901"/>
    <n v="1802"/>
  </r>
  <r>
    <x v="16"/>
    <s v="C"/>
    <n v="2"/>
    <n v="929"/>
    <n v="1858"/>
  </r>
  <r>
    <x v="17"/>
    <s v="C"/>
    <n v="0"/>
    <n v="1030"/>
    <n v="0"/>
  </r>
  <r>
    <x v="18"/>
    <s v="C"/>
    <n v="1"/>
    <n v="1222"/>
    <n v="1222"/>
  </r>
  <r>
    <x v="19"/>
    <s v="C"/>
    <n v="2"/>
    <n v="649"/>
    <n v="1298"/>
  </r>
  <r>
    <x v="20"/>
    <s v="C"/>
    <n v="12"/>
    <n v="1800"/>
    <n v="21600"/>
  </r>
  <r>
    <x v="21"/>
    <s v="C"/>
    <n v="2"/>
    <n v="345"/>
    <n v="690"/>
  </r>
  <r>
    <x v="22"/>
    <s v="C"/>
    <n v="3"/>
    <n v="350"/>
    <n v="1050"/>
  </r>
  <r>
    <x v="23"/>
    <s v="C"/>
    <n v="5"/>
    <n v="1575"/>
    <n v="7875"/>
  </r>
  <r>
    <x v="24"/>
    <s v="C"/>
    <n v="6"/>
    <n v="1045"/>
    <n v="6270"/>
  </r>
  <r>
    <x v="25"/>
    <s v="C"/>
    <n v="5"/>
    <n v="1186"/>
    <n v="5930"/>
  </r>
  <r>
    <x v="26"/>
    <s v="C"/>
    <n v="3"/>
    <n v="374"/>
    <n v="1122"/>
  </r>
  <r>
    <x v="27"/>
    <s v="C"/>
    <n v="2"/>
    <n v="1500"/>
    <n v="3000"/>
  </r>
  <r>
    <x v="28"/>
    <s v="C"/>
    <n v="0"/>
    <n v="1800"/>
    <n v="0"/>
  </r>
  <r>
    <x v="29"/>
    <s v="C"/>
    <n v="1"/>
    <n v="1477"/>
    <n v="1477"/>
  </r>
  <r>
    <x v="0"/>
    <s v="H"/>
    <n v="34"/>
    <n v="210"/>
    <n v="7140"/>
  </r>
  <r>
    <x v="1"/>
    <s v="H"/>
    <n v="14"/>
    <n v="199"/>
    <n v="2786"/>
  </r>
  <r>
    <x v="2"/>
    <s v="H"/>
    <n v="12"/>
    <n v="322"/>
    <n v="3864"/>
  </r>
  <r>
    <x v="3"/>
    <s v="H"/>
    <n v="8"/>
    <n v="161"/>
    <n v="1288"/>
  </r>
  <r>
    <x v="4"/>
    <s v="H"/>
    <n v="7"/>
    <n v="109"/>
    <n v="763"/>
  </r>
  <r>
    <x v="5"/>
    <s v="H"/>
    <n v="5"/>
    <n v="122"/>
    <n v="610"/>
  </r>
  <r>
    <x v="6"/>
    <s v="H"/>
    <n v="4"/>
    <n v="96"/>
    <n v="384"/>
  </r>
  <r>
    <x v="7"/>
    <s v="H"/>
    <n v="0"/>
    <n v="73"/>
    <n v="0"/>
  </r>
  <r>
    <x v="8"/>
    <s v="H"/>
    <n v="0"/>
    <n v="225"/>
    <n v="0"/>
  </r>
  <r>
    <x v="9"/>
    <s v="H"/>
    <n v="1"/>
    <n v="559"/>
    <n v="559"/>
  </r>
  <r>
    <x v="10"/>
    <s v="H"/>
    <n v="27"/>
    <n v="3199"/>
    <n v="86373"/>
  </r>
  <r>
    <x v="11"/>
    <s v="H"/>
    <n v="11"/>
    <n v="371"/>
    <n v="4081"/>
  </r>
  <r>
    <x v="12"/>
    <s v="H"/>
    <n v="13"/>
    <n v="2300"/>
    <n v="29900"/>
  </r>
  <r>
    <x v="13"/>
    <s v="H"/>
    <n v="11"/>
    <n v="499"/>
    <n v="5489"/>
  </r>
  <r>
    <x v="14"/>
    <s v="H"/>
    <n v="6"/>
    <n v="299"/>
    <n v="1794"/>
  </r>
  <r>
    <x v="15"/>
    <s v="H"/>
    <n v="4"/>
    <n v="901"/>
    <n v="3604"/>
  </r>
  <r>
    <x v="16"/>
    <s v="H"/>
    <n v="2"/>
    <n v="929"/>
    <n v="1858"/>
  </r>
  <r>
    <x v="17"/>
    <s v="H"/>
    <n v="2"/>
    <n v="1030"/>
    <n v="2060"/>
  </r>
  <r>
    <x v="18"/>
    <s v="H"/>
    <n v="1"/>
    <n v="1222"/>
    <n v="1222"/>
  </r>
  <r>
    <x v="19"/>
    <s v="H"/>
    <n v="2"/>
    <n v="649"/>
    <n v="1298"/>
  </r>
  <r>
    <x v="20"/>
    <s v="H"/>
    <n v="28"/>
    <n v="1800"/>
    <n v="50400"/>
  </r>
  <r>
    <x v="21"/>
    <s v="H"/>
    <n v="16"/>
    <n v="345"/>
    <n v="5520"/>
  </r>
  <r>
    <x v="22"/>
    <s v="H"/>
    <n v="10"/>
    <n v="350"/>
    <n v="3500"/>
  </r>
  <r>
    <x v="23"/>
    <s v="H"/>
    <n v="8"/>
    <n v="1575"/>
    <n v="12600"/>
  </r>
  <r>
    <x v="24"/>
    <s v="H"/>
    <n v="5"/>
    <n v="1045"/>
    <n v="5225"/>
  </r>
  <r>
    <x v="25"/>
    <s v="H"/>
    <n v="3"/>
    <n v="1186"/>
    <n v="3558"/>
  </r>
  <r>
    <x v="26"/>
    <s v="H"/>
    <n v="4"/>
    <n v="374"/>
    <n v="1496"/>
  </r>
  <r>
    <x v="27"/>
    <s v="H"/>
    <n v="2"/>
    <n v="1500"/>
    <n v="3000"/>
  </r>
  <r>
    <x v="28"/>
    <s v="H"/>
    <n v="1"/>
    <n v="1800"/>
    <n v="1800"/>
  </r>
  <r>
    <x v="29"/>
    <s v="H"/>
    <n v="0"/>
    <n v="1477"/>
    <n v="0"/>
  </r>
  <r>
    <x v="0"/>
    <s v="M"/>
    <n v="23"/>
    <n v="210"/>
    <n v="4830"/>
  </r>
  <r>
    <x v="1"/>
    <s v="M"/>
    <n v="10"/>
    <n v="199"/>
    <n v="1990"/>
  </r>
  <r>
    <x v="2"/>
    <s v="M"/>
    <n v="9"/>
    <n v="322"/>
    <n v="2898"/>
  </r>
  <r>
    <x v="3"/>
    <s v="M"/>
    <n v="5"/>
    <n v="161"/>
    <n v="805"/>
  </r>
  <r>
    <x v="4"/>
    <s v="M"/>
    <n v="4"/>
    <n v="109"/>
    <n v="436"/>
  </r>
  <r>
    <x v="5"/>
    <s v="M"/>
    <n v="4"/>
    <n v="122"/>
    <n v="488"/>
  </r>
  <r>
    <x v="6"/>
    <s v="M"/>
    <n v="3"/>
    <n v="96"/>
    <n v="288"/>
  </r>
  <r>
    <x v="7"/>
    <s v="M"/>
    <n v="0"/>
    <n v="73"/>
    <n v="0"/>
  </r>
  <r>
    <x v="8"/>
    <s v="M"/>
    <n v="0"/>
    <n v="225"/>
    <n v="0"/>
  </r>
  <r>
    <x v="9"/>
    <s v="M"/>
    <n v="0"/>
    <n v="559"/>
    <n v="0"/>
  </r>
  <r>
    <x v="10"/>
    <s v="M"/>
    <n v="13"/>
    <n v="3199"/>
    <n v="41587"/>
  </r>
  <r>
    <x v="11"/>
    <s v="M"/>
    <n v="4"/>
    <n v="371"/>
    <n v="1484"/>
  </r>
  <r>
    <x v="12"/>
    <s v="M"/>
    <n v="7"/>
    <n v="2300"/>
    <n v="16100"/>
  </r>
  <r>
    <x v="13"/>
    <s v="M"/>
    <n v="3"/>
    <n v="499"/>
    <n v="1497"/>
  </r>
  <r>
    <x v="14"/>
    <s v="M"/>
    <n v="0"/>
    <n v="299"/>
    <n v="0"/>
  </r>
  <r>
    <x v="15"/>
    <s v="M"/>
    <n v="0"/>
    <n v="901"/>
    <n v="0"/>
  </r>
  <r>
    <x v="16"/>
    <s v="M"/>
    <n v="1"/>
    <n v="929"/>
    <n v="929"/>
  </r>
  <r>
    <x v="17"/>
    <s v="M"/>
    <n v="0"/>
    <n v="1030"/>
    <n v="0"/>
  </r>
  <r>
    <x v="18"/>
    <s v="M"/>
    <n v="0"/>
    <n v="1222"/>
    <n v="0"/>
  </r>
  <r>
    <x v="19"/>
    <s v="M"/>
    <n v="0"/>
    <n v="649"/>
    <n v="0"/>
  </r>
  <r>
    <x v="20"/>
    <s v="M"/>
    <n v="17"/>
    <n v="1800"/>
    <n v="30600"/>
  </r>
  <r>
    <x v="21"/>
    <s v="M"/>
    <n v="11"/>
    <n v="345"/>
    <n v="3795"/>
  </r>
  <r>
    <x v="22"/>
    <s v="M"/>
    <n v="7"/>
    <n v="350"/>
    <n v="2450"/>
  </r>
  <r>
    <x v="23"/>
    <s v="M"/>
    <n v="6"/>
    <n v="1575"/>
    <n v="9450"/>
  </r>
  <r>
    <x v="24"/>
    <s v="M"/>
    <n v="4"/>
    <n v="1045"/>
    <n v="4180"/>
  </r>
  <r>
    <x v="25"/>
    <s v="M"/>
    <n v="1"/>
    <n v="1186"/>
    <n v="1186"/>
  </r>
  <r>
    <x v="26"/>
    <s v="M"/>
    <n v="0"/>
    <n v="374"/>
    <n v="0"/>
  </r>
  <r>
    <x v="27"/>
    <s v="M"/>
    <n v="1"/>
    <n v="1500"/>
    <n v="1500"/>
  </r>
  <r>
    <x v="28"/>
    <s v="M"/>
    <n v="0"/>
    <n v="1800"/>
    <n v="0"/>
  </r>
  <r>
    <x v="29"/>
    <s v="M"/>
    <n v="0"/>
    <n v="1477"/>
    <n v="0"/>
  </r>
  <r>
    <x v="0"/>
    <s v="C"/>
    <n v="4"/>
    <n v="210"/>
    <n v="840"/>
  </r>
  <r>
    <x v="1"/>
    <s v="C"/>
    <n v="4"/>
    <n v="199"/>
    <n v="796"/>
  </r>
  <r>
    <x v="2"/>
    <s v="C"/>
    <n v="4"/>
    <n v="322"/>
    <n v="1288"/>
  </r>
  <r>
    <x v="3"/>
    <s v="C"/>
    <n v="4"/>
    <n v="161"/>
    <n v="644"/>
  </r>
  <r>
    <x v="4"/>
    <s v="C"/>
    <n v="3"/>
    <n v="109"/>
    <n v="327"/>
  </r>
  <r>
    <x v="5"/>
    <s v="C"/>
    <n v="1"/>
    <n v="122"/>
    <n v="122"/>
  </r>
  <r>
    <x v="6"/>
    <s v="C"/>
    <n v="3"/>
    <n v="96"/>
    <n v="288"/>
  </r>
  <r>
    <x v="7"/>
    <s v="C"/>
    <n v="0"/>
    <n v="73"/>
    <n v="0"/>
  </r>
  <r>
    <x v="8"/>
    <s v="C"/>
    <n v="0"/>
    <n v="225"/>
    <n v="0"/>
  </r>
  <r>
    <x v="9"/>
    <s v="C"/>
    <n v="1"/>
    <n v="559"/>
    <n v="559"/>
  </r>
  <r>
    <x v="10"/>
    <s v="C"/>
    <n v="23"/>
    <n v="3199"/>
    <n v="73577"/>
  </r>
  <r>
    <x v="11"/>
    <s v="C"/>
    <n v="13"/>
    <n v="371"/>
    <n v="4823"/>
  </r>
  <r>
    <x v="12"/>
    <s v="C"/>
    <n v="3"/>
    <n v="2300"/>
    <n v="6900"/>
  </r>
  <r>
    <x v="13"/>
    <s v="C"/>
    <n v="5"/>
    <n v="499"/>
    <n v="2495"/>
  </r>
  <r>
    <x v="14"/>
    <s v="C"/>
    <n v="5"/>
    <n v="299"/>
    <n v="1495"/>
  </r>
  <r>
    <x v="15"/>
    <s v="C"/>
    <n v="5"/>
    <n v="901"/>
    <n v="4505"/>
  </r>
  <r>
    <x v="16"/>
    <s v="C"/>
    <n v="4"/>
    <n v="929"/>
    <n v="3716"/>
  </r>
  <r>
    <x v="17"/>
    <s v="C"/>
    <n v="2"/>
    <n v="1030"/>
    <n v="2060"/>
  </r>
  <r>
    <x v="18"/>
    <s v="C"/>
    <n v="1"/>
    <n v="1222"/>
    <n v="1222"/>
  </r>
  <r>
    <x v="19"/>
    <s v="C"/>
    <n v="3"/>
    <n v="649"/>
    <n v="1947"/>
  </r>
  <r>
    <x v="20"/>
    <s v="C"/>
    <n v="11"/>
    <n v="1800"/>
    <n v="19800"/>
  </r>
  <r>
    <x v="21"/>
    <s v="C"/>
    <n v="8"/>
    <n v="345"/>
    <n v="2760"/>
  </r>
  <r>
    <x v="22"/>
    <s v="C"/>
    <n v="4"/>
    <n v="350"/>
    <n v="1400"/>
  </r>
  <r>
    <x v="23"/>
    <s v="C"/>
    <n v="4"/>
    <n v="1575"/>
    <n v="6300"/>
  </r>
  <r>
    <x v="24"/>
    <s v="C"/>
    <n v="2"/>
    <n v="1045"/>
    <n v="2090"/>
  </r>
  <r>
    <x v="25"/>
    <s v="C"/>
    <n v="2"/>
    <n v="1186"/>
    <n v="2372"/>
  </r>
  <r>
    <x v="26"/>
    <s v="C"/>
    <n v="5"/>
    <n v="374"/>
    <n v="1870"/>
  </r>
  <r>
    <x v="27"/>
    <s v="C"/>
    <n v="2"/>
    <n v="1500"/>
    <n v="3000"/>
  </r>
  <r>
    <x v="28"/>
    <s v="C"/>
    <n v="2"/>
    <n v="1800"/>
    <n v="3600"/>
  </r>
  <r>
    <x v="29"/>
    <s v="C"/>
    <n v="0"/>
    <n v="1477"/>
    <n v="0"/>
  </r>
  <r>
    <x v="0"/>
    <s v="H"/>
    <n v="37"/>
    <n v="210"/>
    <n v="7770"/>
  </r>
  <r>
    <x v="1"/>
    <s v="H"/>
    <n v="13"/>
    <n v="199"/>
    <n v="2587"/>
  </r>
  <r>
    <x v="2"/>
    <s v="H"/>
    <n v="14"/>
    <n v="322"/>
    <n v="4508"/>
  </r>
  <r>
    <x v="3"/>
    <s v="H"/>
    <n v="9"/>
    <n v="161"/>
    <n v="1449"/>
  </r>
  <r>
    <x v="4"/>
    <s v="H"/>
    <n v="7"/>
    <n v="109"/>
    <n v="763"/>
  </r>
  <r>
    <x v="5"/>
    <s v="H"/>
    <n v="3"/>
    <n v="122"/>
    <n v="366"/>
  </r>
  <r>
    <x v="6"/>
    <s v="H"/>
    <n v="5"/>
    <n v="96"/>
    <n v="480"/>
  </r>
  <r>
    <x v="7"/>
    <s v="H"/>
    <n v="0"/>
    <n v="73"/>
    <n v="0"/>
  </r>
  <r>
    <x v="8"/>
    <s v="H"/>
    <n v="2"/>
    <n v="225"/>
    <n v="450"/>
  </r>
  <r>
    <x v="9"/>
    <s v="H"/>
    <n v="1"/>
    <n v="559"/>
    <n v="559"/>
  </r>
  <r>
    <x v="10"/>
    <s v="H"/>
    <n v="34"/>
    <n v="3199"/>
    <n v="108766"/>
  </r>
  <r>
    <x v="11"/>
    <s v="H"/>
    <n v="17"/>
    <n v="371"/>
    <n v="6307"/>
  </r>
  <r>
    <x v="12"/>
    <s v="H"/>
    <n v="13"/>
    <n v="2300"/>
    <n v="29900"/>
  </r>
  <r>
    <x v="13"/>
    <s v="H"/>
    <n v="10"/>
    <n v="499"/>
    <n v="4990"/>
  </r>
  <r>
    <x v="14"/>
    <s v="H"/>
    <n v="6"/>
    <n v="299"/>
    <n v="1794"/>
  </r>
  <r>
    <x v="15"/>
    <s v="H"/>
    <n v="3"/>
    <n v="901"/>
    <n v="2703"/>
  </r>
  <r>
    <x v="16"/>
    <s v="H"/>
    <n v="2"/>
    <n v="929"/>
    <n v="1858"/>
  </r>
  <r>
    <x v="17"/>
    <s v="H"/>
    <n v="2"/>
    <n v="1030"/>
    <n v="2060"/>
  </r>
  <r>
    <x v="18"/>
    <s v="H"/>
    <n v="2"/>
    <n v="1222"/>
    <n v="2444"/>
  </r>
  <r>
    <x v="19"/>
    <s v="H"/>
    <n v="0"/>
    <n v="649"/>
    <n v="0"/>
  </r>
  <r>
    <x v="20"/>
    <s v="H"/>
    <n v="29"/>
    <n v="1800"/>
    <n v="52200"/>
  </r>
  <r>
    <x v="21"/>
    <s v="H"/>
    <n v="14"/>
    <n v="345"/>
    <n v="4830"/>
  </r>
  <r>
    <x v="22"/>
    <s v="H"/>
    <n v="13"/>
    <n v="350"/>
    <n v="4550"/>
  </r>
  <r>
    <x v="23"/>
    <s v="H"/>
    <n v="10"/>
    <n v="1575"/>
    <n v="15750"/>
  </r>
  <r>
    <x v="24"/>
    <s v="H"/>
    <n v="5"/>
    <n v="1045"/>
    <n v="5225"/>
  </r>
  <r>
    <x v="25"/>
    <s v="H"/>
    <n v="3"/>
    <n v="1186"/>
    <n v="3558"/>
  </r>
  <r>
    <x v="26"/>
    <s v="H"/>
    <n v="4"/>
    <n v="374"/>
    <n v="1496"/>
  </r>
  <r>
    <x v="27"/>
    <s v="H"/>
    <n v="0"/>
    <n v="1500"/>
    <n v="0"/>
  </r>
  <r>
    <x v="28"/>
    <s v="H"/>
    <n v="0"/>
    <n v="1800"/>
    <n v="0"/>
  </r>
  <r>
    <x v="29"/>
    <s v="H"/>
    <n v="2"/>
    <n v="1477"/>
    <n v="2954"/>
  </r>
  <r>
    <x v="0"/>
    <s v="M"/>
    <n v="19"/>
    <n v="210"/>
    <n v="3990"/>
  </r>
  <r>
    <x v="1"/>
    <s v="M"/>
    <n v="10"/>
    <n v="199"/>
    <n v="1990"/>
  </r>
  <r>
    <x v="2"/>
    <s v="M"/>
    <n v="9"/>
    <n v="322"/>
    <n v="2898"/>
  </r>
  <r>
    <x v="3"/>
    <s v="M"/>
    <n v="6"/>
    <n v="161"/>
    <n v="966"/>
  </r>
  <r>
    <x v="4"/>
    <s v="M"/>
    <n v="4"/>
    <n v="109"/>
    <n v="436"/>
  </r>
  <r>
    <x v="5"/>
    <s v="M"/>
    <n v="2"/>
    <n v="122"/>
    <n v="244"/>
  </r>
  <r>
    <x v="6"/>
    <s v="M"/>
    <n v="3"/>
    <n v="96"/>
    <n v="288"/>
  </r>
  <r>
    <x v="7"/>
    <s v="M"/>
    <n v="0"/>
    <n v="73"/>
    <n v="0"/>
  </r>
  <r>
    <x v="8"/>
    <s v="M"/>
    <n v="1"/>
    <n v="225"/>
    <n v="225"/>
  </r>
  <r>
    <x v="9"/>
    <s v="M"/>
    <n v="0"/>
    <n v="559"/>
    <n v="0"/>
  </r>
  <r>
    <x v="10"/>
    <s v="M"/>
    <n v="6"/>
    <n v="3199"/>
    <n v="19194"/>
  </r>
  <r>
    <x v="11"/>
    <s v="M"/>
    <n v="2"/>
    <n v="371"/>
    <n v="742"/>
  </r>
  <r>
    <x v="12"/>
    <s v="M"/>
    <n v="0"/>
    <n v="2300"/>
    <n v="0"/>
  </r>
  <r>
    <x v="13"/>
    <s v="M"/>
    <n v="2"/>
    <n v="499"/>
    <n v="998"/>
  </r>
  <r>
    <x v="14"/>
    <s v="M"/>
    <n v="4"/>
    <n v="299"/>
    <n v="1196"/>
  </r>
  <r>
    <x v="15"/>
    <s v="M"/>
    <n v="2"/>
    <n v="901"/>
    <n v="1802"/>
  </r>
  <r>
    <x v="16"/>
    <s v="M"/>
    <n v="0"/>
    <n v="929"/>
    <n v="0"/>
  </r>
  <r>
    <x v="17"/>
    <s v="M"/>
    <n v="0"/>
    <n v="1030"/>
    <n v="0"/>
  </r>
  <r>
    <x v="18"/>
    <s v="M"/>
    <n v="1"/>
    <n v="1222"/>
    <n v="1222"/>
  </r>
  <r>
    <x v="19"/>
    <s v="M"/>
    <n v="0"/>
    <n v="649"/>
    <n v="0"/>
  </r>
  <r>
    <x v="20"/>
    <s v="M"/>
    <n v="18"/>
    <n v="1800"/>
    <n v="32400"/>
  </r>
  <r>
    <x v="21"/>
    <s v="M"/>
    <n v="9"/>
    <n v="345"/>
    <n v="3105"/>
  </r>
  <r>
    <x v="22"/>
    <s v="M"/>
    <n v="9"/>
    <n v="350"/>
    <n v="3150"/>
  </r>
  <r>
    <x v="23"/>
    <s v="M"/>
    <n v="6"/>
    <n v="1575"/>
    <n v="9450"/>
  </r>
  <r>
    <x v="24"/>
    <s v="M"/>
    <n v="2"/>
    <n v="1045"/>
    <n v="2090"/>
  </r>
  <r>
    <x v="25"/>
    <s v="M"/>
    <n v="1"/>
    <n v="1186"/>
    <n v="1186"/>
  </r>
  <r>
    <x v="26"/>
    <s v="M"/>
    <n v="2"/>
    <n v="374"/>
    <n v="748"/>
  </r>
  <r>
    <x v="27"/>
    <s v="M"/>
    <n v="0"/>
    <n v="1500"/>
    <n v="0"/>
  </r>
  <r>
    <x v="28"/>
    <s v="M"/>
    <n v="0"/>
    <n v="1800"/>
    <n v="0"/>
  </r>
  <r>
    <x v="29"/>
    <s v="M"/>
    <n v="1"/>
    <n v="1477"/>
    <n v="1477"/>
  </r>
  <r>
    <x v="0"/>
    <s v="C"/>
    <n v="8"/>
    <n v="210"/>
    <n v="1680"/>
  </r>
  <r>
    <x v="1"/>
    <s v="C"/>
    <n v="8"/>
    <n v="199"/>
    <n v="1592"/>
  </r>
  <r>
    <x v="2"/>
    <s v="C"/>
    <n v="2"/>
    <n v="322"/>
    <n v="644"/>
  </r>
  <r>
    <x v="3"/>
    <s v="C"/>
    <n v="5"/>
    <n v="161"/>
    <n v="805"/>
  </r>
  <r>
    <x v="4"/>
    <s v="C"/>
    <n v="2"/>
    <n v="109"/>
    <n v="218"/>
  </r>
  <r>
    <x v="5"/>
    <s v="C"/>
    <n v="1"/>
    <n v="122"/>
    <n v="122"/>
  </r>
  <r>
    <x v="6"/>
    <s v="C"/>
    <n v="2"/>
    <n v="96"/>
    <n v="192"/>
  </r>
  <r>
    <x v="7"/>
    <s v="C"/>
    <n v="1"/>
    <n v="73"/>
    <n v="73"/>
  </r>
  <r>
    <x v="8"/>
    <s v="C"/>
    <n v="1"/>
    <n v="225"/>
    <n v="225"/>
  </r>
  <r>
    <x v="9"/>
    <s v="C"/>
    <n v="1"/>
    <n v="559"/>
    <n v="559"/>
  </r>
  <r>
    <x v="10"/>
    <s v="C"/>
    <n v="24"/>
    <n v="3199"/>
    <n v="76776"/>
  </r>
  <r>
    <x v="11"/>
    <s v="C"/>
    <n v="14"/>
    <n v="371"/>
    <n v="5194"/>
  </r>
  <r>
    <x v="12"/>
    <s v="C"/>
    <n v="10"/>
    <n v="2300"/>
    <n v="23000"/>
  </r>
  <r>
    <x v="13"/>
    <s v="C"/>
    <n v="6"/>
    <n v="499"/>
    <n v="2994"/>
  </r>
  <r>
    <x v="14"/>
    <s v="C"/>
    <n v="5"/>
    <n v="299"/>
    <n v="1495"/>
  </r>
  <r>
    <x v="15"/>
    <s v="C"/>
    <n v="3"/>
    <n v="901"/>
    <n v="2703"/>
  </r>
  <r>
    <x v="16"/>
    <s v="C"/>
    <n v="3"/>
    <n v="929"/>
    <n v="2787"/>
  </r>
  <r>
    <x v="17"/>
    <s v="C"/>
    <n v="3"/>
    <n v="1030"/>
    <n v="3090"/>
  </r>
  <r>
    <x v="18"/>
    <s v="C"/>
    <n v="2"/>
    <n v="1222"/>
    <n v="2444"/>
  </r>
  <r>
    <x v="19"/>
    <s v="C"/>
    <n v="0"/>
    <n v="649"/>
    <n v="0"/>
  </r>
  <r>
    <x v="20"/>
    <s v="C"/>
    <n v="9"/>
    <n v="1800"/>
    <n v="16200"/>
  </r>
  <r>
    <x v="21"/>
    <s v="C"/>
    <n v="9"/>
    <n v="345"/>
    <n v="3105"/>
  </r>
  <r>
    <x v="22"/>
    <s v="C"/>
    <n v="2"/>
    <n v="350"/>
    <n v="700"/>
  </r>
  <r>
    <x v="23"/>
    <s v="C"/>
    <n v="2"/>
    <n v="1575"/>
    <n v="3150"/>
  </r>
  <r>
    <x v="24"/>
    <s v="C"/>
    <n v="6"/>
    <n v="1045"/>
    <n v="6270"/>
  </r>
  <r>
    <x v="25"/>
    <s v="C"/>
    <n v="4"/>
    <n v="1186"/>
    <n v="4744"/>
  </r>
  <r>
    <x v="26"/>
    <s v="C"/>
    <n v="3"/>
    <n v="374"/>
    <n v="1122"/>
  </r>
  <r>
    <x v="27"/>
    <s v="C"/>
    <n v="1"/>
    <n v="1500"/>
    <n v="1500"/>
  </r>
  <r>
    <x v="28"/>
    <s v="C"/>
    <n v="0"/>
    <n v="1800"/>
    <n v="0"/>
  </r>
  <r>
    <x v="29"/>
    <s v="C"/>
    <n v="2"/>
    <n v="1477"/>
    <n v="2954"/>
  </r>
  <r>
    <x v="0"/>
    <s v="H"/>
    <n v="36"/>
    <n v="210"/>
    <n v="7560"/>
  </r>
  <r>
    <x v="1"/>
    <s v="H"/>
    <n v="19"/>
    <n v="199"/>
    <n v="3781"/>
  </r>
  <r>
    <x v="2"/>
    <s v="H"/>
    <n v="12"/>
    <n v="322"/>
    <n v="3864"/>
  </r>
  <r>
    <x v="3"/>
    <s v="H"/>
    <n v="10"/>
    <n v="161"/>
    <n v="1610"/>
  </r>
  <r>
    <x v="4"/>
    <s v="H"/>
    <n v="7"/>
    <n v="109"/>
    <n v="763"/>
  </r>
  <r>
    <x v="5"/>
    <s v="H"/>
    <n v="4"/>
    <n v="122"/>
    <n v="488"/>
  </r>
  <r>
    <x v="6"/>
    <s v="H"/>
    <n v="4"/>
    <n v="96"/>
    <n v="384"/>
  </r>
  <r>
    <x v="7"/>
    <s v="H"/>
    <n v="2"/>
    <n v="73"/>
    <n v="146"/>
  </r>
  <r>
    <x v="8"/>
    <s v="H"/>
    <n v="0"/>
    <n v="225"/>
    <n v="0"/>
  </r>
  <r>
    <x v="9"/>
    <s v="H"/>
    <n v="1"/>
    <n v="559"/>
    <n v="559"/>
  </r>
  <r>
    <x v="10"/>
    <s v="H"/>
    <n v="30"/>
    <n v="3199"/>
    <n v="95970"/>
  </r>
  <r>
    <x v="11"/>
    <s v="H"/>
    <n v="15"/>
    <n v="371"/>
    <n v="5565"/>
  </r>
  <r>
    <x v="12"/>
    <s v="H"/>
    <n v="12"/>
    <n v="2300"/>
    <n v="27600"/>
  </r>
  <r>
    <x v="13"/>
    <s v="H"/>
    <n v="12"/>
    <n v="499"/>
    <n v="5988"/>
  </r>
  <r>
    <x v="14"/>
    <s v="H"/>
    <n v="7"/>
    <n v="299"/>
    <n v="2093"/>
  </r>
  <r>
    <x v="15"/>
    <s v="H"/>
    <n v="3"/>
    <n v="901"/>
    <n v="2703"/>
  </r>
  <r>
    <x v="16"/>
    <s v="H"/>
    <n v="5"/>
    <n v="929"/>
    <n v="4645"/>
  </r>
  <r>
    <x v="17"/>
    <s v="H"/>
    <n v="1"/>
    <n v="1030"/>
    <n v="1030"/>
  </r>
  <r>
    <x v="18"/>
    <s v="H"/>
    <n v="0"/>
    <n v="1222"/>
    <n v="0"/>
  </r>
  <r>
    <x v="19"/>
    <s v="H"/>
    <n v="2"/>
    <n v="649"/>
    <n v="1298"/>
  </r>
  <r>
    <x v="20"/>
    <s v="H"/>
    <n v="24"/>
    <n v="1800"/>
    <n v="43200"/>
  </r>
  <r>
    <x v="21"/>
    <s v="H"/>
    <n v="19"/>
    <n v="345"/>
    <n v="6555"/>
  </r>
  <r>
    <x v="22"/>
    <s v="H"/>
    <n v="12"/>
    <n v="350"/>
    <n v="4200"/>
  </r>
  <r>
    <x v="23"/>
    <s v="H"/>
    <n v="7"/>
    <n v="1575"/>
    <n v="11025"/>
  </r>
  <r>
    <x v="24"/>
    <s v="H"/>
    <n v="4"/>
    <n v="1045"/>
    <n v="4180"/>
  </r>
  <r>
    <x v="25"/>
    <s v="H"/>
    <n v="2"/>
    <n v="1186"/>
    <n v="2372"/>
  </r>
  <r>
    <x v="26"/>
    <s v="H"/>
    <n v="2"/>
    <n v="374"/>
    <n v="748"/>
  </r>
  <r>
    <x v="27"/>
    <s v="H"/>
    <n v="1"/>
    <n v="1500"/>
    <n v="1500"/>
  </r>
  <r>
    <x v="28"/>
    <s v="H"/>
    <n v="0"/>
    <n v="1800"/>
    <n v="0"/>
  </r>
  <r>
    <x v="29"/>
    <s v="H"/>
    <n v="0"/>
    <n v="1477"/>
    <n v="0"/>
  </r>
  <r>
    <x v="0"/>
    <s v="M"/>
    <n v="24"/>
    <n v="210"/>
    <n v="5040"/>
  </r>
  <r>
    <x v="1"/>
    <s v="M"/>
    <n v="11"/>
    <n v="199"/>
    <n v="2189"/>
  </r>
  <r>
    <x v="2"/>
    <s v="M"/>
    <n v="8"/>
    <n v="322"/>
    <n v="2576"/>
  </r>
  <r>
    <x v="3"/>
    <s v="M"/>
    <n v="8"/>
    <n v="161"/>
    <n v="1288"/>
  </r>
  <r>
    <x v="4"/>
    <s v="M"/>
    <n v="4"/>
    <n v="109"/>
    <n v="436"/>
  </r>
  <r>
    <x v="5"/>
    <s v="M"/>
    <n v="2"/>
    <n v="122"/>
    <n v="244"/>
  </r>
  <r>
    <x v="6"/>
    <s v="M"/>
    <n v="3"/>
    <n v="96"/>
    <n v="288"/>
  </r>
  <r>
    <x v="7"/>
    <s v="M"/>
    <n v="1"/>
    <n v="73"/>
    <n v="73"/>
  </r>
  <r>
    <x v="8"/>
    <s v="M"/>
    <n v="0"/>
    <n v="225"/>
    <n v="0"/>
  </r>
  <r>
    <x v="9"/>
    <s v="M"/>
    <n v="1"/>
    <n v="559"/>
    <n v="559"/>
  </r>
  <r>
    <x v="10"/>
    <s v="M"/>
    <n v="21"/>
    <n v="3199"/>
    <n v="67179"/>
  </r>
  <r>
    <x v="11"/>
    <s v="M"/>
    <n v="7"/>
    <n v="371"/>
    <n v="2597"/>
  </r>
  <r>
    <x v="12"/>
    <s v="M"/>
    <n v="0"/>
    <n v="2300"/>
    <n v="0"/>
  </r>
  <r>
    <x v="13"/>
    <s v="M"/>
    <n v="1"/>
    <n v="499"/>
    <n v="499"/>
  </r>
  <r>
    <x v="14"/>
    <s v="M"/>
    <n v="3"/>
    <n v="299"/>
    <n v="897"/>
  </r>
  <r>
    <x v="15"/>
    <s v="M"/>
    <n v="1"/>
    <n v="901"/>
    <n v="901"/>
  </r>
  <r>
    <x v="16"/>
    <s v="M"/>
    <n v="1"/>
    <n v="929"/>
    <n v="929"/>
  </r>
  <r>
    <x v="17"/>
    <s v="M"/>
    <n v="0"/>
    <n v="1030"/>
    <n v="0"/>
  </r>
  <r>
    <x v="18"/>
    <s v="M"/>
    <n v="0"/>
    <n v="1222"/>
    <n v="0"/>
  </r>
  <r>
    <x v="19"/>
    <s v="M"/>
    <n v="1"/>
    <n v="649"/>
    <n v="649"/>
  </r>
  <r>
    <x v="20"/>
    <s v="M"/>
    <n v="18"/>
    <n v="1800"/>
    <n v="32400"/>
  </r>
  <r>
    <x v="21"/>
    <s v="M"/>
    <n v="14"/>
    <n v="345"/>
    <n v="4830"/>
  </r>
  <r>
    <x v="22"/>
    <s v="M"/>
    <n v="7"/>
    <n v="350"/>
    <n v="2450"/>
  </r>
  <r>
    <x v="23"/>
    <s v="M"/>
    <n v="5"/>
    <n v="1575"/>
    <n v="7875"/>
  </r>
  <r>
    <x v="24"/>
    <s v="M"/>
    <n v="3"/>
    <n v="1045"/>
    <n v="3135"/>
  </r>
  <r>
    <x v="25"/>
    <s v="M"/>
    <n v="0"/>
    <n v="1186"/>
    <n v="0"/>
  </r>
  <r>
    <x v="26"/>
    <s v="M"/>
    <n v="0"/>
    <n v="374"/>
    <n v="0"/>
  </r>
  <r>
    <x v="27"/>
    <s v="M"/>
    <n v="0"/>
    <n v="1500"/>
    <n v="0"/>
  </r>
  <r>
    <x v="28"/>
    <s v="M"/>
    <n v="0"/>
    <n v="1800"/>
    <n v="0"/>
  </r>
  <r>
    <x v="29"/>
    <s v="M"/>
    <n v="0"/>
    <n v="1477"/>
    <n v="0"/>
  </r>
  <r>
    <x v="0"/>
    <s v="C"/>
    <n v="2"/>
    <n v="210"/>
    <n v="420"/>
  </r>
  <r>
    <x v="1"/>
    <s v="C"/>
    <n v="5"/>
    <n v="199"/>
    <n v="995"/>
  </r>
  <r>
    <x v="2"/>
    <s v="C"/>
    <n v="4"/>
    <n v="322"/>
    <n v="1288"/>
  </r>
  <r>
    <x v="3"/>
    <s v="C"/>
    <n v="2"/>
    <n v="161"/>
    <n v="322"/>
  </r>
  <r>
    <x v="4"/>
    <s v="C"/>
    <n v="2"/>
    <n v="109"/>
    <n v="218"/>
  </r>
  <r>
    <x v="5"/>
    <s v="C"/>
    <n v="2"/>
    <n v="122"/>
    <n v="244"/>
  </r>
  <r>
    <x v="6"/>
    <s v="C"/>
    <n v="2"/>
    <n v="96"/>
    <n v="192"/>
  </r>
  <r>
    <x v="7"/>
    <s v="C"/>
    <n v="2"/>
    <n v="73"/>
    <n v="146"/>
  </r>
  <r>
    <x v="8"/>
    <s v="C"/>
    <n v="1"/>
    <n v="225"/>
    <n v="225"/>
  </r>
  <r>
    <x v="9"/>
    <s v="C"/>
    <n v="1"/>
    <n v="559"/>
    <n v="559"/>
  </r>
  <r>
    <x v="10"/>
    <s v="C"/>
    <n v="14"/>
    <n v="3199"/>
    <n v="44786"/>
  </r>
  <r>
    <x v="11"/>
    <s v="C"/>
    <n v="6"/>
    <n v="371"/>
    <n v="2226"/>
  </r>
  <r>
    <x v="12"/>
    <s v="C"/>
    <n v="9"/>
    <n v="2300"/>
    <n v="20700"/>
  </r>
  <r>
    <x v="13"/>
    <s v="C"/>
    <n v="7"/>
    <n v="499"/>
    <n v="3493"/>
  </r>
  <r>
    <x v="14"/>
    <s v="C"/>
    <n v="3"/>
    <n v="299"/>
    <n v="897"/>
  </r>
  <r>
    <x v="15"/>
    <s v="C"/>
    <n v="3"/>
    <n v="901"/>
    <n v="2703"/>
  </r>
  <r>
    <x v="16"/>
    <s v="C"/>
    <n v="3"/>
    <n v="929"/>
    <n v="2787"/>
  </r>
  <r>
    <x v="17"/>
    <s v="C"/>
    <n v="1"/>
    <n v="1030"/>
    <n v="1030"/>
  </r>
  <r>
    <x v="18"/>
    <s v="C"/>
    <n v="1"/>
    <n v="1222"/>
    <n v="1222"/>
  </r>
  <r>
    <x v="19"/>
    <s v="C"/>
    <n v="1"/>
    <n v="649"/>
    <n v="649"/>
  </r>
  <r>
    <x v="20"/>
    <s v="C"/>
    <n v="13"/>
    <n v="1800"/>
    <n v="23400"/>
  </r>
  <r>
    <x v="21"/>
    <s v="C"/>
    <n v="2"/>
    <n v="345"/>
    <n v="690"/>
  </r>
  <r>
    <x v="22"/>
    <s v="C"/>
    <n v="1"/>
    <n v="350"/>
    <n v="350"/>
  </r>
  <r>
    <x v="23"/>
    <s v="C"/>
    <n v="4"/>
    <n v="1575"/>
    <n v="6300"/>
  </r>
  <r>
    <x v="24"/>
    <s v="C"/>
    <n v="3"/>
    <n v="1045"/>
    <n v="3135"/>
  </r>
  <r>
    <x v="25"/>
    <s v="C"/>
    <n v="3"/>
    <n v="1186"/>
    <n v="3558"/>
  </r>
  <r>
    <x v="26"/>
    <s v="C"/>
    <n v="3"/>
    <n v="374"/>
    <n v="1122"/>
  </r>
  <r>
    <x v="27"/>
    <s v="C"/>
    <n v="1"/>
    <n v="1500"/>
    <n v="1500"/>
  </r>
  <r>
    <x v="28"/>
    <s v="C"/>
    <n v="2"/>
    <n v="1800"/>
    <n v="3600"/>
  </r>
  <r>
    <x v="29"/>
    <s v="C"/>
    <n v="0"/>
    <n v="1477"/>
    <n v="0"/>
  </r>
  <r>
    <x v="0"/>
    <s v="H"/>
    <n v="35"/>
    <n v="210"/>
    <n v="7350"/>
  </r>
  <r>
    <x v="1"/>
    <s v="H"/>
    <n v="17"/>
    <n v="199"/>
    <n v="3383"/>
  </r>
  <r>
    <x v="2"/>
    <s v="H"/>
    <n v="12"/>
    <n v="322"/>
    <n v="3864"/>
  </r>
  <r>
    <x v="3"/>
    <s v="H"/>
    <n v="7"/>
    <n v="161"/>
    <n v="1127"/>
  </r>
  <r>
    <x v="4"/>
    <s v="H"/>
    <n v="4"/>
    <n v="109"/>
    <n v="436"/>
  </r>
  <r>
    <x v="5"/>
    <s v="H"/>
    <n v="6"/>
    <n v="122"/>
    <n v="732"/>
  </r>
  <r>
    <x v="6"/>
    <s v="H"/>
    <n v="3"/>
    <n v="96"/>
    <n v="288"/>
  </r>
  <r>
    <x v="7"/>
    <s v="H"/>
    <n v="2"/>
    <n v="73"/>
    <n v="146"/>
  </r>
  <r>
    <x v="8"/>
    <s v="H"/>
    <n v="1"/>
    <n v="225"/>
    <n v="225"/>
  </r>
  <r>
    <x v="9"/>
    <s v="H"/>
    <n v="1"/>
    <n v="559"/>
    <n v="559"/>
  </r>
  <r>
    <x v="10"/>
    <s v="H"/>
    <n v="30"/>
    <n v="3199"/>
    <n v="95970"/>
  </r>
  <r>
    <x v="11"/>
    <s v="H"/>
    <n v="16"/>
    <n v="371"/>
    <n v="5936"/>
  </r>
  <r>
    <x v="12"/>
    <s v="H"/>
    <n v="10"/>
    <n v="2300"/>
    <n v="23000"/>
  </r>
  <r>
    <x v="13"/>
    <s v="H"/>
    <n v="7"/>
    <n v="499"/>
    <n v="3493"/>
  </r>
  <r>
    <x v="14"/>
    <s v="H"/>
    <n v="6"/>
    <n v="299"/>
    <n v="1794"/>
  </r>
  <r>
    <x v="15"/>
    <s v="H"/>
    <n v="3"/>
    <n v="901"/>
    <n v="2703"/>
  </r>
  <r>
    <x v="16"/>
    <s v="H"/>
    <n v="4"/>
    <n v="929"/>
    <n v="3716"/>
  </r>
  <r>
    <x v="17"/>
    <s v="H"/>
    <n v="0"/>
    <n v="1030"/>
    <n v="0"/>
  </r>
  <r>
    <x v="18"/>
    <s v="H"/>
    <n v="0"/>
    <n v="1222"/>
    <n v="0"/>
  </r>
  <r>
    <x v="19"/>
    <s v="H"/>
    <n v="2"/>
    <n v="649"/>
    <n v="1298"/>
  </r>
  <r>
    <x v="20"/>
    <s v="H"/>
    <n v="33"/>
    <n v="1800"/>
    <n v="59400"/>
  </r>
  <r>
    <x v="21"/>
    <s v="H"/>
    <n v="19"/>
    <n v="345"/>
    <n v="6555"/>
  </r>
  <r>
    <x v="22"/>
    <s v="H"/>
    <n v="9"/>
    <n v="350"/>
    <n v="3150"/>
  </r>
  <r>
    <x v="23"/>
    <s v="H"/>
    <n v="8"/>
    <n v="1575"/>
    <n v="12600"/>
  </r>
  <r>
    <x v="24"/>
    <s v="H"/>
    <n v="5"/>
    <n v="1045"/>
    <n v="5225"/>
  </r>
  <r>
    <x v="25"/>
    <s v="H"/>
    <n v="2"/>
    <n v="1186"/>
    <n v="2372"/>
  </r>
  <r>
    <x v="26"/>
    <s v="H"/>
    <n v="3"/>
    <n v="374"/>
    <n v="1122"/>
  </r>
  <r>
    <x v="27"/>
    <s v="H"/>
    <n v="0"/>
    <n v="1500"/>
    <n v="0"/>
  </r>
  <r>
    <x v="28"/>
    <s v="H"/>
    <n v="1"/>
    <n v="1800"/>
    <n v="1800"/>
  </r>
  <r>
    <x v="29"/>
    <s v="H"/>
    <n v="0"/>
    <n v="1477"/>
    <n v="0"/>
  </r>
  <r>
    <x v="0"/>
    <s v="M"/>
    <n v="22"/>
    <n v="210"/>
    <n v="4620"/>
  </r>
  <r>
    <x v="1"/>
    <s v="M"/>
    <n v="9"/>
    <n v="199"/>
    <n v="1791"/>
  </r>
  <r>
    <x v="2"/>
    <s v="M"/>
    <n v="9"/>
    <n v="322"/>
    <n v="2898"/>
  </r>
  <r>
    <x v="3"/>
    <s v="M"/>
    <n v="7"/>
    <n v="161"/>
    <n v="1127"/>
  </r>
  <r>
    <x v="4"/>
    <s v="M"/>
    <n v="4"/>
    <n v="109"/>
    <n v="436"/>
  </r>
  <r>
    <x v="5"/>
    <s v="M"/>
    <n v="3"/>
    <n v="122"/>
    <n v="366"/>
  </r>
  <r>
    <x v="6"/>
    <s v="M"/>
    <n v="2"/>
    <n v="96"/>
    <n v="192"/>
  </r>
  <r>
    <x v="7"/>
    <s v="M"/>
    <n v="1"/>
    <n v="73"/>
    <n v="73"/>
  </r>
  <r>
    <x v="8"/>
    <s v="M"/>
    <n v="0"/>
    <n v="225"/>
    <n v="0"/>
  </r>
  <r>
    <x v="9"/>
    <s v="M"/>
    <n v="1"/>
    <n v="559"/>
    <n v="559"/>
  </r>
  <r>
    <x v="10"/>
    <s v="M"/>
    <n v="18"/>
    <n v="3199"/>
    <n v="57582"/>
  </r>
  <r>
    <x v="11"/>
    <s v="M"/>
    <n v="3"/>
    <n v="371"/>
    <n v="1113"/>
  </r>
  <r>
    <x v="12"/>
    <s v="M"/>
    <n v="6"/>
    <n v="2300"/>
    <n v="13800"/>
  </r>
  <r>
    <x v="13"/>
    <s v="M"/>
    <n v="7"/>
    <n v="499"/>
    <n v="3493"/>
  </r>
  <r>
    <x v="14"/>
    <s v="M"/>
    <n v="7"/>
    <n v="299"/>
    <n v="2093"/>
  </r>
  <r>
    <x v="15"/>
    <s v="M"/>
    <n v="1"/>
    <n v="901"/>
    <n v="901"/>
  </r>
  <r>
    <x v="16"/>
    <s v="M"/>
    <n v="3"/>
    <n v="929"/>
    <n v="2787"/>
  </r>
  <r>
    <x v="17"/>
    <s v="M"/>
    <n v="0"/>
    <n v="1030"/>
    <n v="0"/>
  </r>
  <r>
    <x v="18"/>
    <s v="M"/>
    <n v="0"/>
    <n v="1222"/>
    <n v="0"/>
  </r>
  <r>
    <x v="19"/>
    <s v="M"/>
    <n v="1"/>
    <n v="649"/>
    <n v="649"/>
  </r>
  <r>
    <x v="20"/>
    <s v="M"/>
    <n v="20"/>
    <n v="1800"/>
    <n v="36000"/>
  </r>
  <r>
    <x v="21"/>
    <s v="M"/>
    <n v="10"/>
    <n v="345"/>
    <n v="3450"/>
  </r>
  <r>
    <x v="22"/>
    <s v="M"/>
    <n v="7"/>
    <n v="350"/>
    <n v="2450"/>
  </r>
  <r>
    <x v="23"/>
    <s v="M"/>
    <n v="6"/>
    <n v="1575"/>
    <n v="9450"/>
  </r>
  <r>
    <x v="24"/>
    <s v="M"/>
    <n v="2"/>
    <n v="1045"/>
    <n v="2090"/>
  </r>
  <r>
    <x v="25"/>
    <s v="M"/>
    <n v="1"/>
    <n v="1186"/>
    <n v="1186"/>
  </r>
  <r>
    <x v="26"/>
    <s v="M"/>
    <n v="0"/>
    <n v="374"/>
    <n v="0"/>
  </r>
  <r>
    <x v="27"/>
    <s v="M"/>
    <n v="0"/>
    <n v="1500"/>
    <n v="0"/>
  </r>
  <r>
    <x v="28"/>
    <s v="M"/>
    <n v="0"/>
    <n v="1800"/>
    <n v="0"/>
  </r>
  <r>
    <x v="29"/>
    <s v="M"/>
    <n v="0"/>
    <n v="1477"/>
    <n v="0"/>
  </r>
  <r>
    <x v="0"/>
    <s v="C"/>
    <n v="6"/>
    <n v="210"/>
    <n v="1260"/>
  </r>
  <r>
    <x v="1"/>
    <s v="C"/>
    <n v="5"/>
    <n v="199"/>
    <n v="995"/>
  </r>
  <r>
    <x v="2"/>
    <s v="C"/>
    <n v="3"/>
    <n v="322"/>
    <n v="966"/>
  </r>
  <r>
    <x v="3"/>
    <s v="C"/>
    <n v="5"/>
    <n v="161"/>
    <n v="805"/>
  </r>
  <r>
    <x v="4"/>
    <s v="C"/>
    <n v="4"/>
    <n v="109"/>
    <n v="436"/>
  </r>
  <r>
    <x v="5"/>
    <s v="C"/>
    <n v="1"/>
    <n v="122"/>
    <n v="122"/>
  </r>
  <r>
    <x v="6"/>
    <s v="C"/>
    <n v="1"/>
    <n v="96"/>
    <n v="96"/>
  </r>
  <r>
    <x v="7"/>
    <s v="C"/>
    <n v="2"/>
    <n v="73"/>
    <n v="146"/>
  </r>
  <r>
    <x v="8"/>
    <s v="C"/>
    <n v="1"/>
    <n v="225"/>
    <n v="225"/>
  </r>
  <r>
    <x v="9"/>
    <s v="C"/>
    <n v="1"/>
    <n v="559"/>
    <n v="559"/>
  </r>
  <r>
    <x v="10"/>
    <s v="C"/>
    <n v="8"/>
    <n v="3199"/>
    <n v="25592"/>
  </r>
  <r>
    <x v="11"/>
    <s v="C"/>
    <n v="11"/>
    <n v="371"/>
    <n v="4081"/>
  </r>
  <r>
    <x v="12"/>
    <s v="C"/>
    <n v="7"/>
    <n v="2300"/>
    <n v="16100"/>
  </r>
  <r>
    <x v="13"/>
    <s v="C"/>
    <n v="1"/>
    <n v="499"/>
    <n v="499"/>
  </r>
  <r>
    <x v="14"/>
    <s v="C"/>
    <n v="2"/>
    <n v="299"/>
    <n v="598"/>
  </r>
  <r>
    <x v="15"/>
    <s v="C"/>
    <n v="5"/>
    <n v="901"/>
    <n v="4505"/>
  </r>
  <r>
    <x v="16"/>
    <s v="C"/>
    <n v="1"/>
    <n v="929"/>
    <n v="929"/>
  </r>
  <r>
    <x v="17"/>
    <s v="C"/>
    <n v="0"/>
    <n v="1030"/>
    <n v="0"/>
  </r>
  <r>
    <x v="18"/>
    <s v="C"/>
    <n v="1"/>
    <n v="1222"/>
    <n v="1222"/>
  </r>
  <r>
    <x v="19"/>
    <s v="C"/>
    <n v="2"/>
    <n v="649"/>
    <n v="1298"/>
  </r>
  <r>
    <x v="20"/>
    <s v="C"/>
    <n v="11"/>
    <n v="1800"/>
    <n v="19800"/>
  </r>
  <r>
    <x v="21"/>
    <s v="C"/>
    <n v="5"/>
    <n v="345"/>
    <n v="1725"/>
  </r>
  <r>
    <x v="22"/>
    <s v="C"/>
    <n v="5"/>
    <n v="350"/>
    <n v="1750"/>
  </r>
  <r>
    <x v="23"/>
    <s v="C"/>
    <n v="5"/>
    <n v="1575"/>
    <n v="7875"/>
  </r>
  <r>
    <x v="24"/>
    <s v="C"/>
    <n v="6"/>
    <n v="1045"/>
    <n v="6270"/>
  </r>
  <r>
    <x v="25"/>
    <s v="C"/>
    <n v="2"/>
    <n v="1186"/>
    <n v="2372"/>
  </r>
  <r>
    <x v="26"/>
    <s v="C"/>
    <n v="4"/>
    <n v="374"/>
    <n v="1496"/>
  </r>
  <r>
    <x v="27"/>
    <s v="C"/>
    <n v="2"/>
    <n v="1500"/>
    <n v="3000"/>
  </r>
  <r>
    <x v="28"/>
    <s v="C"/>
    <n v="2"/>
    <n v="1800"/>
    <n v="3600"/>
  </r>
  <r>
    <x v="29"/>
    <s v="C"/>
    <n v="0"/>
    <n v="1477"/>
    <n v="0"/>
  </r>
  <r>
    <x v="0"/>
    <s v="H"/>
    <n v="32"/>
    <n v="210"/>
    <n v="6720"/>
  </r>
  <r>
    <x v="1"/>
    <s v="H"/>
    <n v="17"/>
    <n v="199"/>
    <n v="3383"/>
  </r>
  <r>
    <x v="2"/>
    <s v="H"/>
    <n v="8"/>
    <n v="322"/>
    <n v="2576"/>
  </r>
  <r>
    <x v="3"/>
    <s v="H"/>
    <n v="10"/>
    <n v="161"/>
    <n v="1610"/>
  </r>
  <r>
    <x v="4"/>
    <s v="H"/>
    <n v="4"/>
    <n v="109"/>
    <n v="436"/>
  </r>
  <r>
    <x v="5"/>
    <s v="H"/>
    <n v="3"/>
    <n v="122"/>
    <n v="366"/>
  </r>
  <r>
    <x v="6"/>
    <s v="H"/>
    <n v="3"/>
    <n v="96"/>
    <n v="288"/>
  </r>
  <r>
    <x v="7"/>
    <s v="H"/>
    <n v="1"/>
    <n v="73"/>
    <n v="73"/>
  </r>
  <r>
    <x v="8"/>
    <s v="H"/>
    <n v="2"/>
    <n v="225"/>
    <n v="450"/>
  </r>
  <r>
    <x v="9"/>
    <s v="H"/>
    <n v="0"/>
    <n v="559"/>
    <n v="0"/>
  </r>
  <r>
    <x v="10"/>
    <s v="H"/>
    <n v="33"/>
    <n v="3199"/>
    <n v="105567"/>
  </r>
  <r>
    <x v="11"/>
    <s v="H"/>
    <n v="16"/>
    <n v="371"/>
    <n v="5936"/>
  </r>
  <r>
    <x v="12"/>
    <s v="H"/>
    <n v="10"/>
    <n v="2300"/>
    <n v="23000"/>
  </r>
  <r>
    <x v="13"/>
    <s v="H"/>
    <n v="8"/>
    <n v="499"/>
    <n v="3992"/>
  </r>
  <r>
    <x v="14"/>
    <s v="H"/>
    <n v="5"/>
    <n v="299"/>
    <n v="1495"/>
  </r>
  <r>
    <x v="15"/>
    <s v="H"/>
    <n v="2"/>
    <n v="901"/>
    <n v="1802"/>
  </r>
  <r>
    <x v="16"/>
    <s v="H"/>
    <n v="4"/>
    <n v="929"/>
    <n v="3716"/>
  </r>
  <r>
    <x v="17"/>
    <s v="H"/>
    <n v="1"/>
    <n v="1030"/>
    <n v="1030"/>
  </r>
  <r>
    <x v="18"/>
    <s v="H"/>
    <n v="1"/>
    <n v="1222"/>
    <n v="1222"/>
  </r>
  <r>
    <x v="19"/>
    <s v="H"/>
    <n v="1"/>
    <n v="649"/>
    <n v="649"/>
  </r>
  <r>
    <x v="20"/>
    <s v="H"/>
    <n v="28"/>
    <n v="1800"/>
    <n v="50400"/>
  </r>
  <r>
    <x v="21"/>
    <s v="H"/>
    <n v="13"/>
    <n v="345"/>
    <n v="4485"/>
  </r>
  <r>
    <x v="22"/>
    <s v="H"/>
    <n v="11"/>
    <n v="350"/>
    <n v="3850"/>
  </r>
  <r>
    <x v="23"/>
    <s v="H"/>
    <n v="10"/>
    <n v="1575"/>
    <n v="15750"/>
  </r>
  <r>
    <x v="24"/>
    <s v="H"/>
    <n v="5"/>
    <n v="1045"/>
    <n v="5225"/>
  </r>
  <r>
    <x v="25"/>
    <s v="H"/>
    <n v="3"/>
    <n v="1186"/>
    <n v="3558"/>
  </r>
  <r>
    <x v="26"/>
    <s v="H"/>
    <n v="3"/>
    <n v="374"/>
    <n v="1122"/>
  </r>
  <r>
    <x v="27"/>
    <s v="H"/>
    <n v="2"/>
    <n v="1500"/>
    <n v="3000"/>
  </r>
  <r>
    <x v="28"/>
    <s v="H"/>
    <n v="0"/>
    <n v="1800"/>
    <n v="0"/>
  </r>
  <r>
    <x v="29"/>
    <s v="H"/>
    <n v="0"/>
    <n v="1477"/>
    <n v="0"/>
  </r>
  <r>
    <x v="0"/>
    <s v="M"/>
    <n v="19"/>
    <n v="210"/>
    <n v="3990"/>
  </r>
  <r>
    <x v="1"/>
    <s v="M"/>
    <n v="11"/>
    <n v="199"/>
    <n v="2189"/>
  </r>
  <r>
    <x v="2"/>
    <s v="M"/>
    <n v="6"/>
    <n v="322"/>
    <n v="1932"/>
  </r>
  <r>
    <x v="3"/>
    <s v="M"/>
    <n v="6"/>
    <n v="161"/>
    <n v="966"/>
  </r>
  <r>
    <x v="4"/>
    <s v="M"/>
    <n v="3"/>
    <n v="109"/>
    <n v="327"/>
  </r>
  <r>
    <x v="5"/>
    <s v="M"/>
    <n v="2"/>
    <n v="122"/>
    <n v="244"/>
  </r>
  <r>
    <x v="6"/>
    <s v="M"/>
    <n v="2"/>
    <n v="96"/>
    <n v="192"/>
  </r>
  <r>
    <x v="7"/>
    <s v="M"/>
    <n v="0"/>
    <n v="73"/>
    <n v="0"/>
  </r>
  <r>
    <x v="8"/>
    <s v="M"/>
    <n v="1"/>
    <n v="225"/>
    <n v="225"/>
  </r>
  <r>
    <x v="9"/>
    <s v="M"/>
    <n v="0"/>
    <n v="559"/>
    <n v="0"/>
  </r>
  <r>
    <x v="10"/>
    <s v="M"/>
    <n v="2"/>
    <n v="3199"/>
    <n v="6398"/>
  </r>
  <r>
    <x v="11"/>
    <s v="M"/>
    <n v="7"/>
    <n v="371"/>
    <n v="2597"/>
  </r>
  <r>
    <x v="12"/>
    <s v="M"/>
    <n v="5"/>
    <n v="2300"/>
    <n v="11500"/>
  </r>
  <r>
    <x v="13"/>
    <s v="M"/>
    <n v="2"/>
    <n v="499"/>
    <n v="998"/>
  </r>
  <r>
    <x v="14"/>
    <s v="M"/>
    <n v="4"/>
    <n v="299"/>
    <n v="1196"/>
  </r>
  <r>
    <x v="15"/>
    <s v="M"/>
    <n v="2"/>
    <n v="901"/>
    <n v="1802"/>
  </r>
  <r>
    <x v="16"/>
    <s v="M"/>
    <n v="4"/>
    <n v="929"/>
    <n v="3716"/>
  </r>
  <r>
    <x v="17"/>
    <s v="M"/>
    <n v="1"/>
    <n v="1030"/>
    <n v="1030"/>
  </r>
  <r>
    <x v="18"/>
    <s v="M"/>
    <n v="0"/>
    <n v="1222"/>
    <n v="0"/>
  </r>
  <r>
    <x v="19"/>
    <s v="M"/>
    <n v="0"/>
    <n v="649"/>
    <n v="0"/>
  </r>
  <r>
    <x v="20"/>
    <s v="M"/>
    <n v="25"/>
    <n v="1800"/>
    <n v="45000"/>
  </r>
  <r>
    <x v="21"/>
    <s v="M"/>
    <n v="10"/>
    <n v="345"/>
    <n v="3450"/>
  </r>
  <r>
    <x v="22"/>
    <s v="M"/>
    <n v="6"/>
    <n v="350"/>
    <n v="2100"/>
  </r>
  <r>
    <x v="23"/>
    <s v="M"/>
    <n v="7"/>
    <n v="1575"/>
    <n v="11025"/>
  </r>
  <r>
    <x v="24"/>
    <s v="M"/>
    <n v="5"/>
    <n v="1045"/>
    <n v="5225"/>
  </r>
  <r>
    <x v="25"/>
    <s v="M"/>
    <n v="2"/>
    <n v="1186"/>
    <n v="2372"/>
  </r>
  <r>
    <x v="26"/>
    <s v="M"/>
    <n v="0"/>
    <n v="374"/>
    <n v="0"/>
  </r>
  <r>
    <x v="27"/>
    <s v="M"/>
    <n v="1"/>
    <n v="1500"/>
    <n v="1500"/>
  </r>
  <r>
    <x v="28"/>
    <s v="M"/>
    <n v="0"/>
    <n v="1800"/>
    <n v="0"/>
  </r>
  <r>
    <x v="29"/>
    <s v="M"/>
    <n v="0"/>
    <n v="1477"/>
    <n v="0"/>
  </r>
  <r>
    <x v="0"/>
    <s v="C"/>
    <n v="11"/>
    <n v="210"/>
    <n v="2310"/>
  </r>
  <r>
    <x v="1"/>
    <s v="C"/>
    <n v="1"/>
    <n v="199"/>
    <n v="199"/>
  </r>
  <r>
    <x v="2"/>
    <s v="C"/>
    <n v="6"/>
    <n v="322"/>
    <n v="1932"/>
  </r>
  <r>
    <x v="3"/>
    <s v="C"/>
    <n v="3"/>
    <n v="161"/>
    <n v="483"/>
  </r>
  <r>
    <x v="4"/>
    <s v="C"/>
    <n v="3"/>
    <n v="109"/>
    <n v="327"/>
  </r>
  <r>
    <x v="5"/>
    <s v="C"/>
    <n v="2"/>
    <n v="122"/>
    <n v="244"/>
  </r>
  <r>
    <x v="6"/>
    <s v="C"/>
    <n v="2"/>
    <n v="96"/>
    <n v="192"/>
  </r>
  <r>
    <x v="7"/>
    <s v="C"/>
    <n v="2"/>
    <n v="73"/>
    <n v="146"/>
  </r>
  <r>
    <x v="8"/>
    <s v="C"/>
    <n v="2"/>
    <n v="225"/>
    <n v="450"/>
  </r>
  <r>
    <x v="9"/>
    <s v="C"/>
    <n v="2"/>
    <n v="559"/>
    <n v="1118"/>
  </r>
  <r>
    <x v="10"/>
    <s v="C"/>
    <n v="21"/>
    <n v="3199"/>
    <n v="67179"/>
  </r>
  <r>
    <x v="11"/>
    <s v="C"/>
    <n v="9"/>
    <n v="371"/>
    <n v="3339"/>
  </r>
  <r>
    <x v="12"/>
    <s v="C"/>
    <n v="10"/>
    <n v="2300"/>
    <n v="23000"/>
  </r>
  <r>
    <x v="13"/>
    <s v="C"/>
    <n v="10"/>
    <n v="499"/>
    <n v="4990"/>
  </r>
  <r>
    <x v="14"/>
    <s v="C"/>
    <n v="1"/>
    <n v="299"/>
    <n v="299"/>
  </r>
  <r>
    <x v="15"/>
    <s v="C"/>
    <n v="2"/>
    <n v="901"/>
    <n v="1802"/>
  </r>
  <r>
    <x v="16"/>
    <s v="C"/>
    <n v="1"/>
    <n v="929"/>
    <n v="929"/>
  </r>
  <r>
    <x v="17"/>
    <s v="C"/>
    <n v="1"/>
    <n v="1030"/>
    <n v="1030"/>
  </r>
  <r>
    <x v="18"/>
    <s v="C"/>
    <n v="3"/>
    <n v="1222"/>
    <n v="3666"/>
  </r>
  <r>
    <x v="19"/>
    <s v="C"/>
    <n v="2"/>
    <n v="649"/>
    <n v="1298"/>
  </r>
  <r>
    <x v="20"/>
    <s v="C"/>
    <n v="11"/>
    <n v="1800"/>
    <n v="19800"/>
  </r>
  <r>
    <x v="21"/>
    <s v="C"/>
    <n v="11"/>
    <n v="345"/>
    <n v="3795"/>
  </r>
  <r>
    <x v="22"/>
    <s v="C"/>
    <n v="6"/>
    <n v="350"/>
    <n v="2100"/>
  </r>
  <r>
    <x v="23"/>
    <s v="C"/>
    <n v="2"/>
    <n v="1575"/>
    <n v="3150"/>
  </r>
  <r>
    <x v="24"/>
    <s v="C"/>
    <n v="2"/>
    <n v="1045"/>
    <n v="2090"/>
  </r>
  <r>
    <x v="25"/>
    <s v="C"/>
    <n v="3"/>
    <n v="1186"/>
    <n v="3558"/>
  </r>
  <r>
    <x v="26"/>
    <s v="C"/>
    <n v="3"/>
    <n v="374"/>
    <n v="1122"/>
  </r>
  <r>
    <x v="27"/>
    <s v="C"/>
    <n v="2"/>
    <n v="1500"/>
    <n v="3000"/>
  </r>
  <r>
    <x v="28"/>
    <s v="C"/>
    <n v="1"/>
    <n v="1800"/>
    <n v="1800"/>
  </r>
  <r>
    <x v="29"/>
    <s v="C"/>
    <n v="0"/>
    <n v="1477"/>
    <n v="0"/>
  </r>
  <r>
    <x v="0"/>
    <s v="H"/>
    <n v="28"/>
    <n v="210"/>
    <n v="5880"/>
  </r>
  <r>
    <x v="1"/>
    <s v="H"/>
    <n v="13"/>
    <n v="199"/>
    <n v="2587"/>
  </r>
  <r>
    <x v="2"/>
    <s v="H"/>
    <n v="11"/>
    <n v="322"/>
    <n v="3542"/>
  </r>
  <r>
    <x v="3"/>
    <s v="H"/>
    <n v="7"/>
    <n v="161"/>
    <n v="1127"/>
  </r>
  <r>
    <x v="4"/>
    <s v="H"/>
    <n v="5"/>
    <n v="109"/>
    <n v="545"/>
  </r>
  <r>
    <x v="5"/>
    <s v="H"/>
    <n v="2"/>
    <n v="122"/>
    <n v="244"/>
  </r>
  <r>
    <x v="6"/>
    <s v="H"/>
    <n v="4"/>
    <n v="96"/>
    <n v="384"/>
  </r>
  <r>
    <x v="7"/>
    <s v="H"/>
    <n v="2"/>
    <n v="73"/>
    <n v="146"/>
  </r>
  <r>
    <x v="8"/>
    <s v="H"/>
    <n v="0"/>
    <n v="225"/>
    <n v="0"/>
  </r>
  <r>
    <x v="9"/>
    <s v="H"/>
    <n v="0"/>
    <n v="559"/>
    <n v="0"/>
  </r>
  <r>
    <x v="10"/>
    <s v="H"/>
    <n v="34"/>
    <n v="3199"/>
    <n v="108766"/>
  </r>
  <r>
    <x v="11"/>
    <s v="H"/>
    <n v="12"/>
    <n v="371"/>
    <n v="4452"/>
  </r>
  <r>
    <x v="12"/>
    <s v="H"/>
    <n v="13"/>
    <n v="2300"/>
    <n v="29900"/>
  </r>
  <r>
    <x v="13"/>
    <s v="H"/>
    <n v="12"/>
    <n v="499"/>
    <n v="5988"/>
  </r>
  <r>
    <x v="14"/>
    <s v="H"/>
    <n v="5"/>
    <n v="299"/>
    <n v="1495"/>
  </r>
  <r>
    <x v="15"/>
    <s v="H"/>
    <n v="2"/>
    <n v="901"/>
    <n v="1802"/>
  </r>
  <r>
    <x v="16"/>
    <s v="H"/>
    <n v="3"/>
    <n v="929"/>
    <n v="2787"/>
  </r>
  <r>
    <x v="17"/>
    <s v="H"/>
    <n v="0"/>
    <n v="1030"/>
    <n v="0"/>
  </r>
  <r>
    <x v="18"/>
    <s v="H"/>
    <n v="2"/>
    <n v="1222"/>
    <n v="2444"/>
  </r>
  <r>
    <x v="19"/>
    <s v="H"/>
    <n v="1"/>
    <n v="649"/>
    <n v="649"/>
  </r>
  <r>
    <x v="20"/>
    <s v="H"/>
    <n v="30"/>
    <n v="1800"/>
    <n v="54000"/>
  </r>
  <r>
    <x v="21"/>
    <s v="H"/>
    <n v="12"/>
    <n v="345"/>
    <n v="4140"/>
  </r>
  <r>
    <x v="22"/>
    <s v="H"/>
    <n v="10"/>
    <n v="350"/>
    <n v="3500"/>
  </r>
  <r>
    <x v="23"/>
    <s v="H"/>
    <n v="10"/>
    <n v="1575"/>
    <n v="15750"/>
  </r>
  <r>
    <x v="24"/>
    <s v="H"/>
    <n v="7"/>
    <n v="1045"/>
    <n v="7315"/>
  </r>
  <r>
    <x v="25"/>
    <s v="H"/>
    <n v="2"/>
    <n v="1186"/>
    <n v="2372"/>
  </r>
  <r>
    <x v="26"/>
    <s v="H"/>
    <n v="4"/>
    <n v="374"/>
    <n v="1496"/>
  </r>
  <r>
    <x v="27"/>
    <s v="H"/>
    <n v="0"/>
    <n v="1500"/>
    <n v="0"/>
  </r>
  <r>
    <x v="28"/>
    <s v="H"/>
    <n v="2"/>
    <n v="1800"/>
    <n v="3600"/>
  </r>
  <r>
    <x v="29"/>
    <s v="H"/>
    <n v="0"/>
    <n v="1477"/>
    <n v="0"/>
  </r>
  <r>
    <x v="0"/>
    <s v="M"/>
    <n v="18"/>
    <n v="210"/>
    <n v="3780"/>
  </r>
  <r>
    <x v="1"/>
    <s v="M"/>
    <n v="9"/>
    <n v="199"/>
    <n v="1791"/>
  </r>
  <r>
    <x v="2"/>
    <s v="M"/>
    <n v="8"/>
    <n v="322"/>
    <n v="2576"/>
  </r>
  <r>
    <x v="3"/>
    <s v="M"/>
    <n v="6"/>
    <n v="161"/>
    <n v="966"/>
  </r>
  <r>
    <x v="4"/>
    <s v="M"/>
    <n v="3"/>
    <n v="109"/>
    <n v="327"/>
  </r>
  <r>
    <x v="5"/>
    <s v="M"/>
    <n v="2"/>
    <n v="122"/>
    <n v="244"/>
  </r>
  <r>
    <x v="6"/>
    <s v="M"/>
    <n v="2"/>
    <n v="96"/>
    <n v="192"/>
  </r>
  <r>
    <x v="7"/>
    <s v="M"/>
    <n v="1"/>
    <n v="73"/>
    <n v="73"/>
  </r>
  <r>
    <x v="8"/>
    <s v="M"/>
    <n v="0"/>
    <n v="225"/>
    <n v="0"/>
  </r>
  <r>
    <x v="9"/>
    <s v="M"/>
    <n v="0"/>
    <n v="559"/>
    <n v="0"/>
  </r>
  <r>
    <x v="10"/>
    <s v="M"/>
    <n v="24"/>
    <n v="3199"/>
    <n v="76776"/>
  </r>
  <r>
    <x v="11"/>
    <s v="M"/>
    <n v="3"/>
    <n v="371"/>
    <n v="1113"/>
  </r>
  <r>
    <x v="12"/>
    <s v="M"/>
    <n v="0"/>
    <n v="2300"/>
    <n v="0"/>
  </r>
  <r>
    <x v="13"/>
    <s v="M"/>
    <n v="7"/>
    <n v="499"/>
    <n v="3493"/>
  </r>
  <r>
    <x v="14"/>
    <s v="M"/>
    <n v="2"/>
    <n v="299"/>
    <n v="598"/>
  </r>
  <r>
    <x v="15"/>
    <s v="M"/>
    <n v="0"/>
    <n v="901"/>
    <n v="0"/>
  </r>
  <r>
    <x v="16"/>
    <s v="M"/>
    <n v="2"/>
    <n v="929"/>
    <n v="1858"/>
  </r>
  <r>
    <x v="17"/>
    <s v="M"/>
    <n v="0"/>
    <n v="1030"/>
    <n v="0"/>
  </r>
  <r>
    <x v="18"/>
    <s v="M"/>
    <n v="0"/>
    <n v="1222"/>
    <n v="0"/>
  </r>
  <r>
    <x v="19"/>
    <s v="M"/>
    <n v="0"/>
    <n v="649"/>
    <n v="0"/>
  </r>
  <r>
    <x v="20"/>
    <s v="M"/>
    <n v="22"/>
    <n v="1800"/>
    <n v="39600"/>
  </r>
  <r>
    <x v="21"/>
    <s v="M"/>
    <n v="10"/>
    <n v="345"/>
    <n v="3450"/>
  </r>
  <r>
    <x v="22"/>
    <s v="M"/>
    <n v="9"/>
    <n v="350"/>
    <n v="3150"/>
  </r>
  <r>
    <x v="23"/>
    <s v="M"/>
    <n v="6"/>
    <n v="1575"/>
    <n v="9450"/>
  </r>
  <r>
    <x v="24"/>
    <s v="M"/>
    <n v="1"/>
    <n v="1045"/>
    <n v="1045"/>
  </r>
  <r>
    <x v="25"/>
    <s v="M"/>
    <n v="1"/>
    <n v="1186"/>
    <n v="1186"/>
  </r>
  <r>
    <x v="26"/>
    <s v="M"/>
    <n v="0"/>
    <n v="374"/>
    <n v="0"/>
  </r>
  <r>
    <x v="27"/>
    <s v="M"/>
    <n v="0"/>
    <n v="1500"/>
    <n v="0"/>
  </r>
  <r>
    <x v="28"/>
    <s v="M"/>
    <n v="1"/>
    <n v="1800"/>
    <n v="1800"/>
  </r>
  <r>
    <x v="29"/>
    <s v="M"/>
    <n v="0"/>
    <n v="1477"/>
    <n v="0"/>
  </r>
  <r>
    <x v="0"/>
    <s v="C"/>
    <n v="13"/>
    <n v="210"/>
    <n v="2730"/>
  </r>
  <r>
    <x v="1"/>
    <s v="C"/>
    <n v="6"/>
    <n v="199"/>
    <n v="1194"/>
  </r>
  <r>
    <x v="2"/>
    <s v="C"/>
    <n v="6"/>
    <n v="322"/>
    <n v="1932"/>
  </r>
  <r>
    <x v="3"/>
    <s v="C"/>
    <n v="4"/>
    <n v="161"/>
    <n v="644"/>
  </r>
  <r>
    <x v="4"/>
    <s v="C"/>
    <n v="5"/>
    <n v="109"/>
    <n v="545"/>
  </r>
  <r>
    <x v="5"/>
    <s v="C"/>
    <n v="2"/>
    <n v="122"/>
    <n v="244"/>
  </r>
  <r>
    <x v="6"/>
    <s v="C"/>
    <n v="2"/>
    <n v="96"/>
    <n v="192"/>
  </r>
  <r>
    <x v="7"/>
    <s v="C"/>
    <n v="1"/>
    <n v="73"/>
    <n v="73"/>
  </r>
  <r>
    <x v="8"/>
    <s v="C"/>
    <n v="1"/>
    <n v="225"/>
    <n v="225"/>
  </r>
  <r>
    <x v="9"/>
    <s v="C"/>
    <n v="0"/>
    <n v="559"/>
    <n v="0"/>
  </r>
  <r>
    <x v="10"/>
    <s v="C"/>
    <n v="1"/>
    <n v="3199"/>
    <n v="3199"/>
  </r>
  <r>
    <x v="11"/>
    <s v="C"/>
    <n v="10"/>
    <n v="371"/>
    <n v="3710"/>
  </r>
  <r>
    <x v="12"/>
    <s v="C"/>
    <n v="10"/>
    <n v="2300"/>
    <n v="23000"/>
  </r>
  <r>
    <x v="13"/>
    <s v="C"/>
    <n v="1"/>
    <n v="499"/>
    <n v="499"/>
  </r>
  <r>
    <x v="14"/>
    <s v="C"/>
    <n v="4"/>
    <n v="299"/>
    <n v="1196"/>
  </r>
  <r>
    <x v="15"/>
    <s v="C"/>
    <n v="3"/>
    <n v="901"/>
    <n v="2703"/>
  </r>
  <r>
    <x v="16"/>
    <s v="C"/>
    <n v="2"/>
    <n v="929"/>
    <n v="1858"/>
  </r>
  <r>
    <x v="17"/>
    <s v="C"/>
    <n v="1"/>
    <n v="1030"/>
    <n v="1030"/>
  </r>
  <r>
    <x v="18"/>
    <s v="C"/>
    <n v="2"/>
    <n v="1222"/>
    <n v="2444"/>
  </r>
  <r>
    <x v="19"/>
    <s v="C"/>
    <n v="2"/>
    <n v="649"/>
    <n v="1298"/>
  </r>
  <r>
    <x v="20"/>
    <s v="C"/>
    <n v="6"/>
    <n v="1800"/>
    <n v="10800"/>
  </r>
  <r>
    <x v="21"/>
    <s v="C"/>
    <n v="8"/>
    <n v="345"/>
    <n v="2760"/>
  </r>
  <r>
    <x v="22"/>
    <s v="C"/>
    <n v="6"/>
    <n v="350"/>
    <n v="2100"/>
  </r>
  <r>
    <x v="23"/>
    <s v="C"/>
    <n v="2"/>
    <n v="1575"/>
    <n v="3150"/>
  </r>
  <r>
    <x v="24"/>
    <s v="C"/>
    <n v="5"/>
    <n v="1045"/>
    <n v="5225"/>
  </r>
  <r>
    <x v="25"/>
    <s v="C"/>
    <n v="2"/>
    <n v="1186"/>
    <n v="2372"/>
  </r>
  <r>
    <x v="26"/>
    <s v="C"/>
    <n v="4"/>
    <n v="374"/>
    <n v="1496"/>
  </r>
  <r>
    <x v="27"/>
    <s v="C"/>
    <n v="1"/>
    <n v="1500"/>
    <n v="1500"/>
  </r>
  <r>
    <x v="28"/>
    <s v="C"/>
    <n v="2"/>
    <n v="1800"/>
    <n v="3600"/>
  </r>
  <r>
    <x v="29"/>
    <s v="C"/>
    <n v="1"/>
    <n v="1477"/>
    <n v="1477"/>
  </r>
  <r>
    <x v="0"/>
    <s v="H"/>
    <n v="27"/>
    <n v="210"/>
    <n v="5670"/>
  </r>
  <r>
    <x v="1"/>
    <s v="H"/>
    <n v="16"/>
    <n v="199"/>
    <n v="3184"/>
  </r>
  <r>
    <x v="2"/>
    <s v="H"/>
    <n v="11"/>
    <n v="322"/>
    <n v="3542"/>
  </r>
  <r>
    <x v="3"/>
    <s v="H"/>
    <n v="8"/>
    <n v="161"/>
    <n v="1288"/>
  </r>
  <r>
    <x v="4"/>
    <s v="H"/>
    <n v="7"/>
    <n v="109"/>
    <n v="763"/>
  </r>
  <r>
    <x v="5"/>
    <s v="H"/>
    <n v="4"/>
    <n v="122"/>
    <n v="488"/>
  </r>
  <r>
    <x v="6"/>
    <s v="H"/>
    <n v="2"/>
    <n v="96"/>
    <n v="192"/>
  </r>
  <r>
    <x v="7"/>
    <s v="H"/>
    <n v="2"/>
    <n v="73"/>
    <n v="146"/>
  </r>
  <r>
    <x v="8"/>
    <s v="H"/>
    <n v="1"/>
    <n v="225"/>
    <n v="225"/>
  </r>
  <r>
    <x v="9"/>
    <s v="H"/>
    <n v="0"/>
    <n v="559"/>
    <n v="0"/>
  </r>
  <r>
    <x v="10"/>
    <s v="H"/>
    <n v="30"/>
    <n v="3199"/>
    <n v="95970"/>
  </r>
  <r>
    <x v="11"/>
    <s v="H"/>
    <n v="14"/>
    <n v="371"/>
    <n v="5194"/>
  </r>
  <r>
    <x v="12"/>
    <s v="H"/>
    <n v="11"/>
    <n v="2300"/>
    <n v="25300"/>
  </r>
  <r>
    <x v="13"/>
    <s v="H"/>
    <n v="8"/>
    <n v="499"/>
    <n v="3992"/>
  </r>
  <r>
    <x v="14"/>
    <s v="H"/>
    <n v="7"/>
    <n v="299"/>
    <n v="2093"/>
  </r>
  <r>
    <x v="15"/>
    <s v="H"/>
    <n v="2"/>
    <n v="901"/>
    <n v="1802"/>
  </r>
  <r>
    <x v="16"/>
    <s v="H"/>
    <n v="2"/>
    <n v="929"/>
    <n v="1858"/>
  </r>
  <r>
    <x v="17"/>
    <s v="H"/>
    <n v="2"/>
    <n v="1030"/>
    <n v="2060"/>
  </r>
  <r>
    <x v="18"/>
    <s v="H"/>
    <n v="1"/>
    <n v="1222"/>
    <n v="1222"/>
  </r>
  <r>
    <x v="19"/>
    <s v="H"/>
    <n v="0"/>
    <n v="649"/>
    <n v="0"/>
  </r>
  <r>
    <x v="20"/>
    <s v="H"/>
    <n v="31"/>
    <n v="1800"/>
    <n v="55800"/>
  </r>
  <r>
    <x v="21"/>
    <s v="H"/>
    <n v="14"/>
    <n v="345"/>
    <n v="4830"/>
  </r>
  <r>
    <x v="22"/>
    <s v="H"/>
    <n v="14"/>
    <n v="350"/>
    <n v="4900"/>
  </r>
  <r>
    <x v="23"/>
    <s v="H"/>
    <n v="10"/>
    <n v="1575"/>
    <n v="15750"/>
  </r>
  <r>
    <x v="24"/>
    <s v="H"/>
    <n v="6"/>
    <n v="1045"/>
    <n v="6270"/>
  </r>
  <r>
    <x v="25"/>
    <s v="H"/>
    <n v="3"/>
    <n v="1186"/>
    <n v="3558"/>
  </r>
  <r>
    <x v="26"/>
    <s v="H"/>
    <n v="2"/>
    <n v="374"/>
    <n v="748"/>
  </r>
  <r>
    <x v="27"/>
    <s v="H"/>
    <n v="0"/>
    <n v="1500"/>
    <n v="0"/>
  </r>
  <r>
    <x v="28"/>
    <s v="H"/>
    <n v="1"/>
    <n v="1800"/>
    <n v="1800"/>
  </r>
  <r>
    <x v="29"/>
    <s v="H"/>
    <n v="0"/>
    <n v="1477"/>
    <n v="0"/>
  </r>
  <r>
    <x v="0"/>
    <s v="M"/>
    <n v="20"/>
    <n v="210"/>
    <n v="4200"/>
  </r>
  <r>
    <x v="1"/>
    <s v="M"/>
    <n v="9"/>
    <n v="199"/>
    <n v="1791"/>
  </r>
  <r>
    <x v="2"/>
    <s v="M"/>
    <n v="7"/>
    <n v="322"/>
    <n v="2254"/>
  </r>
  <r>
    <x v="3"/>
    <s v="M"/>
    <n v="6"/>
    <n v="161"/>
    <n v="966"/>
  </r>
  <r>
    <x v="4"/>
    <s v="M"/>
    <n v="4"/>
    <n v="109"/>
    <n v="436"/>
  </r>
  <r>
    <x v="5"/>
    <s v="M"/>
    <n v="3"/>
    <n v="122"/>
    <n v="366"/>
  </r>
  <r>
    <x v="6"/>
    <s v="M"/>
    <n v="2"/>
    <n v="96"/>
    <n v="192"/>
  </r>
  <r>
    <x v="7"/>
    <s v="M"/>
    <n v="1"/>
    <n v="73"/>
    <n v="73"/>
  </r>
  <r>
    <x v="8"/>
    <s v="M"/>
    <n v="0"/>
    <n v="225"/>
    <n v="0"/>
  </r>
  <r>
    <x v="9"/>
    <s v="M"/>
    <n v="0"/>
    <n v="559"/>
    <n v="0"/>
  </r>
  <r>
    <x v="10"/>
    <s v="M"/>
    <n v="5"/>
    <n v="3199"/>
    <n v="15995"/>
  </r>
  <r>
    <x v="11"/>
    <s v="M"/>
    <n v="1"/>
    <n v="371"/>
    <n v="371"/>
  </r>
  <r>
    <x v="12"/>
    <s v="M"/>
    <n v="4"/>
    <n v="2300"/>
    <n v="9200"/>
  </r>
  <r>
    <x v="13"/>
    <s v="M"/>
    <n v="6"/>
    <n v="499"/>
    <n v="2994"/>
  </r>
  <r>
    <x v="14"/>
    <s v="M"/>
    <n v="0"/>
    <n v="299"/>
    <n v="0"/>
  </r>
  <r>
    <x v="15"/>
    <s v="M"/>
    <n v="3"/>
    <n v="901"/>
    <n v="2703"/>
  </r>
  <r>
    <x v="16"/>
    <s v="M"/>
    <n v="1"/>
    <n v="929"/>
    <n v="929"/>
  </r>
  <r>
    <x v="17"/>
    <s v="M"/>
    <n v="2"/>
    <n v="1030"/>
    <n v="2060"/>
  </r>
  <r>
    <x v="18"/>
    <s v="M"/>
    <n v="1"/>
    <n v="1222"/>
    <n v="1222"/>
  </r>
  <r>
    <x v="19"/>
    <s v="M"/>
    <n v="0"/>
    <n v="649"/>
    <n v="0"/>
  </r>
  <r>
    <x v="20"/>
    <s v="M"/>
    <n v="19"/>
    <n v="1800"/>
    <n v="34200"/>
  </r>
  <r>
    <x v="21"/>
    <s v="M"/>
    <n v="8"/>
    <n v="345"/>
    <n v="2760"/>
  </r>
  <r>
    <x v="22"/>
    <s v="M"/>
    <n v="7"/>
    <n v="350"/>
    <n v="2450"/>
  </r>
  <r>
    <x v="23"/>
    <s v="M"/>
    <n v="6"/>
    <n v="1575"/>
    <n v="9450"/>
  </r>
  <r>
    <x v="24"/>
    <s v="M"/>
    <n v="4"/>
    <n v="1045"/>
    <n v="4180"/>
  </r>
  <r>
    <x v="25"/>
    <s v="M"/>
    <n v="0"/>
    <n v="1186"/>
    <n v="0"/>
  </r>
  <r>
    <x v="26"/>
    <s v="M"/>
    <n v="1"/>
    <n v="374"/>
    <n v="374"/>
  </r>
  <r>
    <x v="27"/>
    <s v="M"/>
    <n v="1"/>
    <n v="1500"/>
    <n v="1500"/>
  </r>
  <r>
    <x v="28"/>
    <s v="M"/>
    <n v="0"/>
    <n v="1800"/>
    <n v="0"/>
  </r>
  <r>
    <x v="29"/>
    <s v="M"/>
    <n v="0"/>
    <n v="1477"/>
    <n v="0"/>
  </r>
  <r>
    <x v="0"/>
    <s v="C"/>
    <n v="14"/>
    <n v="210"/>
    <n v="2940"/>
  </r>
  <r>
    <x v="1"/>
    <s v="C"/>
    <n v="6"/>
    <n v="199"/>
    <n v="1194"/>
  </r>
  <r>
    <x v="2"/>
    <s v="C"/>
    <n v="6"/>
    <n v="322"/>
    <n v="1932"/>
  </r>
  <r>
    <x v="3"/>
    <s v="C"/>
    <n v="6"/>
    <n v="161"/>
    <n v="966"/>
  </r>
  <r>
    <x v="4"/>
    <s v="C"/>
    <n v="4"/>
    <n v="109"/>
    <n v="436"/>
  </r>
  <r>
    <x v="5"/>
    <s v="C"/>
    <n v="1"/>
    <n v="122"/>
    <n v="122"/>
  </r>
  <r>
    <x v="6"/>
    <s v="C"/>
    <n v="2"/>
    <n v="96"/>
    <n v="192"/>
  </r>
  <r>
    <x v="7"/>
    <s v="C"/>
    <n v="1"/>
    <n v="73"/>
    <n v="73"/>
  </r>
  <r>
    <x v="8"/>
    <s v="C"/>
    <n v="1"/>
    <n v="225"/>
    <n v="225"/>
  </r>
  <r>
    <x v="9"/>
    <s v="C"/>
    <n v="0"/>
    <n v="559"/>
    <n v="0"/>
  </r>
  <r>
    <x v="10"/>
    <s v="C"/>
    <n v="30"/>
    <n v="3199"/>
    <n v="95970"/>
  </r>
  <r>
    <x v="11"/>
    <s v="C"/>
    <n v="11"/>
    <n v="371"/>
    <n v="4081"/>
  </r>
  <r>
    <x v="12"/>
    <s v="C"/>
    <n v="6"/>
    <n v="2300"/>
    <n v="13800"/>
  </r>
  <r>
    <x v="13"/>
    <s v="C"/>
    <n v="3"/>
    <n v="499"/>
    <n v="1497"/>
  </r>
  <r>
    <x v="14"/>
    <s v="C"/>
    <n v="7"/>
    <n v="299"/>
    <n v="2093"/>
  </r>
  <r>
    <x v="15"/>
    <s v="C"/>
    <n v="1"/>
    <n v="901"/>
    <n v="901"/>
  </r>
  <r>
    <x v="16"/>
    <s v="C"/>
    <n v="3"/>
    <n v="929"/>
    <n v="2787"/>
  </r>
  <r>
    <x v="17"/>
    <s v="C"/>
    <n v="1"/>
    <n v="1030"/>
    <n v="1030"/>
  </r>
  <r>
    <x v="18"/>
    <s v="C"/>
    <n v="1"/>
    <n v="1222"/>
    <n v="1222"/>
  </r>
  <r>
    <x v="19"/>
    <s v="C"/>
    <n v="0"/>
    <n v="649"/>
    <n v="0"/>
  </r>
  <r>
    <x v="20"/>
    <s v="C"/>
    <n v="15"/>
    <n v="1800"/>
    <n v="27000"/>
  </r>
  <r>
    <x v="21"/>
    <s v="C"/>
    <n v="5"/>
    <n v="345"/>
    <n v="1725"/>
  </r>
  <r>
    <x v="22"/>
    <s v="C"/>
    <n v="4"/>
    <n v="350"/>
    <n v="1400"/>
  </r>
  <r>
    <x v="23"/>
    <s v="C"/>
    <n v="1"/>
    <n v="1575"/>
    <n v="1575"/>
  </r>
  <r>
    <x v="24"/>
    <s v="C"/>
    <n v="4"/>
    <n v="1045"/>
    <n v="4180"/>
  </r>
  <r>
    <x v="25"/>
    <s v="C"/>
    <n v="3"/>
    <n v="1186"/>
    <n v="3558"/>
  </r>
  <r>
    <x v="26"/>
    <s v="C"/>
    <n v="2"/>
    <n v="374"/>
    <n v="748"/>
  </r>
  <r>
    <x v="27"/>
    <s v="C"/>
    <n v="1"/>
    <n v="1500"/>
    <n v="1500"/>
  </r>
  <r>
    <x v="28"/>
    <s v="C"/>
    <n v="1"/>
    <n v="1800"/>
    <n v="1800"/>
  </r>
  <r>
    <x v="29"/>
    <s v="C"/>
    <n v="0"/>
    <n v="1477"/>
    <n v="0"/>
  </r>
  <r>
    <x v="0"/>
    <s v="H"/>
    <n v="33"/>
    <n v="210"/>
    <n v="6930"/>
  </r>
  <r>
    <x v="1"/>
    <s v="H"/>
    <n v="18"/>
    <n v="199"/>
    <n v="3582"/>
  </r>
  <r>
    <x v="2"/>
    <s v="H"/>
    <n v="11"/>
    <n v="322"/>
    <n v="3542"/>
  </r>
  <r>
    <x v="3"/>
    <s v="H"/>
    <n v="8"/>
    <n v="161"/>
    <n v="1288"/>
  </r>
  <r>
    <x v="4"/>
    <s v="H"/>
    <n v="7"/>
    <n v="109"/>
    <n v="763"/>
  </r>
  <r>
    <x v="5"/>
    <s v="H"/>
    <n v="4"/>
    <n v="122"/>
    <n v="488"/>
  </r>
  <r>
    <x v="6"/>
    <s v="H"/>
    <n v="3"/>
    <n v="96"/>
    <n v="288"/>
  </r>
  <r>
    <x v="7"/>
    <s v="H"/>
    <n v="0"/>
    <n v="73"/>
    <n v="0"/>
  </r>
  <r>
    <x v="8"/>
    <s v="H"/>
    <n v="0"/>
    <n v="225"/>
    <n v="0"/>
  </r>
  <r>
    <x v="9"/>
    <s v="H"/>
    <n v="0"/>
    <n v="559"/>
    <n v="0"/>
  </r>
  <r>
    <x v="10"/>
    <s v="H"/>
    <n v="28"/>
    <n v="3199"/>
    <n v="89572"/>
  </r>
  <r>
    <x v="11"/>
    <s v="H"/>
    <n v="14"/>
    <n v="371"/>
    <n v="5194"/>
  </r>
  <r>
    <x v="12"/>
    <s v="H"/>
    <n v="9"/>
    <n v="2300"/>
    <n v="20700"/>
  </r>
  <r>
    <x v="13"/>
    <s v="H"/>
    <n v="9"/>
    <n v="499"/>
    <n v="4491"/>
  </r>
  <r>
    <x v="14"/>
    <s v="H"/>
    <n v="5"/>
    <n v="299"/>
    <n v="1495"/>
  </r>
  <r>
    <x v="15"/>
    <s v="H"/>
    <n v="2"/>
    <n v="901"/>
    <n v="1802"/>
  </r>
  <r>
    <x v="16"/>
    <s v="H"/>
    <n v="3"/>
    <n v="929"/>
    <n v="2787"/>
  </r>
  <r>
    <x v="17"/>
    <s v="H"/>
    <n v="0"/>
    <n v="1030"/>
    <n v="0"/>
  </r>
  <r>
    <x v="18"/>
    <s v="H"/>
    <n v="0"/>
    <n v="1222"/>
    <n v="0"/>
  </r>
  <r>
    <x v="19"/>
    <s v="H"/>
    <n v="1"/>
    <n v="649"/>
    <n v="649"/>
  </r>
  <r>
    <x v="20"/>
    <s v="H"/>
    <n v="36"/>
    <n v="1800"/>
    <n v="64800"/>
  </r>
  <r>
    <x v="21"/>
    <s v="H"/>
    <n v="17"/>
    <n v="345"/>
    <n v="5865"/>
  </r>
  <r>
    <x v="22"/>
    <s v="H"/>
    <n v="12"/>
    <n v="350"/>
    <n v="4200"/>
  </r>
  <r>
    <x v="23"/>
    <s v="H"/>
    <n v="7"/>
    <n v="1575"/>
    <n v="11025"/>
  </r>
  <r>
    <x v="24"/>
    <s v="H"/>
    <n v="6"/>
    <n v="1045"/>
    <n v="6270"/>
  </r>
  <r>
    <x v="25"/>
    <s v="H"/>
    <n v="3"/>
    <n v="1186"/>
    <n v="3558"/>
  </r>
  <r>
    <x v="26"/>
    <s v="H"/>
    <n v="2"/>
    <n v="374"/>
    <n v="748"/>
  </r>
  <r>
    <x v="27"/>
    <s v="H"/>
    <n v="0"/>
    <n v="1500"/>
    <n v="0"/>
  </r>
  <r>
    <x v="28"/>
    <s v="H"/>
    <n v="2"/>
    <n v="1800"/>
    <n v="3600"/>
  </r>
  <r>
    <x v="29"/>
    <s v="H"/>
    <n v="2"/>
    <n v="1477"/>
    <n v="2954"/>
  </r>
  <r>
    <x v="0"/>
    <s v="M"/>
    <n v="21"/>
    <n v="210"/>
    <n v="4410"/>
  </r>
  <r>
    <x v="1"/>
    <s v="M"/>
    <n v="9"/>
    <n v="199"/>
    <n v="1791"/>
  </r>
  <r>
    <x v="2"/>
    <s v="M"/>
    <n v="9"/>
    <n v="322"/>
    <n v="2898"/>
  </r>
  <r>
    <x v="3"/>
    <s v="M"/>
    <n v="5"/>
    <n v="161"/>
    <n v="805"/>
  </r>
  <r>
    <x v="4"/>
    <s v="M"/>
    <n v="4"/>
    <n v="109"/>
    <n v="436"/>
  </r>
  <r>
    <x v="5"/>
    <s v="M"/>
    <n v="3"/>
    <n v="122"/>
    <n v="366"/>
  </r>
  <r>
    <x v="6"/>
    <s v="M"/>
    <n v="2"/>
    <n v="96"/>
    <n v="192"/>
  </r>
  <r>
    <x v="7"/>
    <s v="M"/>
    <n v="0"/>
    <n v="73"/>
    <n v="0"/>
  </r>
  <r>
    <x v="8"/>
    <s v="M"/>
    <n v="0"/>
    <n v="225"/>
    <n v="0"/>
  </r>
  <r>
    <x v="9"/>
    <s v="M"/>
    <n v="0"/>
    <n v="559"/>
    <n v="0"/>
  </r>
  <r>
    <x v="10"/>
    <s v="M"/>
    <n v="13"/>
    <n v="3199"/>
    <n v="41587"/>
  </r>
  <r>
    <x v="11"/>
    <s v="M"/>
    <n v="3"/>
    <n v="371"/>
    <n v="1113"/>
  </r>
  <r>
    <x v="12"/>
    <s v="M"/>
    <n v="1"/>
    <n v="2300"/>
    <n v="2300"/>
  </r>
  <r>
    <x v="13"/>
    <s v="M"/>
    <n v="6"/>
    <n v="499"/>
    <n v="2994"/>
  </r>
  <r>
    <x v="14"/>
    <s v="M"/>
    <n v="3"/>
    <n v="299"/>
    <n v="897"/>
  </r>
  <r>
    <x v="15"/>
    <s v="M"/>
    <n v="1"/>
    <n v="901"/>
    <n v="901"/>
  </r>
  <r>
    <x v="16"/>
    <s v="M"/>
    <n v="3"/>
    <n v="929"/>
    <n v="2787"/>
  </r>
  <r>
    <x v="17"/>
    <s v="M"/>
    <n v="0"/>
    <n v="1030"/>
    <n v="0"/>
  </r>
  <r>
    <x v="18"/>
    <s v="M"/>
    <n v="0"/>
    <n v="1222"/>
    <n v="0"/>
  </r>
  <r>
    <x v="19"/>
    <s v="M"/>
    <n v="2"/>
    <n v="649"/>
    <n v="1298"/>
  </r>
  <r>
    <x v="20"/>
    <s v="M"/>
    <n v="24"/>
    <n v="1800"/>
    <n v="43200"/>
  </r>
  <r>
    <x v="21"/>
    <s v="M"/>
    <n v="11"/>
    <n v="345"/>
    <n v="3795"/>
  </r>
  <r>
    <x v="22"/>
    <s v="M"/>
    <n v="7"/>
    <n v="350"/>
    <n v="2450"/>
  </r>
  <r>
    <x v="23"/>
    <s v="M"/>
    <n v="5"/>
    <n v="1575"/>
    <n v="7875"/>
  </r>
  <r>
    <x v="24"/>
    <s v="M"/>
    <n v="5"/>
    <n v="1045"/>
    <n v="5225"/>
  </r>
  <r>
    <x v="25"/>
    <s v="M"/>
    <n v="0"/>
    <n v="1186"/>
    <n v="0"/>
  </r>
  <r>
    <x v="26"/>
    <s v="M"/>
    <n v="1"/>
    <n v="374"/>
    <n v="374"/>
  </r>
  <r>
    <x v="27"/>
    <s v="M"/>
    <n v="0"/>
    <n v="1500"/>
    <n v="0"/>
  </r>
  <r>
    <x v="28"/>
    <s v="M"/>
    <n v="0"/>
    <n v="1800"/>
    <n v="0"/>
  </r>
  <r>
    <x v="29"/>
    <s v="M"/>
    <n v="2"/>
    <n v="1477"/>
    <n v="2954"/>
  </r>
  <r>
    <x v="0"/>
    <s v="C"/>
    <n v="2"/>
    <n v="210"/>
    <n v="420"/>
  </r>
  <r>
    <x v="1"/>
    <s v="C"/>
    <n v="5"/>
    <n v="199"/>
    <n v="995"/>
  </r>
  <r>
    <x v="2"/>
    <s v="C"/>
    <n v="3"/>
    <n v="322"/>
    <n v="966"/>
  </r>
  <r>
    <x v="3"/>
    <s v="C"/>
    <n v="4"/>
    <n v="161"/>
    <n v="644"/>
  </r>
  <r>
    <x v="4"/>
    <s v="C"/>
    <n v="3"/>
    <n v="109"/>
    <n v="327"/>
  </r>
  <r>
    <x v="5"/>
    <s v="C"/>
    <n v="3"/>
    <n v="122"/>
    <n v="366"/>
  </r>
  <r>
    <x v="6"/>
    <s v="C"/>
    <n v="1"/>
    <n v="96"/>
    <n v="96"/>
  </r>
  <r>
    <x v="7"/>
    <s v="C"/>
    <n v="1"/>
    <n v="73"/>
    <n v="73"/>
  </r>
  <r>
    <x v="8"/>
    <s v="C"/>
    <n v="2"/>
    <n v="225"/>
    <n v="450"/>
  </r>
  <r>
    <x v="9"/>
    <s v="C"/>
    <n v="1"/>
    <n v="559"/>
    <n v="559"/>
  </r>
  <r>
    <x v="10"/>
    <s v="C"/>
    <n v="23"/>
    <n v="3199"/>
    <n v="73577"/>
  </r>
  <r>
    <x v="11"/>
    <s v="C"/>
    <n v="10"/>
    <n v="371"/>
    <n v="3710"/>
  </r>
  <r>
    <x v="12"/>
    <s v="C"/>
    <n v="11"/>
    <n v="2300"/>
    <n v="25300"/>
  </r>
  <r>
    <x v="13"/>
    <s v="C"/>
    <n v="3"/>
    <n v="499"/>
    <n v="1497"/>
  </r>
  <r>
    <x v="14"/>
    <s v="C"/>
    <n v="2"/>
    <n v="299"/>
    <n v="598"/>
  </r>
  <r>
    <x v="15"/>
    <s v="C"/>
    <n v="2"/>
    <n v="901"/>
    <n v="1802"/>
  </r>
  <r>
    <x v="16"/>
    <s v="C"/>
    <n v="2"/>
    <n v="929"/>
    <n v="1858"/>
  </r>
  <r>
    <x v="17"/>
    <s v="C"/>
    <n v="2"/>
    <n v="1030"/>
    <n v="2060"/>
  </r>
  <r>
    <x v="18"/>
    <s v="C"/>
    <n v="1"/>
    <n v="1222"/>
    <n v="1222"/>
  </r>
  <r>
    <x v="19"/>
    <s v="C"/>
    <n v="1"/>
    <n v="649"/>
    <n v="649"/>
  </r>
  <r>
    <x v="20"/>
    <s v="C"/>
    <n v="4"/>
    <n v="1800"/>
    <n v="7200"/>
  </r>
  <r>
    <x v="21"/>
    <s v="C"/>
    <n v="3"/>
    <n v="345"/>
    <n v="1035"/>
  </r>
  <r>
    <x v="22"/>
    <s v="C"/>
    <n v="4"/>
    <n v="350"/>
    <n v="1400"/>
  </r>
  <r>
    <x v="23"/>
    <s v="C"/>
    <n v="3"/>
    <n v="1575"/>
    <n v="4725"/>
  </r>
  <r>
    <x v="24"/>
    <s v="C"/>
    <n v="4"/>
    <n v="1045"/>
    <n v="4180"/>
  </r>
  <r>
    <x v="25"/>
    <s v="C"/>
    <n v="4"/>
    <n v="1186"/>
    <n v="4744"/>
  </r>
  <r>
    <x v="26"/>
    <s v="C"/>
    <n v="4"/>
    <n v="374"/>
    <n v="1496"/>
  </r>
  <r>
    <x v="27"/>
    <s v="C"/>
    <n v="0"/>
    <n v="1500"/>
    <n v="0"/>
  </r>
  <r>
    <x v="28"/>
    <s v="C"/>
    <n v="2"/>
    <n v="1800"/>
    <n v="3600"/>
  </r>
  <r>
    <x v="29"/>
    <s v="C"/>
    <n v="1"/>
    <n v="1477"/>
    <n v="1477"/>
  </r>
  <r>
    <x v="0"/>
    <s v="H"/>
    <n v="25"/>
    <n v="210"/>
    <n v="5250"/>
  </r>
  <r>
    <x v="1"/>
    <s v="H"/>
    <n v="16"/>
    <n v="199"/>
    <n v="3184"/>
  </r>
  <r>
    <x v="2"/>
    <s v="H"/>
    <n v="11"/>
    <n v="322"/>
    <n v="3542"/>
  </r>
  <r>
    <x v="3"/>
    <s v="H"/>
    <n v="9"/>
    <n v="161"/>
    <n v="1449"/>
  </r>
  <r>
    <x v="4"/>
    <s v="H"/>
    <n v="5"/>
    <n v="109"/>
    <n v="545"/>
  </r>
  <r>
    <x v="5"/>
    <s v="H"/>
    <n v="5"/>
    <n v="122"/>
    <n v="610"/>
  </r>
  <r>
    <x v="6"/>
    <s v="H"/>
    <n v="5"/>
    <n v="96"/>
    <n v="480"/>
  </r>
  <r>
    <x v="7"/>
    <s v="H"/>
    <n v="0"/>
    <n v="73"/>
    <n v="0"/>
  </r>
  <r>
    <x v="8"/>
    <s v="H"/>
    <n v="1"/>
    <n v="225"/>
    <n v="225"/>
  </r>
  <r>
    <x v="9"/>
    <s v="H"/>
    <n v="0"/>
    <n v="559"/>
    <n v="0"/>
  </r>
  <r>
    <x v="10"/>
    <s v="H"/>
    <n v="27"/>
    <n v="3199"/>
    <n v="86373"/>
  </r>
  <r>
    <x v="11"/>
    <s v="H"/>
    <n v="15"/>
    <n v="371"/>
    <n v="5565"/>
  </r>
  <r>
    <x v="12"/>
    <s v="H"/>
    <n v="13"/>
    <n v="2300"/>
    <n v="29900"/>
  </r>
  <r>
    <x v="13"/>
    <s v="H"/>
    <n v="10"/>
    <n v="499"/>
    <n v="4990"/>
  </r>
  <r>
    <x v="14"/>
    <s v="H"/>
    <n v="5"/>
    <n v="299"/>
    <n v="1495"/>
  </r>
  <r>
    <x v="15"/>
    <s v="H"/>
    <n v="2"/>
    <n v="901"/>
    <n v="1802"/>
  </r>
  <r>
    <x v="16"/>
    <s v="H"/>
    <n v="5"/>
    <n v="929"/>
    <n v="4645"/>
  </r>
  <r>
    <x v="17"/>
    <s v="H"/>
    <n v="0"/>
    <n v="1030"/>
    <n v="0"/>
  </r>
  <r>
    <x v="18"/>
    <s v="H"/>
    <n v="1"/>
    <n v="1222"/>
    <n v="1222"/>
  </r>
  <r>
    <x v="19"/>
    <s v="H"/>
    <n v="0"/>
    <n v="649"/>
    <n v="0"/>
  </r>
  <r>
    <x v="20"/>
    <s v="H"/>
    <n v="31"/>
    <n v="1800"/>
    <n v="55800"/>
  </r>
  <r>
    <x v="21"/>
    <s v="H"/>
    <n v="11"/>
    <n v="345"/>
    <n v="3795"/>
  </r>
  <r>
    <x v="22"/>
    <s v="H"/>
    <n v="10"/>
    <n v="350"/>
    <n v="3500"/>
  </r>
  <r>
    <x v="23"/>
    <s v="H"/>
    <n v="7"/>
    <n v="1575"/>
    <n v="11025"/>
  </r>
  <r>
    <x v="24"/>
    <s v="H"/>
    <n v="7"/>
    <n v="1045"/>
    <n v="7315"/>
  </r>
  <r>
    <x v="25"/>
    <s v="H"/>
    <n v="5"/>
    <n v="1186"/>
    <n v="5930"/>
  </r>
  <r>
    <x v="26"/>
    <s v="H"/>
    <n v="2"/>
    <n v="374"/>
    <n v="748"/>
  </r>
  <r>
    <x v="27"/>
    <s v="H"/>
    <n v="1"/>
    <n v="1500"/>
    <n v="1500"/>
  </r>
  <r>
    <x v="28"/>
    <s v="H"/>
    <n v="0"/>
    <n v="1800"/>
    <n v="0"/>
  </r>
  <r>
    <x v="29"/>
    <s v="H"/>
    <n v="0"/>
    <n v="1477"/>
    <n v="0"/>
  </r>
  <r>
    <x v="0"/>
    <s v="M"/>
    <n v="23"/>
    <n v="210"/>
    <n v="4830"/>
  </r>
  <r>
    <x v="1"/>
    <s v="M"/>
    <n v="13"/>
    <n v="199"/>
    <n v="2587"/>
  </r>
  <r>
    <x v="2"/>
    <s v="M"/>
    <n v="8"/>
    <n v="322"/>
    <n v="2576"/>
  </r>
  <r>
    <x v="3"/>
    <s v="M"/>
    <n v="5"/>
    <n v="161"/>
    <n v="805"/>
  </r>
  <r>
    <x v="4"/>
    <s v="M"/>
    <n v="4"/>
    <n v="109"/>
    <n v="436"/>
  </r>
  <r>
    <x v="5"/>
    <s v="M"/>
    <n v="3"/>
    <n v="122"/>
    <n v="366"/>
  </r>
  <r>
    <x v="6"/>
    <s v="M"/>
    <n v="3"/>
    <n v="96"/>
    <n v="288"/>
  </r>
  <r>
    <x v="7"/>
    <s v="M"/>
    <n v="0"/>
    <n v="73"/>
    <n v="0"/>
  </r>
  <r>
    <x v="8"/>
    <s v="M"/>
    <n v="1"/>
    <n v="225"/>
    <n v="225"/>
  </r>
  <r>
    <x v="9"/>
    <s v="M"/>
    <n v="0"/>
    <n v="559"/>
    <n v="0"/>
  </r>
  <r>
    <x v="10"/>
    <s v="M"/>
    <n v="9"/>
    <n v="3199"/>
    <n v="28791"/>
  </r>
  <r>
    <x v="11"/>
    <s v="M"/>
    <n v="13"/>
    <n v="371"/>
    <n v="4823"/>
  </r>
  <r>
    <x v="12"/>
    <s v="M"/>
    <n v="1"/>
    <n v="2300"/>
    <n v="2300"/>
  </r>
  <r>
    <x v="13"/>
    <s v="M"/>
    <n v="4"/>
    <n v="499"/>
    <n v="1996"/>
  </r>
  <r>
    <x v="14"/>
    <s v="M"/>
    <n v="3"/>
    <n v="299"/>
    <n v="897"/>
  </r>
  <r>
    <x v="15"/>
    <s v="M"/>
    <n v="3"/>
    <n v="901"/>
    <n v="2703"/>
  </r>
  <r>
    <x v="16"/>
    <s v="M"/>
    <n v="2"/>
    <n v="929"/>
    <n v="1858"/>
  </r>
  <r>
    <x v="17"/>
    <s v="M"/>
    <n v="0"/>
    <n v="1030"/>
    <n v="0"/>
  </r>
  <r>
    <x v="18"/>
    <s v="M"/>
    <n v="0"/>
    <n v="1222"/>
    <n v="0"/>
  </r>
  <r>
    <x v="19"/>
    <s v="M"/>
    <n v="0"/>
    <n v="649"/>
    <n v="0"/>
  </r>
  <r>
    <x v="20"/>
    <s v="M"/>
    <n v="20"/>
    <n v="1800"/>
    <n v="36000"/>
  </r>
  <r>
    <x v="21"/>
    <s v="M"/>
    <n v="8"/>
    <n v="345"/>
    <n v="2760"/>
  </r>
  <r>
    <x v="22"/>
    <s v="M"/>
    <n v="6"/>
    <n v="350"/>
    <n v="2100"/>
  </r>
  <r>
    <x v="23"/>
    <s v="M"/>
    <n v="5"/>
    <n v="1575"/>
    <n v="7875"/>
  </r>
  <r>
    <x v="24"/>
    <s v="M"/>
    <n v="2"/>
    <n v="1045"/>
    <n v="2090"/>
  </r>
  <r>
    <x v="25"/>
    <s v="M"/>
    <n v="0"/>
    <n v="1186"/>
    <n v="0"/>
  </r>
  <r>
    <x v="26"/>
    <s v="M"/>
    <n v="0"/>
    <n v="374"/>
    <n v="0"/>
  </r>
  <r>
    <x v="27"/>
    <s v="M"/>
    <n v="0"/>
    <n v="1500"/>
    <n v="0"/>
  </r>
  <r>
    <x v="28"/>
    <s v="M"/>
    <n v="0"/>
    <n v="1800"/>
    <n v="0"/>
  </r>
  <r>
    <x v="29"/>
    <s v="M"/>
    <n v="0"/>
    <n v="1477"/>
    <n v="0"/>
  </r>
  <r>
    <x v="0"/>
    <s v="C"/>
    <n v="11"/>
    <n v="210"/>
    <n v="2310"/>
  </r>
  <r>
    <x v="1"/>
    <s v="C"/>
    <n v="6"/>
    <n v="199"/>
    <n v="1194"/>
  </r>
  <r>
    <x v="2"/>
    <s v="C"/>
    <n v="5"/>
    <n v="322"/>
    <n v="1610"/>
  </r>
  <r>
    <x v="3"/>
    <s v="C"/>
    <n v="3"/>
    <n v="161"/>
    <n v="483"/>
  </r>
  <r>
    <x v="4"/>
    <s v="C"/>
    <n v="3"/>
    <n v="109"/>
    <n v="327"/>
  </r>
  <r>
    <x v="5"/>
    <s v="C"/>
    <n v="2"/>
    <n v="122"/>
    <n v="244"/>
  </r>
  <r>
    <x v="6"/>
    <s v="C"/>
    <n v="2"/>
    <n v="96"/>
    <n v="192"/>
  </r>
  <r>
    <x v="7"/>
    <s v="C"/>
    <n v="0"/>
    <n v="73"/>
    <n v="0"/>
  </r>
  <r>
    <x v="8"/>
    <s v="C"/>
    <n v="2"/>
    <n v="225"/>
    <n v="450"/>
  </r>
  <r>
    <x v="9"/>
    <s v="C"/>
    <n v="2"/>
    <n v="559"/>
    <n v="1118"/>
  </r>
  <r>
    <x v="10"/>
    <s v="C"/>
    <n v="21"/>
    <n v="3199"/>
    <n v="67179"/>
  </r>
  <r>
    <x v="11"/>
    <s v="C"/>
    <n v="1"/>
    <n v="371"/>
    <n v="371"/>
  </r>
  <r>
    <x v="12"/>
    <s v="C"/>
    <n v="10"/>
    <n v="2300"/>
    <n v="23000"/>
  </r>
  <r>
    <x v="13"/>
    <s v="C"/>
    <n v="5"/>
    <n v="499"/>
    <n v="2495"/>
  </r>
  <r>
    <x v="14"/>
    <s v="C"/>
    <n v="3"/>
    <n v="299"/>
    <n v="897"/>
  </r>
  <r>
    <x v="15"/>
    <s v="C"/>
    <n v="1"/>
    <n v="901"/>
    <n v="901"/>
  </r>
  <r>
    <x v="16"/>
    <s v="C"/>
    <n v="3"/>
    <n v="929"/>
    <n v="2787"/>
  </r>
  <r>
    <x v="17"/>
    <s v="C"/>
    <n v="1"/>
    <n v="1030"/>
    <n v="1030"/>
  </r>
  <r>
    <x v="18"/>
    <s v="C"/>
    <n v="1"/>
    <n v="1222"/>
    <n v="1222"/>
  </r>
  <r>
    <x v="19"/>
    <s v="C"/>
    <n v="2"/>
    <n v="649"/>
    <n v="1298"/>
  </r>
  <r>
    <x v="20"/>
    <s v="C"/>
    <n v="12"/>
    <n v="1800"/>
    <n v="21600"/>
  </r>
  <r>
    <x v="21"/>
    <s v="C"/>
    <n v="8"/>
    <n v="345"/>
    <n v="2760"/>
  </r>
  <r>
    <x v="22"/>
    <s v="C"/>
    <n v="4"/>
    <n v="350"/>
    <n v="1400"/>
  </r>
  <r>
    <x v="23"/>
    <s v="C"/>
    <n v="3"/>
    <n v="1575"/>
    <n v="4725"/>
  </r>
  <r>
    <x v="24"/>
    <s v="C"/>
    <n v="5"/>
    <n v="1045"/>
    <n v="5225"/>
  </r>
  <r>
    <x v="25"/>
    <s v="C"/>
    <n v="5"/>
    <n v="1186"/>
    <n v="5930"/>
  </r>
  <r>
    <x v="26"/>
    <s v="C"/>
    <n v="3"/>
    <n v="374"/>
    <n v="1122"/>
  </r>
  <r>
    <x v="27"/>
    <s v="C"/>
    <n v="2"/>
    <n v="1500"/>
    <n v="3000"/>
  </r>
  <r>
    <x v="28"/>
    <s v="C"/>
    <n v="2"/>
    <n v="1800"/>
    <n v="3600"/>
  </r>
  <r>
    <x v="29"/>
    <s v="C"/>
    <n v="0"/>
    <n v="1477"/>
    <n v="0"/>
  </r>
  <r>
    <x v="0"/>
    <s v="H"/>
    <n v="35"/>
    <n v="210"/>
    <n v="7350"/>
  </r>
  <r>
    <x v="1"/>
    <s v="H"/>
    <n v="12"/>
    <n v="199"/>
    <n v="2388"/>
  </r>
  <r>
    <x v="2"/>
    <s v="H"/>
    <n v="10"/>
    <n v="322"/>
    <n v="3220"/>
  </r>
  <r>
    <x v="3"/>
    <s v="H"/>
    <n v="8"/>
    <n v="161"/>
    <n v="1288"/>
  </r>
  <r>
    <x v="4"/>
    <s v="H"/>
    <n v="4"/>
    <n v="109"/>
    <n v="436"/>
  </r>
  <r>
    <x v="5"/>
    <s v="H"/>
    <n v="2"/>
    <n v="122"/>
    <n v="244"/>
  </r>
  <r>
    <x v="6"/>
    <s v="H"/>
    <n v="5"/>
    <n v="96"/>
    <n v="480"/>
  </r>
  <r>
    <x v="7"/>
    <s v="H"/>
    <n v="0"/>
    <n v="73"/>
    <n v="0"/>
  </r>
  <r>
    <x v="8"/>
    <s v="H"/>
    <n v="2"/>
    <n v="225"/>
    <n v="450"/>
  </r>
  <r>
    <x v="9"/>
    <s v="H"/>
    <n v="1"/>
    <n v="559"/>
    <n v="559"/>
  </r>
  <r>
    <x v="10"/>
    <s v="H"/>
    <n v="25"/>
    <n v="3199"/>
    <n v="79975"/>
  </r>
  <r>
    <x v="11"/>
    <s v="H"/>
    <n v="10"/>
    <n v="371"/>
    <n v="3710"/>
  </r>
  <r>
    <x v="12"/>
    <s v="H"/>
    <n v="9"/>
    <n v="2300"/>
    <n v="20700"/>
  </r>
  <r>
    <x v="13"/>
    <s v="H"/>
    <n v="9"/>
    <n v="499"/>
    <n v="4491"/>
  </r>
  <r>
    <x v="14"/>
    <s v="H"/>
    <n v="5"/>
    <n v="299"/>
    <n v="1495"/>
  </r>
  <r>
    <x v="15"/>
    <s v="H"/>
    <n v="4"/>
    <n v="901"/>
    <n v="3604"/>
  </r>
  <r>
    <x v="16"/>
    <s v="H"/>
    <n v="2"/>
    <n v="929"/>
    <n v="1858"/>
  </r>
  <r>
    <x v="17"/>
    <s v="H"/>
    <n v="1"/>
    <n v="1030"/>
    <n v="1030"/>
  </r>
  <r>
    <x v="18"/>
    <s v="H"/>
    <n v="1"/>
    <n v="1222"/>
    <n v="1222"/>
  </r>
  <r>
    <x v="19"/>
    <s v="H"/>
    <n v="2"/>
    <n v="649"/>
    <n v="1298"/>
  </r>
  <r>
    <x v="20"/>
    <s v="H"/>
    <n v="25"/>
    <n v="1800"/>
    <n v="45000"/>
  </r>
  <r>
    <x v="21"/>
    <s v="H"/>
    <n v="12"/>
    <n v="345"/>
    <n v="4140"/>
  </r>
  <r>
    <x v="22"/>
    <s v="H"/>
    <n v="12"/>
    <n v="350"/>
    <n v="4200"/>
  </r>
  <r>
    <x v="23"/>
    <s v="H"/>
    <n v="8"/>
    <n v="1575"/>
    <n v="12600"/>
  </r>
  <r>
    <x v="24"/>
    <s v="H"/>
    <n v="6"/>
    <n v="1045"/>
    <n v="6270"/>
  </r>
  <r>
    <x v="25"/>
    <s v="H"/>
    <n v="4"/>
    <n v="1186"/>
    <n v="4744"/>
  </r>
  <r>
    <x v="26"/>
    <s v="H"/>
    <n v="4"/>
    <n v="374"/>
    <n v="1496"/>
  </r>
  <r>
    <x v="27"/>
    <s v="H"/>
    <n v="0"/>
    <n v="1500"/>
    <n v="0"/>
  </r>
  <r>
    <x v="28"/>
    <s v="H"/>
    <n v="0"/>
    <n v="1800"/>
    <n v="0"/>
  </r>
  <r>
    <x v="29"/>
    <s v="H"/>
    <n v="0"/>
    <n v="1477"/>
    <n v="0"/>
  </r>
  <r>
    <x v="0"/>
    <s v="M"/>
    <n v="23"/>
    <n v="210"/>
    <n v="4830"/>
  </r>
  <r>
    <x v="1"/>
    <s v="M"/>
    <n v="10"/>
    <n v="199"/>
    <n v="1990"/>
  </r>
  <r>
    <x v="2"/>
    <s v="M"/>
    <n v="8"/>
    <n v="322"/>
    <n v="2576"/>
  </r>
  <r>
    <x v="3"/>
    <s v="M"/>
    <n v="5"/>
    <n v="161"/>
    <n v="805"/>
  </r>
  <r>
    <x v="4"/>
    <s v="M"/>
    <n v="3"/>
    <n v="109"/>
    <n v="327"/>
  </r>
  <r>
    <x v="5"/>
    <s v="M"/>
    <n v="1"/>
    <n v="122"/>
    <n v="122"/>
  </r>
  <r>
    <x v="6"/>
    <s v="M"/>
    <n v="3"/>
    <n v="96"/>
    <n v="288"/>
  </r>
  <r>
    <x v="7"/>
    <s v="M"/>
    <n v="0"/>
    <n v="73"/>
    <n v="0"/>
  </r>
  <r>
    <x v="8"/>
    <s v="M"/>
    <n v="1"/>
    <n v="225"/>
    <n v="225"/>
  </r>
  <r>
    <x v="9"/>
    <s v="M"/>
    <n v="1"/>
    <n v="559"/>
    <n v="559"/>
  </r>
  <r>
    <x v="10"/>
    <s v="M"/>
    <n v="23"/>
    <n v="3199"/>
    <n v="73577"/>
  </r>
  <r>
    <x v="11"/>
    <s v="M"/>
    <n v="10"/>
    <n v="371"/>
    <n v="3710"/>
  </r>
  <r>
    <x v="12"/>
    <s v="M"/>
    <n v="9"/>
    <n v="2300"/>
    <n v="20700"/>
  </r>
  <r>
    <x v="13"/>
    <s v="M"/>
    <n v="0"/>
    <n v="499"/>
    <n v="0"/>
  </r>
  <r>
    <x v="14"/>
    <s v="M"/>
    <n v="4"/>
    <n v="299"/>
    <n v="1196"/>
  </r>
  <r>
    <x v="15"/>
    <s v="M"/>
    <n v="4"/>
    <n v="901"/>
    <n v="3604"/>
  </r>
  <r>
    <x v="16"/>
    <s v="M"/>
    <n v="0"/>
    <n v="929"/>
    <n v="0"/>
  </r>
  <r>
    <x v="17"/>
    <s v="M"/>
    <n v="1"/>
    <n v="1030"/>
    <n v="1030"/>
  </r>
  <r>
    <x v="18"/>
    <s v="M"/>
    <n v="0"/>
    <n v="1222"/>
    <n v="0"/>
  </r>
  <r>
    <x v="19"/>
    <s v="M"/>
    <n v="0"/>
    <n v="649"/>
    <n v="0"/>
  </r>
  <r>
    <x v="20"/>
    <s v="M"/>
    <n v="19"/>
    <n v="1800"/>
    <n v="34200"/>
  </r>
  <r>
    <x v="21"/>
    <s v="M"/>
    <n v="8"/>
    <n v="345"/>
    <n v="2760"/>
  </r>
  <r>
    <x v="22"/>
    <s v="M"/>
    <n v="8"/>
    <n v="350"/>
    <n v="2800"/>
  </r>
  <r>
    <x v="23"/>
    <s v="M"/>
    <n v="7"/>
    <n v="1575"/>
    <n v="11025"/>
  </r>
  <r>
    <x v="24"/>
    <s v="M"/>
    <n v="2"/>
    <n v="1045"/>
    <n v="2090"/>
  </r>
  <r>
    <x v="25"/>
    <s v="M"/>
    <n v="1"/>
    <n v="1186"/>
    <n v="1186"/>
  </r>
  <r>
    <x v="26"/>
    <s v="M"/>
    <n v="1"/>
    <n v="374"/>
    <n v="374"/>
  </r>
  <r>
    <x v="27"/>
    <s v="M"/>
    <n v="0"/>
    <n v="1500"/>
    <n v="0"/>
  </r>
  <r>
    <x v="28"/>
    <s v="M"/>
    <n v="0"/>
    <n v="1800"/>
    <n v="0"/>
  </r>
  <r>
    <x v="29"/>
    <s v="M"/>
    <n v="0"/>
    <n v="1477"/>
    <n v="0"/>
  </r>
  <r>
    <x v="0"/>
    <s v="C"/>
    <n v="3"/>
    <n v="210"/>
    <n v="630"/>
  </r>
  <r>
    <x v="1"/>
    <s v="C"/>
    <n v="6"/>
    <n v="199"/>
    <n v="1194"/>
  </r>
  <r>
    <x v="2"/>
    <s v="C"/>
    <n v="2"/>
    <n v="322"/>
    <n v="644"/>
  </r>
  <r>
    <x v="3"/>
    <s v="C"/>
    <n v="5"/>
    <n v="161"/>
    <n v="805"/>
  </r>
  <r>
    <x v="4"/>
    <s v="C"/>
    <n v="3"/>
    <n v="109"/>
    <n v="327"/>
  </r>
  <r>
    <x v="5"/>
    <s v="C"/>
    <n v="2"/>
    <n v="122"/>
    <n v="244"/>
  </r>
  <r>
    <x v="6"/>
    <s v="C"/>
    <n v="1"/>
    <n v="96"/>
    <n v="96"/>
  </r>
  <r>
    <x v="7"/>
    <s v="C"/>
    <n v="0"/>
    <n v="73"/>
    <n v="0"/>
  </r>
  <r>
    <x v="8"/>
    <s v="C"/>
    <n v="2"/>
    <n v="225"/>
    <n v="450"/>
  </r>
  <r>
    <x v="9"/>
    <s v="C"/>
    <n v="2"/>
    <n v="559"/>
    <n v="1118"/>
  </r>
  <r>
    <x v="10"/>
    <s v="C"/>
    <n v="14"/>
    <n v="3199"/>
    <n v="44786"/>
  </r>
  <r>
    <x v="11"/>
    <s v="C"/>
    <n v="6"/>
    <n v="371"/>
    <n v="2226"/>
  </r>
  <r>
    <x v="12"/>
    <s v="C"/>
    <n v="2"/>
    <n v="2300"/>
    <n v="4600"/>
  </r>
  <r>
    <x v="13"/>
    <s v="C"/>
    <n v="7"/>
    <n v="499"/>
    <n v="3493"/>
  </r>
  <r>
    <x v="14"/>
    <s v="C"/>
    <n v="4"/>
    <n v="299"/>
    <n v="1196"/>
  </r>
  <r>
    <x v="15"/>
    <s v="C"/>
    <n v="2"/>
    <n v="901"/>
    <n v="1802"/>
  </r>
  <r>
    <x v="16"/>
    <s v="C"/>
    <n v="3"/>
    <n v="929"/>
    <n v="2787"/>
  </r>
  <r>
    <x v="17"/>
    <s v="C"/>
    <n v="2"/>
    <n v="1030"/>
    <n v="2060"/>
  </r>
  <r>
    <x v="18"/>
    <s v="C"/>
    <n v="2"/>
    <n v="1222"/>
    <n v="2444"/>
  </r>
  <r>
    <x v="19"/>
    <s v="C"/>
    <n v="3"/>
    <n v="649"/>
    <n v="1947"/>
  </r>
  <r>
    <x v="20"/>
    <s v="C"/>
    <n v="11"/>
    <n v="1800"/>
    <n v="19800"/>
  </r>
  <r>
    <x v="21"/>
    <s v="C"/>
    <n v="7"/>
    <n v="345"/>
    <n v="2415"/>
  </r>
  <r>
    <x v="22"/>
    <s v="C"/>
    <n v="1"/>
    <n v="350"/>
    <n v="350"/>
  </r>
  <r>
    <x v="23"/>
    <s v="C"/>
    <n v="3"/>
    <n v="1575"/>
    <n v="4725"/>
  </r>
  <r>
    <x v="24"/>
    <s v="C"/>
    <n v="5"/>
    <n v="1045"/>
    <n v="5225"/>
  </r>
  <r>
    <x v="25"/>
    <s v="C"/>
    <n v="3"/>
    <n v="1186"/>
    <n v="3558"/>
  </r>
  <r>
    <x v="26"/>
    <s v="C"/>
    <n v="3"/>
    <n v="374"/>
    <n v="1122"/>
  </r>
  <r>
    <x v="27"/>
    <s v="C"/>
    <n v="0"/>
    <n v="1500"/>
    <n v="0"/>
  </r>
  <r>
    <x v="28"/>
    <s v="C"/>
    <n v="1"/>
    <n v="1800"/>
    <n v="1800"/>
  </r>
  <r>
    <x v="29"/>
    <s v="C"/>
    <n v="0"/>
    <n v="1477"/>
    <n v="0"/>
  </r>
  <r>
    <x v="0"/>
    <s v="H"/>
    <n v="32"/>
    <n v="210"/>
    <n v="6720"/>
  </r>
  <r>
    <x v="1"/>
    <s v="H"/>
    <n v="15"/>
    <n v="199"/>
    <n v="2985"/>
  </r>
  <r>
    <x v="2"/>
    <s v="H"/>
    <n v="10"/>
    <n v="322"/>
    <n v="3220"/>
  </r>
  <r>
    <x v="3"/>
    <s v="H"/>
    <n v="8"/>
    <n v="161"/>
    <n v="1288"/>
  </r>
  <r>
    <x v="4"/>
    <s v="H"/>
    <n v="4"/>
    <n v="109"/>
    <n v="436"/>
  </r>
  <r>
    <x v="5"/>
    <s v="H"/>
    <n v="4"/>
    <n v="122"/>
    <n v="488"/>
  </r>
  <r>
    <x v="6"/>
    <s v="H"/>
    <n v="3"/>
    <n v="96"/>
    <n v="288"/>
  </r>
  <r>
    <x v="7"/>
    <s v="H"/>
    <n v="0"/>
    <n v="73"/>
    <n v="0"/>
  </r>
  <r>
    <x v="8"/>
    <s v="H"/>
    <n v="0"/>
    <n v="225"/>
    <n v="0"/>
  </r>
  <r>
    <x v="9"/>
    <s v="H"/>
    <n v="2"/>
    <n v="559"/>
    <n v="1118"/>
  </r>
  <r>
    <x v="10"/>
    <s v="H"/>
    <n v="26"/>
    <n v="3199"/>
    <n v="83174"/>
  </r>
  <r>
    <x v="11"/>
    <s v="H"/>
    <n v="17"/>
    <n v="371"/>
    <n v="6307"/>
  </r>
  <r>
    <x v="12"/>
    <s v="H"/>
    <n v="12"/>
    <n v="2300"/>
    <n v="27600"/>
  </r>
  <r>
    <x v="13"/>
    <s v="H"/>
    <n v="8"/>
    <n v="499"/>
    <n v="3992"/>
  </r>
  <r>
    <x v="14"/>
    <s v="H"/>
    <n v="6"/>
    <n v="299"/>
    <n v="1794"/>
  </r>
  <r>
    <x v="15"/>
    <s v="H"/>
    <n v="2"/>
    <n v="901"/>
    <n v="1802"/>
  </r>
  <r>
    <x v="16"/>
    <s v="H"/>
    <n v="3"/>
    <n v="929"/>
    <n v="2787"/>
  </r>
  <r>
    <x v="17"/>
    <s v="H"/>
    <n v="0"/>
    <n v="1030"/>
    <n v="0"/>
  </r>
  <r>
    <x v="18"/>
    <s v="H"/>
    <n v="2"/>
    <n v="1222"/>
    <n v="2444"/>
  </r>
  <r>
    <x v="19"/>
    <s v="H"/>
    <n v="0"/>
    <n v="649"/>
    <n v="0"/>
  </r>
  <r>
    <x v="20"/>
    <s v="H"/>
    <n v="34"/>
    <n v="1800"/>
    <n v="61200"/>
  </r>
  <r>
    <x v="21"/>
    <s v="H"/>
    <n v="14"/>
    <n v="345"/>
    <n v="4830"/>
  </r>
  <r>
    <x v="22"/>
    <s v="H"/>
    <n v="9"/>
    <n v="350"/>
    <n v="3150"/>
  </r>
  <r>
    <x v="23"/>
    <s v="H"/>
    <n v="7"/>
    <n v="1575"/>
    <n v="11025"/>
  </r>
  <r>
    <x v="24"/>
    <s v="H"/>
    <n v="7"/>
    <n v="1045"/>
    <n v="7315"/>
  </r>
  <r>
    <x v="25"/>
    <s v="H"/>
    <n v="5"/>
    <n v="1186"/>
    <n v="5930"/>
  </r>
  <r>
    <x v="26"/>
    <s v="H"/>
    <n v="4"/>
    <n v="374"/>
    <n v="1496"/>
  </r>
  <r>
    <x v="27"/>
    <s v="H"/>
    <n v="2"/>
    <n v="1500"/>
    <n v="3000"/>
  </r>
  <r>
    <x v="28"/>
    <s v="H"/>
    <n v="1"/>
    <n v="1800"/>
    <n v="1800"/>
  </r>
  <r>
    <x v="29"/>
    <s v="H"/>
    <n v="0"/>
    <n v="1477"/>
    <n v="0"/>
  </r>
  <r>
    <x v="0"/>
    <s v="M"/>
    <n v="24"/>
    <n v="210"/>
    <n v="5040"/>
  </r>
  <r>
    <x v="1"/>
    <s v="M"/>
    <n v="9"/>
    <n v="199"/>
    <n v="1791"/>
  </r>
  <r>
    <x v="2"/>
    <s v="M"/>
    <n v="6"/>
    <n v="322"/>
    <n v="1932"/>
  </r>
  <r>
    <x v="3"/>
    <s v="M"/>
    <n v="6"/>
    <n v="161"/>
    <n v="966"/>
  </r>
  <r>
    <x v="4"/>
    <s v="M"/>
    <n v="4"/>
    <n v="109"/>
    <n v="436"/>
  </r>
  <r>
    <x v="5"/>
    <s v="M"/>
    <n v="3"/>
    <n v="122"/>
    <n v="366"/>
  </r>
  <r>
    <x v="6"/>
    <s v="M"/>
    <n v="2"/>
    <n v="96"/>
    <n v="192"/>
  </r>
  <r>
    <x v="7"/>
    <s v="M"/>
    <n v="0"/>
    <n v="73"/>
    <n v="0"/>
  </r>
  <r>
    <x v="8"/>
    <s v="M"/>
    <n v="0"/>
    <n v="225"/>
    <n v="0"/>
  </r>
  <r>
    <x v="9"/>
    <s v="M"/>
    <n v="1"/>
    <n v="559"/>
    <n v="559"/>
  </r>
  <r>
    <x v="10"/>
    <s v="M"/>
    <n v="25"/>
    <n v="3199"/>
    <n v="79975"/>
  </r>
  <r>
    <x v="11"/>
    <s v="M"/>
    <n v="3"/>
    <n v="371"/>
    <n v="1113"/>
  </r>
  <r>
    <x v="12"/>
    <s v="M"/>
    <n v="11"/>
    <n v="2300"/>
    <n v="25300"/>
  </r>
  <r>
    <x v="13"/>
    <s v="M"/>
    <n v="5"/>
    <n v="499"/>
    <n v="2495"/>
  </r>
  <r>
    <x v="14"/>
    <s v="M"/>
    <n v="0"/>
    <n v="299"/>
    <n v="0"/>
  </r>
  <r>
    <x v="15"/>
    <s v="M"/>
    <n v="1"/>
    <n v="901"/>
    <n v="901"/>
  </r>
  <r>
    <x v="16"/>
    <s v="M"/>
    <n v="1"/>
    <n v="929"/>
    <n v="929"/>
  </r>
  <r>
    <x v="17"/>
    <s v="M"/>
    <n v="0"/>
    <n v="1030"/>
    <n v="0"/>
  </r>
  <r>
    <x v="18"/>
    <s v="M"/>
    <n v="0"/>
    <n v="1222"/>
    <n v="0"/>
  </r>
  <r>
    <x v="19"/>
    <s v="M"/>
    <n v="0"/>
    <n v="649"/>
    <n v="0"/>
  </r>
  <r>
    <x v="20"/>
    <s v="M"/>
    <n v="24"/>
    <n v="1800"/>
    <n v="43200"/>
  </r>
  <r>
    <x v="21"/>
    <s v="M"/>
    <n v="9"/>
    <n v="345"/>
    <n v="3105"/>
  </r>
  <r>
    <x v="22"/>
    <s v="M"/>
    <n v="7"/>
    <n v="350"/>
    <n v="2450"/>
  </r>
  <r>
    <x v="23"/>
    <s v="M"/>
    <n v="6"/>
    <n v="1575"/>
    <n v="9450"/>
  </r>
  <r>
    <x v="24"/>
    <s v="M"/>
    <n v="3"/>
    <n v="1045"/>
    <n v="3135"/>
  </r>
  <r>
    <x v="25"/>
    <s v="M"/>
    <n v="2"/>
    <n v="1186"/>
    <n v="2372"/>
  </r>
  <r>
    <x v="26"/>
    <s v="M"/>
    <n v="1"/>
    <n v="374"/>
    <n v="374"/>
  </r>
  <r>
    <x v="27"/>
    <s v="M"/>
    <n v="0"/>
    <n v="1500"/>
    <n v="0"/>
  </r>
  <r>
    <x v="28"/>
    <s v="M"/>
    <n v="0"/>
    <n v="1800"/>
    <n v="0"/>
  </r>
  <r>
    <x v="29"/>
    <s v="M"/>
    <n v="0"/>
    <n v="1477"/>
    <n v="0"/>
  </r>
  <r>
    <x v="0"/>
    <s v="C"/>
    <n v="8"/>
    <n v="210"/>
    <n v="1680"/>
  </r>
  <r>
    <x v="1"/>
    <s v="C"/>
    <n v="5"/>
    <n v="199"/>
    <n v="995"/>
  </r>
  <r>
    <x v="2"/>
    <s v="C"/>
    <n v="6"/>
    <n v="322"/>
    <n v="1932"/>
  </r>
  <r>
    <x v="3"/>
    <s v="C"/>
    <n v="6"/>
    <n v="161"/>
    <n v="966"/>
  </r>
  <r>
    <x v="4"/>
    <s v="C"/>
    <n v="4"/>
    <n v="109"/>
    <n v="436"/>
  </r>
  <r>
    <x v="5"/>
    <s v="C"/>
    <n v="2"/>
    <n v="122"/>
    <n v="244"/>
  </r>
  <r>
    <x v="6"/>
    <s v="C"/>
    <n v="2"/>
    <n v="96"/>
    <n v="192"/>
  </r>
  <r>
    <x v="7"/>
    <s v="C"/>
    <n v="0"/>
    <n v="73"/>
    <n v="0"/>
  </r>
  <r>
    <x v="8"/>
    <s v="C"/>
    <n v="1"/>
    <n v="225"/>
    <n v="225"/>
  </r>
  <r>
    <x v="9"/>
    <s v="C"/>
    <n v="1"/>
    <n v="559"/>
    <n v="559"/>
  </r>
  <r>
    <x v="10"/>
    <s v="C"/>
    <n v="13"/>
    <n v="3199"/>
    <n v="41587"/>
  </r>
  <r>
    <x v="11"/>
    <s v="C"/>
    <n v="13"/>
    <n v="371"/>
    <n v="4823"/>
  </r>
  <r>
    <x v="12"/>
    <s v="C"/>
    <n v="2"/>
    <n v="2300"/>
    <n v="4600"/>
  </r>
  <r>
    <x v="13"/>
    <s v="C"/>
    <n v="6"/>
    <n v="499"/>
    <n v="2994"/>
  </r>
  <r>
    <x v="14"/>
    <s v="C"/>
    <n v="6"/>
    <n v="299"/>
    <n v="1794"/>
  </r>
  <r>
    <x v="15"/>
    <s v="C"/>
    <n v="4"/>
    <n v="901"/>
    <n v="3604"/>
  </r>
  <r>
    <x v="16"/>
    <s v="C"/>
    <n v="3"/>
    <n v="929"/>
    <n v="2787"/>
  </r>
  <r>
    <x v="17"/>
    <s v="C"/>
    <n v="1"/>
    <n v="1030"/>
    <n v="1030"/>
  </r>
  <r>
    <x v="18"/>
    <s v="C"/>
    <n v="2"/>
    <n v="1222"/>
    <n v="2444"/>
  </r>
  <r>
    <x v="19"/>
    <s v="C"/>
    <n v="2"/>
    <n v="649"/>
    <n v="1298"/>
  </r>
  <r>
    <x v="20"/>
    <s v="C"/>
    <n v="3"/>
    <n v="1800"/>
    <n v="5400"/>
  </r>
  <r>
    <x v="21"/>
    <s v="C"/>
    <n v="5"/>
    <n v="345"/>
    <n v="1725"/>
  </r>
  <r>
    <x v="22"/>
    <s v="C"/>
    <n v="5"/>
    <n v="350"/>
    <n v="1750"/>
  </r>
  <r>
    <x v="23"/>
    <s v="C"/>
    <n v="2"/>
    <n v="1575"/>
    <n v="3150"/>
  </r>
  <r>
    <x v="24"/>
    <s v="C"/>
    <n v="4"/>
    <n v="1045"/>
    <n v="4180"/>
  </r>
  <r>
    <x v="25"/>
    <s v="C"/>
    <n v="2"/>
    <n v="1186"/>
    <n v="2372"/>
  </r>
  <r>
    <x v="26"/>
    <s v="C"/>
    <n v="3"/>
    <n v="374"/>
    <n v="1122"/>
  </r>
  <r>
    <x v="27"/>
    <s v="C"/>
    <n v="3"/>
    <n v="1500"/>
    <n v="4500"/>
  </r>
  <r>
    <x v="28"/>
    <s v="C"/>
    <n v="2"/>
    <n v="1800"/>
    <n v="3600"/>
  </r>
  <r>
    <x v="29"/>
    <s v="C"/>
    <n v="2"/>
    <n v="1477"/>
    <n v="2954"/>
  </r>
  <r>
    <x v="0"/>
    <s v="H"/>
    <n v="31"/>
    <n v="210"/>
    <n v="6510"/>
  </r>
  <r>
    <x v="1"/>
    <s v="H"/>
    <n v="15"/>
    <n v="199"/>
    <n v="2985"/>
  </r>
  <r>
    <x v="2"/>
    <s v="H"/>
    <n v="9"/>
    <n v="322"/>
    <n v="2898"/>
  </r>
  <r>
    <x v="3"/>
    <s v="H"/>
    <n v="10"/>
    <n v="161"/>
    <n v="1610"/>
  </r>
  <r>
    <x v="4"/>
    <s v="H"/>
    <n v="7"/>
    <n v="109"/>
    <n v="763"/>
  </r>
  <r>
    <x v="5"/>
    <s v="H"/>
    <n v="4"/>
    <n v="122"/>
    <n v="488"/>
  </r>
  <r>
    <x v="6"/>
    <s v="H"/>
    <n v="3"/>
    <n v="96"/>
    <n v="288"/>
  </r>
  <r>
    <x v="7"/>
    <s v="H"/>
    <n v="0"/>
    <n v="73"/>
    <n v="0"/>
  </r>
  <r>
    <x v="8"/>
    <s v="H"/>
    <n v="1"/>
    <n v="225"/>
    <n v="225"/>
  </r>
  <r>
    <x v="9"/>
    <s v="H"/>
    <n v="0"/>
    <n v="559"/>
    <n v="0"/>
  </r>
  <r>
    <x v="10"/>
    <s v="H"/>
    <n v="30"/>
    <n v="3199"/>
    <n v="95970"/>
  </r>
  <r>
    <x v="11"/>
    <s v="H"/>
    <n v="14"/>
    <n v="371"/>
    <n v="5194"/>
  </r>
  <r>
    <x v="12"/>
    <s v="H"/>
    <n v="8"/>
    <n v="2300"/>
    <n v="18400"/>
  </r>
  <r>
    <x v="13"/>
    <s v="H"/>
    <n v="11"/>
    <n v="499"/>
    <n v="5489"/>
  </r>
  <r>
    <x v="14"/>
    <s v="H"/>
    <n v="7"/>
    <n v="299"/>
    <n v="2093"/>
  </r>
  <r>
    <x v="15"/>
    <s v="H"/>
    <n v="5"/>
    <n v="901"/>
    <n v="4505"/>
  </r>
  <r>
    <x v="16"/>
    <s v="H"/>
    <n v="5"/>
    <n v="929"/>
    <n v="4645"/>
  </r>
  <r>
    <x v="17"/>
    <s v="H"/>
    <n v="0"/>
    <n v="1030"/>
    <n v="0"/>
  </r>
  <r>
    <x v="18"/>
    <s v="H"/>
    <n v="1"/>
    <n v="1222"/>
    <n v="1222"/>
  </r>
  <r>
    <x v="19"/>
    <s v="H"/>
    <n v="1"/>
    <n v="649"/>
    <n v="649"/>
  </r>
  <r>
    <x v="20"/>
    <s v="H"/>
    <n v="28"/>
    <n v="1800"/>
    <n v="50400"/>
  </r>
  <r>
    <x v="21"/>
    <s v="H"/>
    <n v="12"/>
    <n v="345"/>
    <n v="4140"/>
  </r>
  <r>
    <x v="22"/>
    <s v="H"/>
    <n v="10"/>
    <n v="350"/>
    <n v="3500"/>
  </r>
  <r>
    <x v="23"/>
    <s v="H"/>
    <n v="8"/>
    <n v="1575"/>
    <n v="12600"/>
  </r>
  <r>
    <x v="24"/>
    <s v="H"/>
    <n v="7"/>
    <n v="1045"/>
    <n v="7315"/>
  </r>
  <r>
    <x v="25"/>
    <s v="H"/>
    <n v="4"/>
    <n v="1186"/>
    <n v="4744"/>
  </r>
  <r>
    <x v="26"/>
    <s v="H"/>
    <n v="2"/>
    <n v="374"/>
    <n v="748"/>
  </r>
  <r>
    <x v="27"/>
    <s v="H"/>
    <n v="1"/>
    <n v="1500"/>
    <n v="1500"/>
  </r>
  <r>
    <x v="28"/>
    <s v="H"/>
    <n v="0"/>
    <n v="1800"/>
    <n v="0"/>
  </r>
  <r>
    <x v="29"/>
    <s v="H"/>
    <n v="0"/>
    <n v="1477"/>
    <n v="0"/>
  </r>
  <r>
    <x v="0"/>
    <s v="M"/>
    <n v="22"/>
    <n v="210"/>
    <n v="4620"/>
  </r>
  <r>
    <x v="1"/>
    <s v="M"/>
    <n v="12"/>
    <n v="199"/>
    <n v="2388"/>
  </r>
  <r>
    <x v="2"/>
    <s v="M"/>
    <n v="6"/>
    <n v="322"/>
    <n v="1932"/>
  </r>
  <r>
    <x v="3"/>
    <s v="M"/>
    <n v="6"/>
    <n v="161"/>
    <n v="966"/>
  </r>
  <r>
    <x v="4"/>
    <s v="M"/>
    <n v="4"/>
    <n v="109"/>
    <n v="436"/>
  </r>
  <r>
    <x v="5"/>
    <s v="M"/>
    <n v="2"/>
    <n v="122"/>
    <n v="244"/>
  </r>
  <r>
    <x v="6"/>
    <s v="M"/>
    <n v="3"/>
    <n v="96"/>
    <n v="288"/>
  </r>
  <r>
    <x v="7"/>
    <s v="M"/>
    <n v="0"/>
    <n v="73"/>
    <n v="0"/>
  </r>
  <r>
    <x v="8"/>
    <s v="M"/>
    <n v="0"/>
    <n v="225"/>
    <n v="0"/>
  </r>
  <r>
    <x v="9"/>
    <s v="M"/>
    <n v="0"/>
    <n v="559"/>
    <n v="0"/>
  </r>
  <r>
    <x v="10"/>
    <s v="M"/>
    <n v="2"/>
    <n v="3199"/>
    <n v="6398"/>
  </r>
  <r>
    <x v="11"/>
    <s v="M"/>
    <n v="10"/>
    <n v="371"/>
    <n v="3710"/>
  </r>
  <r>
    <x v="12"/>
    <s v="M"/>
    <n v="10"/>
    <n v="2300"/>
    <n v="23000"/>
  </r>
  <r>
    <x v="13"/>
    <s v="M"/>
    <n v="6"/>
    <n v="499"/>
    <n v="2994"/>
  </r>
  <r>
    <x v="14"/>
    <s v="M"/>
    <n v="0"/>
    <n v="299"/>
    <n v="0"/>
  </r>
  <r>
    <x v="15"/>
    <s v="M"/>
    <n v="0"/>
    <n v="901"/>
    <n v="0"/>
  </r>
  <r>
    <x v="16"/>
    <s v="M"/>
    <n v="1"/>
    <n v="929"/>
    <n v="929"/>
  </r>
  <r>
    <x v="17"/>
    <s v="M"/>
    <n v="1"/>
    <n v="1030"/>
    <n v="1030"/>
  </r>
  <r>
    <x v="18"/>
    <s v="M"/>
    <n v="0"/>
    <n v="1222"/>
    <n v="0"/>
  </r>
  <r>
    <x v="19"/>
    <s v="M"/>
    <n v="0"/>
    <n v="649"/>
    <n v="0"/>
  </r>
  <r>
    <x v="20"/>
    <s v="M"/>
    <n v="19"/>
    <n v="1800"/>
    <n v="34200"/>
  </r>
  <r>
    <x v="21"/>
    <s v="M"/>
    <n v="10"/>
    <n v="345"/>
    <n v="3450"/>
  </r>
  <r>
    <x v="22"/>
    <s v="M"/>
    <n v="6"/>
    <n v="350"/>
    <n v="2100"/>
  </r>
  <r>
    <x v="23"/>
    <s v="M"/>
    <n v="5"/>
    <n v="1575"/>
    <n v="7875"/>
  </r>
  <r>
    <x v="24"/>
    <s v="M"/>
    <n v="2"/>
    <n v="1045"/>
    <n v="2090"/>
  </r>
  <r>
    <x v="25"/>
    <s v="M"/>
    <n v="4"/>
    <n v="1186"/>
    <n v="4744"/>
  </r>
  <r>
    <x v="26"/>
    <s v="M"/>
    <n v="1"/>
    <n v="374"/>
    <n v="374"/>
  </r>
  <r>
    <x v="27"/>
    <s v="M"/>
    <n v="1"/>
    <n v="1500"/>
    <n v="1500"/>
  </r>
  <r>
    <x v="28"/>
    <s v="M"/>
    <n v="0"/>
    <n v="1800"/>
    <n v="0"/>
  </r>
  <r>
    <x v="29"/>
    <s v="M"/>
    <n v="0"/>
    <n v="1477"/>
    <n v="0"/>
  </r>
  <r>
    <x v="0"/>
    <s v="C"/>
    <n v="10"/>
    <n v="210"/>
    <n v="2100"/>
  </r>
  <r>
    <x v="1"/>
    <s v="C"/>
    <n v="6"/>
    <n v="199"/>
    <n v="1194"/>
  </r>
  <r>
    <x v="2"/>
    <s v="C"/>
    <n v="5"/>
    <n v="322"/>
    <n v="1610"/>
  </r>
  <r>
    <x v="3"/>
    <s v="C"/>
    <n v="2"/>
    <n v="161"/>
    <n v="322"/>
  </r>
  <r>
    <x v="4"/>
    <s v="C"/>
    <n v="3"/>
    <n v="109"/>
    <n v="327"/>
  </r>
  <r>
    <x v="5"/>
    <s v="C"/>
    <n v="2"/>
    <n v="122"/>
    <n v="244"/>
  </r>
  <r>
    <x v="6"/>
    <s v="C"/>
    <n v="2"/>
    <n v="96"/>
    <n v="192"/>
  </r>
  <r>
    <x v="7"/>
    <s v="C"/>
    <n v="1"/>
    <n v="73"/>
    <n v="73"/>
  </r>
  <r>
    <x v="8"/>
    <s v="C"/>
    <n v="1"/>
    <n v="225"/>
    <n v="225"/>
  </r>
  <r>
    <x v="9"/>
    <s v="C"/>
    <n v="1"/>
    <n v="559"/>
    <n v="559"/>
  </r>
  <r>
    <x v="10"/>
    <s v="C"/>
    <n v="28"/>
    <n v="3199"/>
    <n v="89572"/>
  </r>
  <r>
    <x v="11"/>
    <s v="C"/>
    <n v="1"/>
    <n v="371"/>
    <n v="371"/>
  </r>
  <r>
    <x v="12"/>
    <s v="C"/>
    <n v="4"/>
    <n v="2300"/>
    <n v="9200"/>
  </r>
  <r>
    <x v="13"/>
    <s v="C"/>
    <n v="3"/>
    <n v="499"/>
    <n v="1497"/>
  </r>
  <r>
    <x v="14"/>
    <s v="C"/>
    <n v="6"/>
    <n v="299"/>
    <n v="1794"/>
  </r>
  <r>
    <x v="15"/>
    <s v="C"/>
    <n v="5"/>
    <n v="901"/>
    <n v="4505"/>
  </r>
  <r>
    <x v="16"/>
    <s v="C"/>
    <n v="3"/>
    <n v="929"/>
    <n v="2787"/>
  </r>
  <r>
    <x v="17"/>
    <s v="C"/>
    <n v="1"/>
    <n v="1030"/>
    <n v="1030"/>
  </r>
  <r>
    <x v="18"/>
    <s v="C"/>
    <n v="2"/>
    <n v="1222"/>
    <n v="2444"/>
  </r>
  <r>
    <x v="19"/>
    <s v="C"/>
    <n v="2"/>
    <n v="649"/>
    <n v="1298"/>
  </r>
  <r>
    <x v="20"/>
    <s v="C"/>
    <n v="14"/>
    <n v="1800"/>
    <n v="25200"/>
  </r>
  <r>
    <x v="21"/>
    <s v="C"/>
    <n v="6"/>
    <n v="345"/>
    <n v="2070"/>
  </r>
  <r>
    <x v="22"/>
    <s v="C"/>
    <n v="5"/>
    <n v="350"/>
    <n v="1750"/>
  </r>
  <r>
    <x v="23"/>
    <s v="C"/>
    <n v="4"/>
    <n v="1575"/>
    <n v="6300"/>
  </r>
  <r>
    <x v="24"/>
    <s v="C"/>
    <n v="5"/>
    <n v="1045"/>
    <n v="5225"/>
  </r>
  <r>
    <x v="25"/>
    <s v="C"/>
    <n v="2"/>
    <n v="1186"/>
    <n v="2372"/>
  </r>
  <r>
    <x v="26"/>
    <s v="C"/>
    <n v="3"/>
    <n v="374"/>
    <n v="1122"/>
  </r>
  <r>
    <x v="27"/>
    <s v="C"/>
    <n v="2"/>
    <n v="1500"/>
    <n v="3000"/>
  </r>
  <r>
    <x v="28"/>
    <s v="C"/>
    <n v="1"/>
    <n v="1800"/>
    <n v="1800"/>
  </r>
  <r>
    <x v="29"/>
    <s v="C"/>
    <n v="1"/>
    <n v="1477"/>
    <n v="1477"/>
  </r>
  <r>
    <x v="0"/>
    <s v="H"/>
    <n v="27"/>
    <n v="210"/>
    <n v="5670"/>
  </r>
  <r>
    <x v="1"/>
    <s v="H"/>
    <n v="16"/>
    <n v="199"/>
    <n v="3184"/>
  </r>
  <r>
    <x v="2"/>
    <s v="H"/>
    <n v="11"/>
    <n v="322"/>
    <n v="3542"/>
  </r>
  <r>
    <x v="3"/>
    <s v="H"/>
    <n v="8"/>
    <n v="161"/>
    <n v="1288"/>
  </r>
  <r>
    <x v="4"/>
    <s v="H"/>
    <n v="6"/>
    <n v="109"/>
    <n v="654"/>
  </r>
  <r>
    <x v="5"/>
    <s v="H"/>
    <n v="2"/>
    <n v="122"/>
    <n v="244"/>
  </r>
  <r>
    <x v="6"/>
    <s v="H"/>
    <n v="3"/>
    <n v="96"/>
    <n v="288"/>
  </r>
  <r>
    <x v="7"/>
    <s v="H"/>
    <n v="0"/>
    <n v="73"/>
    <n v="0"/>
  </r>
  <r>
    <x v="8"/>
    <s v="H"/>
    <n v="2"/>
    <n v="225"/>
    <n v="450"/>
  </r>
  <r>
    <x v="9"/>
    <s v="H"/>
    <n v="1"/>
    <n v="559"/>
    <n v="559"/>
  </r>
  <r>
    <x v="10"/>
    <s v="H"/>
    <n v="30"/>
    <n v="3199"/>
    <n v="95970"/>
  </r>
  <r>
    <x v="11"/>
    <s v="H"/>
    <n v="16"/>
    <n v="371"/>
    <n v="5936"/>
  </r>
  <r>
    <x v="12"/>
    <s v="H"/>
    <n v="8"/>
    <n v="2300"/>
    <n v="18400"/>
  </r>
  <r>
    <x v="13"/>
    <s v="H"/>
    <n v="7"/>
    <n v="499"/>
    <n v="3493"/>
  </r>
  <r>
    <x v="14"/>
    <s v="H"/>
    <n v="7"/>
    <n v="299"/>
    <n v="2093"/>
  </r>
  <r>
    <x v="15"/>
    <s v="H"/>
    <n v="2"/>
    <n v="901"/>
    <n v="1802"/>
  </r>
  <r>
    <x v="16"/>
    <s v="H"/>
    <n v="3"/>
    <n v="929"/>
    <n v="2787"/>
  </r>
  <r>
    <x v="17"/>
    <s v="H"/>
    <n v="1"/>
    <n v="1030"/>
    <n v="1030"/>
  </r>
  <r>
    <x v="18"/>
    <s v="H"/>
    <n v="0"/>
    <n v="1222"/>
    <n v="0"/>
  </r>
  <r>
    <x v="19"/>
    <s v="H"/>
    <n v="2"/>
    <n v="649"/>
    <n v="1298"/>
  </r>
  <r>
    <x v="20"/>
    <s v="H"/>
    <n v="30"/>
    <n v="1800"/>
    <n v="54000"/>
  </r>
  <r>
    <x v="21"/>
    <s v="H"/>
    <n v="18"/>
    <n v="345"/>
    <n v="6210"/>
  </r>
  <r>
    <x v="22"/>
    <s v="H"/>
    <n v="10"/>
    <n v="350"/>
    <n v="3500"/>
  </r>
  <r>
    <x v="23"/>
    <s v="H"/>
    <n v="11"/>
    <n v="1575"/>
    <n v="17325"/>
  </r>
  <r>
    <x v="24"/>
    <s v="H"/>
    <n v="7"/>
    <n v="1045"/>
    <n v="7315"/>
  </r>
  <r>
    <x v="25"/>
    <s v="H"/>
    <n v="4"/>
    <n v="1186"/>
    <n v="4744"/>
  </r>
  <r>
    <x v="26"/>
    <s v="H"/>
    <n v="2"/>
    <n v="374"/>
    <n v="748"/>
  </r>
  <r>
    <x v="27"/>
    <s v="H"/>
    <n v="1"/>
    <n v="1500"/>
    <n v="1500"/>
  </r>
  <r>
    <x v="28"/>
    <s v="H"/>
    <n v="1"/>
    <n v="1800"/>
    <n v="1800"/>
  </r>
  <r>
    <x v="29"/>
    <s v="H"/>
    <n v="0"/>
    <n v="1477"/>
    <n v="0"/>
  </r>
  <r>
    <x v="0"/>
    <s v="M"/>
    <n v="19"/>
    <n v="210"/>
    <n v="3990"/>
  </r>
  <r>
    <x v="1"/>
    <s v="M"/>
    <n v="11"/>
    <n v="199"/>
    <n v="2189"/>
  </r>
  <r>
    <x v="2"/>
    <s v="M"/>
    <n v="8"/>
    <n v="322"/>
    <n v="2576"/>
  </r>
  <r>
    <x v="3"/>
    <s v="M"/>
    <n v="6"/>
    <n v="161"/>
    <n v="966"/>
  </r>
  <r>
    <x v="4"/>
    <s v="M"/>
    <n v="3"/>
    <n v="109"/>
    <n v="327"/>
  </r>
  <r>
    <x v="5"/>
    <s v="M"/>
    <n v="1"/>
    <n v="122"/>
    <n v="122"/>
  </r>
  <r>
    <x v="6"/>
    <s v="M"/>
    <n v="2"/>
    <n v="96"/>
    <n v="192"/>
  </r>
  <r>
    <x v="7"/>
    <s v="M"/>
    <n v="0"/>
    <n v="73"/>
    <n v="0"/>
  </r>
  <r>
    <x v="8"/>
    <s v="M"/>
    <n v="1"/>
    <n v="225"/>
    <n v="225"/>
  </r>
  <r>
    <x v="9"/>
    <s v="M"/>
    <n v="0"/>
    <n v="559"/>
    <n v="0"/>
  </r>
  <r>
    <x v="10"/>
    <s v="M"/>
    <n v="26"/>
    <n v="3199"/>
    <n v="83174"/>
  </r>
  <r>
    <x v="11"/>
    <s v="M"/>
    <n v="3"/>
    <n v="371"/>
    <n v="1113"/>
  </r>
  <r>
    <x v="12"/>
    <s v="M"/>
    <n v="9"/>
    <n v="2300"/>
    <n v="20700"/>
  </r>
  <r>
    <x v="13"/>
    <s v="M"/>
    <n v="8"/>
    <n v="499"/>
    <n v="3992"/>
  </r>
  <r>
    <x v="14"/>
    <s v="M"/>
    <n v="0"/>
    <n v="299"/>
    <n v="0"/>
  </r>
  <r>
    <x v="15"/>
    <s v="M"/>
    <n v="0"/>
    <n v="901"/>
    <n v="0"/>
  </r>
  <r>
    <x v="16"/>
    <s v="M"/>
    <n v="2"/>
    <n v="929"/>
    <n v="1858"/>
  </r>
  <r>
    <x v="17"/>
    <s v="M"/>
    <n v="0"/>
    <n v="1030"/>
    <n v="0"/>
  </r>
  <r>
    <x v="18"/>
    <s v="M"/>
    <n v="0"/>
    <n v="1222"/>
    <n v="0"/>
  </r>
  <r>
    <x v="19"/>
    <s v="M"/>
    <n v="0"/>
    <n v="649"/>
    <n v="0"/>
  </r>
  <r>
    <x v="20"/>
    <s v="M"/>
    <n v="18"/>
    <n v="1800"/>
    <n v="32400"/>
  </r>
  <r>
    <x v="21"/>
    <s v="M"/>
    <n v="13"/>
    <n v="345"/>
    <n v="4485"/>
  </r>
  <r>
    <x v="22"/>
    <s v="M"/>
    <n v="8"/>
    <n v="350"/>
    <n v="2800"/>
  </r>
  <r>
    <x v="23"/>
    <s v="M"/>
    <n v="7"/>
    <n v="1575"/>
    <n v="11025"/>
  </r>
  <r>
    <x v="24"/>
    <s v="M"/>
    <n v="3"/>
    <n v="1045"/>
    <n v="3135"/>
  </r>
  <r>
    <x v="25"/>
    <s v="M"/>
    <n v="5"/>
    <n v="1186"/>
    <n v="5930"/>
  </r>
  <r>
    <x v="26"/>
    <s v="M"/>
    <n v="0"/>
    <n v="374"/>
    <n v="0"/>
  </r>
  <r>
    <x v="27"/>
    <s v="M"/>
    <n v="1"/>
    <n v="1500"/>
    <n v="1500"/>
  </r>
  <r>
    <x v="28"/>
    <s v="M"/>
    <n v="0"/>
    <n v="1800"/>
    <n v="0"/>
  </r>
  <r>
    <x v="29"/>
    <s v="M"/>
    <n v="0"/>
    <n v="1477"/>
    <n v="0"/>
  </r>
  <r>
    <x v="0"/>
    <s v="C"/>
    <n v="12"/>
    <n v="210"/>
    <n v="2520"/>
  </r>
  <r>
    <x v="1"/>
    <s v="C"/>
    <n v="5"/>
    <n v="199"/>
    <n v="995"/>
  </r>
  <r>
    <x v="2"/>
    <s v="C"/>
    <n v="3"/>
    <n v="322"/>
    <n v="966"/>
  </r>
  <r>
    <x v="3"/>
    <s v="C"/>
    <n v="4"/>
    <n v="161"/>
    <n v="644"/>
  </r>
  <r>
    <x v="4"/>
    <s v="C"/>
    <n v="2"/>
    <n v="109"/>
    <n v="218"/>
  </r>
  <r>
    <x v="5"/>
    <s v="C"/>
    <n v="2"/>
    <n v="122"/>
    <n v="244"/>
  </r>
  <r>
    <x v="6"/>
    <s v="C"/>
    <n v="2"/>
    <n v="96"/>
    <n v="192"/>
  </r>
  <r>
    <x v="7"/>
    <s v="C"/>
    <n v="0"/>
    <n v="73"/>
    <n v="0"/>
  </r>
  <r>
    <x v="8"/>
    <s v="C"/>
    <n v="2"/>
    <n v="225"/>
    <n v="450"/>
  </r>
  <r>
    <x v="9"/>
    <s v="C"/>
    <n v="1"/>
    <n v="559"/>
    <n v="559"/>
  </r>
  <r>
    <x v="10"/>
    <s v="C"/>
    <n v="1"/>
    <n v="3199"/>
    <n v="3199"/>
  </r>
  <r>
    <x v="11"/>
    <s v="C"/>
    <n v="16"/>
    <n v="371"/>
    <n v="5936"/>
  </r>
  <r>
    <x v="12"/>
    <s v="C"/>
    <n v="3"/>
    <n v="2300"/>
    <n v="6900"/>
  </r>
  <r>
    <x v="13"/>
    <s v="C"/>
    <n v="4"/>
    <n v="499"/>
    <n v="1996"/>
  </r>
  <r>
    <x v="14"/>
    <s v="C"/>
    <n v="6"/>
    <n v="299"/>
    <n v="1794"/>
  </r>
  <r>
    <x v="15"/>
    <s v="C"/>
    <n v="3"/>
    <n v="901"/>
    <n v="2703"/>
  </r>
  <r>
    <x v="16"/>
    <s v="C"/>
    <n v="2"/>
    <n v="929"/>
    <n v="1858"/>
  </r>
  <r>
    <x v="17"/>
    <s v="C"/>
    <n v="2"/>
    <n v="1030"/>
    <n v="2060"/>
  </r>
  <r>
    <x v="18"/>
    <s v="C"/>
    <n v="1"/>
    <n v="1222"/>
    <n v="1222"/>
  </r>
  <r>
    <x v="19"/>
    <s v="C"/>
    <n v="3"/>
    <n v="649"/>
    <n v="1947"/>
  </r>
  <r>
    <x v="20"/>
    <s v="C"/>
    <n v="9"/>
    <n v="1800"/>
    <n v="16200"/>
  </r>
  <r>
    <x v="21"/>
    <s v="C"/>
    <n v="2"/>
    <n v="345"/>
    <n v="690"/>
  </r>
  <r>
    <x v="22"/>
    <s v="C"/>
    <n v="6"/>
    <n v="350"/>
    <n v="2100"/>
  </r>
  <r>
    <x v="23"/>
    <s v="C"/>
    <n v="2"/>
    <n v="1575"/>
    <n v="3150"/>
  </r>
  <r>
    <x v="24"/>
    <s v="C"/>
    <n v="5"/>
    <n v="1045"/>
    <n v="5225"/>
  </r>
  <r>
    <x v="25"/>
    <s v="C"/>
    <n v="1"/>
    <n v="1186"/>
    <n v="1186"/>
  </r>
  <r>
    <x v="26"/>
    <s v="C"/>
    <n v="5"/>
    <n v="374"/>
    <n v="1870"/>
  </r>
  <r>
    <x v="27"/>
    <s v="C"/>
    <n v="1"/>
    <n v="1500"/>
    <n v="1500"/>
  </r>
  <r>
    <x v="28"/>
    <s v="C"/>
    <n v="2"/>
    <n v="1800"/>
    <n v="3600"/>
  </r>
  <r>
    <x v="29"/>
    <s v="C"/>
    <n v="0"/>
    <n v="1477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350">
  <r>
    <x v="0"/>
    <x v="0"/>
    <x v="0"/>
    <n v="26"/>
    <n v="210"/>
    <n v="5460"/>
    <s v="Thu"/>
  </r>
  <r>
    <x v="0"/>
    <x v="1"/>
    <x v="0"/>
    <n v="13"/>
    <n v="199"/>
    <n v="2587"/>
    <s v="Thu"/>
  </r>
  <r>
    <x v="0"/>
    <x v="2"/>
    <x v="0"/>
    <n v="9"/>
    <n v="322"/>
    <n v="2898"/>
    <s v="Thu"/>
  </r>
  <r>
    <x v="0"/>
    <x v="3"/>
    <x v="0"/>
    <n v="6"/>
    <n v="161"/>
    <n v="966"/>
    <s v="Thu"/>
  </r>
  <r>
    <x v="0"/>
    <x v="4"/>
    <x v="0"/>
    <n v="8"/>
    <n v="109"/>
    <n v="872"/>
    <s v="Thu"/>
  </r>
  <r>
    <x v="0"/>
    <x v="5"/>
    <x v="0"/>
    <n v="3"/>
    <n v="122"/>
    <n v="366"/>
    <s v="Thu"/>
  </r>
  <r>
    <x v="0"/>
    <x v="6"/>
    <x v="0"/>
    <n v="3"/>
    <n v="96"/>
    <n v="288"/>
    <s v="Thu"/>
  </r>
  <r>
    <x v="0"/>
    <x v="7"/>
    <x v="0"/>
    <n v="2"/>
    <n v="73"/>
    <n v="146"/>
    <s v="Thu"/>
  </r>
  <r>
    <x v="0"/>
    <x v="8"/>
    <x v="0"/>
    <n v="0"/>
    <n v="225"/>
    <n v="0"/>
    <s v="Thu"/>
  </r>
  <r>
    <x v="0"/>
    <x v="9"/>
    <x v="0"/>
    <n v="0"/>
    <n v="559"/>
    <n v="0"/>
    <s v="Thu"/>
  </r>
  <r>
    <x v="0"/>
    <x v="10"/>
    <x v="0"/>
    <n v="31"/>
    <n v="3199"/>
    <n v="99169"/>
    <s v="Thu"/>
  </r>
  <r>
    <x v="0"/>
    <x v="11"/>
    <x v="0"/>
    <n v="10"/>
    <n v="371"/>
    <n v="3710"/>
    <s v="Thu"/>
  </r>
  <r>
    <x v="0"/>
    <x v="12"/>
    <x v="0"/>
    <n v="10"/>
    <n v="2300"/>
    <n v="23000"/>
    <s v="Thu"/>
  </r>
  <r>
    <x v="0"/>
    <x v="13"/>
    <x v="0"/>
    <n v="7"/>
    <n v="499"/>
    <n v="3493"/>
    <s v="Thu"/>
  </r>
  <r>
    <x v="0"/>
    <x v="14"/>
    <x v="0"/>
    <n v="5"/>
    <n v="299"/>
    <n v="1495"/>
    <s v="Thu"/>
  </r>
  <r>
    <x v="0"/>
    <x v="15"/>
    <x v="0"/>
    <n v="5"/>
    <n v="901"/>
    <n v="4505"/>
    <s v="Thu"/>
  </r>
  <r>
    <x v="0"/>
    <x v="16"/>
    <x v="0"/>
    <n v="3"/>
    <n v="929"/>
    <n v="2787"/>
    <s v="Thu"/>
  </r>
  <r>
    <x v="0"/>
    <x v="17"/>
    <x v="0"/>
    <n v="2"/>
    <n v="1030"/>
    <n v="2060"/>
    <s v="Thu"/>
  </r>
  <r>
    <x v="0"/>
    <x v="18"/>
    <x v="0"/>
    <n v="0"/>
    <n v="1222"/>
    <n v="0"/>
    <s v="Thu"/>
  </r>
  <r>
    <x v="0"/>
    <x v="19"/>
    <x v="0"/>
    <n v="2"/>
    <n v="649"/>
    <n v="1298"/>
    <s v="Thu"/>
  </r>
  <r>
    <x v="0"/>
    <x v="20"/>
    <x v="0"/>
    <n v="26"/>
    <n v="1800"/>
    <n v="46800"/>
    <s v="Thu"/>
  </r>
  <r>
    <x v="0"/>
    <x v="21"/>
    <x v="0"/>
    <n v="13"/>
    <n v="345"/>
    <n v="4485"/>
    <s v="Thu"/>
  </r>
  <r>
    <x v="0"/>
    <x v="22"/>
    <x v="0"/>
    <n v="9"/>
    <n v="350"/>
    <n v="3150"/>
    <s v="Thu"/>
  </r>
  <r>
    <x v="0"/>
    <x v="23"/>
    <x v="0"/>
    <n v="7"/>
    <n v="1575"/>
    <n v="11025"/>
    <s v="Thu"/>
  </r>
  <r>
    <x v="0"/>
    <x v="24"/>
    <x v="0"/>
    <n v="4"/>
    <n v="1045"/>
    <n v="4180"/>
    <s v="Thu"/>
  </r>
  <r>
    <x v="0"/>
    <x v="25"/>
    <x v="0"/>
    <n v="2"/>
    <n v="1186"/>
    <n v="2372"/>
    <s v="Thu"/>
  </r>
  <r>
    <x v="0"/>
    <x v="26"/>
    <x v="0"/>
    <n v="3"/>
    <n v="374"/>
    <n v="1122"/>
    <s v="Thu"/>
  </r>
  <r>
    <x v="0"/>
    <x v="27"/>
    <x v="0"/>
    <n v="1"/>
    <n v="1500"/>
    <n v="1500"/>
    <s v="Thu"/>
  </r>
  <r>
    <x v="0"/>
    <x v="28"/>
    <x v="0"/>
    <n v="0"/>
    <n v="1800"/>
    <n v="0"/>
    <s v="Thu"/>
  </r>
  <r>
    <x v="0"/>
    <x v="29"/>
    <x v="0"/>
    <n v="2"/>
    <n v="1477"/>
    <n v="2954"/>
    <s v="Thu"/>
  </r>
  <r>
    <x v="0"/>
    <x v="0"/>
    <x v="1"/>
    <n v="17"/>
    <n v="210"/>
    <n v="3570"/>
    <s v="Thu"/>
  </r>
  <r>
    <x v="0"/>
    <x v="1"/>
    <x v="1"/>
    <n v="12"/>
    <n v="199"/>
    <n v="2388"/>
    <s v="Thu"/>
  </r>
  <r>
    <x v="0"/>
    <x v="2"/>
    <x v="1"/>
    <n v="8"/>
    <n v="322"/>
    <n v="2576"/>
    <s v="Thu"/>
  </r>
  <r>
    <x v="0"/>
    <x v="3"/>
    <x v="1"/>
    <n v="5"/>
    <n v="161"/>
    <n v="805"/>
    <s v="Thu"/>
  </r>
  <r>
    <x v="0"/>
    <x v="4"/>
    <x v="1"/>
    <n v="5"/>
    <n v="109"/>
    <n v="545"/>
    <s v="Thu"/>
  </r>
  <r>
    <x v="0"/>
    <x v="5"/>
    <x v="1"/>
    <n v="2"/>
    <n v="122"/>
    <n v="244"/>
    <s v="Thu"/>
  </r>
  <r>
    <x v="0"/>
    <x v="6"/>
    <x v="1"/>
    <n v="3"/>
    <n v="96"/>
    <n v="288"/>
    <s v="Thu"/>
  </r>
  <r>
    <x v="0"/>
    <x v="7"/>
    <x v="1"/>
    <n v="1"/>
    <n v="73"/>
    <n v="73"/>
    <s v="Thu"/>
  </r>
  <r>
    <x v="0"/>
    <x v="8"/>
    <x v="1"/>
    <n v="0"/>
    <n v="225"/>
    <n v="0"/>
    <s v="Thu"/>
  </r>
  <r>
    <x v="0"/>
    <x v="9"/>
    <x v="1"/>
    <n v="0"/>
    <n v="559"/>
    <n v="0"/>
    <s v="Thu"/>
  </r>
  <r>
    <x v="0"/>
    <x v="10"/>
    <x v="1"/>
    <n v="14"/>
    <n v="3199"/>
    <n v="44786"/>
    <s v="Thu"/>
  </r>
  <r>
    <x v="0"/>
    <x v="11"/>
    <x v="1"/>
    <n v="13"/>
    <n v="371"/>
    <n v="4823"/>
    <s v="Thu"/>
  </r>
  <r>
    <x v="0"/>
    <x v="12"/>
    <x v="1"/>
    <n v="8"/>
    <n v="2300"/>
    <n v="18400"/>
    <s v="Thu"/>
  </r>
  <r>
    <x v="0"/>
    <x v="13"/>
    <x v="1"/>
    <n v="1"/>
    <n v="499"/>
    <n v="499"/>
    <s v="Thu"/>
  </r>
  <r>
    <x v="0"/>
    <x v="14"/>
    <x v="1"/>
    <n v="2"/>
    <n v="299"/>
    <n v="598"/>
    <s v="Thu"/>
  </r>
  <r>
    <x v="0"/>
    <x v="15"/>
    <x v="1"/>
    <n v="0"/>
    <n v="901"/>
    <n v="0"/>
    <s v="Thu"/>
  </r>
  <r>
    <x v="0"/>
    <x v="16"/>
    <x v="1"/>
    <n v="4"/>
    <n v="929"/>
    <n v="3716"/>
    <s v="Thu"/>
  </r>
  <r>
    <x v="0"/>
    <x v="17"/>
    <x v="1"/>
    <n v="1"/>
    <n v="1030"/>
    <n v="1030"/>
    <s v="Thu"/>
  </r>
  <r>
    <x v="0"/>
    <x v="18"/>
    <x v="1"/>
    <n v="0"/>
    <n v="1222"/>
    <n v="0"/>
    <s v="Thu"/>
  </r>
  <r>
    <x v="0"/>
    <x v="19"/>
    <x v="1"/>
    <n v="0"/>
    <n v="649"/>
    <n v="0"/>
    <s v="Thu"/>
  </r>
  <r>
    <x v="0"/>
    <x v="20"/>
    <x v="1"/>
    <n v="20"/>
    <n v="1800"/>
    <n v="36000"/>
    <s v="Thu"/>
  </r>
  <r>
    <x v="0"/>
    <x v="21"/>
    <x v="1"/>
    <n v="8"/>
    <n v="345"/>
    <n v="2760"/>
    <s v="Thu"/>
  </r>
  <r>
    <x v="0"/>
    <x v="22"/>
    <x v="1"/>
    <n v="8"/>
    <n v="350"/>
    <n v="2800"/>
    <s v="Thu"/>
  </r>
  <r>
    <x v="0"/>
    <x v="23"/>
    <x v="1"/>
    <n v="4"/>
    <n v="1575"/>
    <n v="6300"/>
    <s v="Thu"/>
  </r>
  <r>
    <x v="0"/>
    <x v="24"/>
    <x v="1"/>
    <n v="3"/>
    <n v="1045"/>
    <n v="3135"/>
    <s v="Thu"/>
  </r>
  <r>
    <x v="0"/>
    <x v="25"/>
    <x v="1"/>
    <n v="0"/>
    <n v="1186"/>
    <n v="0"/>
    <s v="Thu"/>
  </r>
  <r>
    <x v="0"/>
    <x v="26"/>
    <x v="1"/>
    <n v="0"/>
    <n v="374"/>
    <n v="0"/>
    <s v="Thu"/>
  </r>
  <r>
    <x v="0"/>
    <x v="27"/>
    <x v="1"/>
    <n v="0"/>
    <n v="1500"/>
    <n v="0"/>
    <s v="Thu"/>
  </r>
  <r>
    <x v="0"/>
    <x v="28"/>
    <x v="1"/>
    <n v="0"/>
    <n v="1800"/>
    <n v="0"/>
    <s v="Thu"/>
  </r>
  <r>
    <x v="0"/>
    <x v="29"/>
    <x v="1"/>
    <n v="1"/>
    <n v="1477"/>
    <n v="1477"/>
    <s v="Thu"/>
  </r>
  <r>
    <x v="0"/>
    <x v="0"/>
    <x v="2"/>
    <n v="14"/>
    <n v="210"/>
    <n v="2940"/>
    <s v="Thu"/>
  </r>
  <r>
    <x v="0"/>
    <x v="1"/>
    <x v="2"/>
    <n v="9"/>
    <n v="199"/>
    <n v="1791"/>
    <s v="Thu"/>
  </r>
  <r>
    <x v="0"/>
    <x v="2"/>
    <x v="2"/>
    <n v="6"/>
    <n v="322"/>
    <n v="1932"/>
    <s v="Thu"/>
  </r>
  <r>
    <x v="0"/>
    <x v="3"/>
    <x v="2"/>
    <n v="5"/>
    <n v="161"/>
    <n v="805"/>
    <s v="Thu"/>
  </r>
  <r>
    <x v="0"/>
    <x v="4"/>
    <x v="2"/>
    <n v="2"/>
    <n v="109"/>
    <n v="218"/>
    <s v="Thu"/>
  </r>
  <r>
    <x v="0"/>
    <x v="5"/>
    <x v="2"/>
    <n v="2"/>
    <n v="122"/>
    <n v="244"/>
    <s v="Thu"/>
  </r>
  <r>
    <x v="0"/>
    <x v="6"/>
    <x v="2"/>
    <n v="2"/>
    <n v="96"/>
    <n v="192"/>
    <s v="Thu"/>
  </r>
  <r>
    <x v="0"/>
    <x v="7"/>
    <x v="2"/>
    <n v="1"/>
    <n v="73"/>
    <n v="73"/>
    <s v="Thu"/>
  </r>
  <r>
    <x v="0"/>
    <x v="8"/>
    <x v="2"/>
    <n v="1"/>
    <n v="225"/>
    <n v="225"/>
    <s v="Thu"/>
  </r>
  <r>
    <x v="0"/>
    <x v="9"/>
    <x v="2"/>
    <n v="2"/>
    <n v="559"/>
    <n v="1118"/>
    <s v="Thu"/>
  </r>
  <r>
    <x v="0"/>
    <x v="10"/>
    <x v="2"/>
    <n v="12"/>
    <n v="3199"/>
    <n v="38388"/>
    <s v="Thu"/>
  </r>
  <r>
    <x v="0"/>
    <x v="11"/>
    <x v="2"/>
    <n v="3"/>
    <n v="371"/>
    <n v="1113"/>
    <s v="Thu"/>
  </r>
  <r>
    <x v="0"/>
    <x v="12"/>
    <x v="2"/>
    <n v="3"/>
    <n v="2300"/>
    <n v="6900"/>
    <s v="Thu"/>
  </r>
  <r>
    <x v="0"/>
    <x v="13"/>
    <x v="2"/>
    <n v="8"/>
    <n v="499"/>
    <n v="3992"/>
    <s v="Thu"/>
  </r>
  <r>
    <x v="0"/>
    <x v="14"/>
    <x v="2"/>
    <n v="4"/>
    <n v="299"/>
    <n v="1196"/>
    <s v="Thu"/>
  </r>
  <r>
    <x v="0"/>
    <x v="15"/>
    <x v="2"/>
    <n v="4"/>
    <n v="901"/>
    <n v="3604"/>
    <s v="Thu"/>
  </r>
  <r>
    <x v="0"/>
    <x v="16"/>
    <x v="2"/>
    <n v="2"/>
    <n v="929"/>
    <n v="1858"/>
    <s v="Thu"/>
  </r>
  <r>
    <x v="0"/>
    <x v="17"/>
    <x v="2"/>
    <n v="2"/>
    <n v="1030"/>
    <n v="2060"/>
    <s v="Thu"/>
  </r>
  <r>
    <x v="0"/>
    <x v="18"/>
    <x v="2"/>
    <n v="0"/>
    <n v="1222"/>
    <n v="0"/>
    <s v="Thu"/>
  </r>
  <r>
    <x v="0"/>
    <x v="19"/>
    <x v="2"/>
    <n v="3"/>
    <n v="649"/>
    <n v="1947"/>
    <s v="Thu"/>
  </r>
  <r>
    <x v="0"/>
    <x v="20"/>
    <x v="2"/>
    <n v="9"/>
    <n v="1800"/>
    <n v="16200"/>
    <s v="Thu"/>
  </r>
  <r>
    <x v="0"/>
    <x v="21"/>
    <x v="2"/>
    <n v="7"/>
    <n v="345"/>
    <n v="2415"/>
    <s v="Thu"/>
  </r>
  <r>
    <x v="0"/>
    <x v="22"/>
    <x v="2"/>
    <n v="6"/>
    <n v="350"/>
    <n v="2100"/>
    <s v="Thu"/>
  </r>
  <r>
    <x v="0"/>
    <x v="23"/>
    <x v="2"/>
    <n v="4"/>
    <n v="1575"/>
    <n v="6300"/>
    <s v="Thu"/>
  </r>
  <r>
    <x v="0"/>
    <x v="24"/>
    <x v="2"/>
    <n v="4"/>
    <n v="1045"/>
    <n v="4180"/>
    <s v="Thu"/>
  </r>
  <r>
    <x v="0"/>
    <x v="25"/>
    <x v="2"/>
    <n v="3"/>
    <n v="1186"/>
    <n v="3558"/>
    <s v="Thu"/>
  </r>
  <r>
    <x v="0"/>
    <x v="26"/>
    <x v="2"/>
    <n v="4"/>
    <n v="374"/>
    <n v="1496"/>
    <s v="Thu"/>
  </r>
  <r>
    <x v="0"/>
    <x v="27"/>
    <x v="2"/>
    <n v="2"/>
    <n v="1500"/>
    <n v="3000"/>
    <s v="Thu"/>
  </r>
  <r>
    <x v="0"/>
    <x v="28"/>
    <x v="2"/>
    <n v="0"/>
    <n v="1800"/>
    <n v="0"/>
    <s v="Thu"/>
  </r>
  <r>
    <x v="0"/>
    <x v="29"/>
    <x v="2"/>
    <n v="2"/>
    <n v="1477"/>
    <n v="2954"/>
    <s v="Thu"/>
  </r>
  <r>
    <x v="1"/>
    <x v="0"/>
    <x v="0"/>
    <n v="26"/>
    <n v="210"/>
    <n v="5460"/>
    <s v="Fri"/>
  </r>
  <r>
    <x v="1"/>
    <x v="1"/>
    <x v="0"/>
    <n v="12"/>
    <n v="199"/>
    <n v="2388"/>
    <s v="Fri"/>
  </r>
  <r>
    <x v="1"/>
    <x v="2"/>
    <x v="0"/>
    <n v="9"/>
    <n v="322"/>
    <n v="2898"/>
    <s v="Fri"/>
  </r>
  <r>
    <x v="1"/>
    <x v="3"/>
    <x v="0"/>
    <n v="6"/>
    <n v="161"/>
    <n v="966"/>
    <s v="Fri"/>
  </r>
  <r>
    <x v="1"/>
    <x v="4"/>
    <x v="0"/>
    <n v="8"/>
    <n v="109"/>
    <n v="872"/>
    <s v="Fri"/>
  </r>
  <r>
    <x v="1"/>
    <x v="5"/>
    <x v="0"/>
    <n v="4"/>
    <n v="122"/>
    <n v="488"/>
    <s v="Fri"/>
  </r>
  <r>
    <x v="1"/>
    <x v="6"/>
    <x v="0"/>
    <n v="3"/>
    <n v="96"/>
    <n v="288"/>
    <s v="Fri"/>
  </r>
  <r>
    <x v="1"/>
    <x v="7"/>
    <x v="0"/>
    <n v="0"/>
    <n v="73"/>
    <n v="0"/>
    <s v="Fri"/>
  </r>
  <r>
    <x v="1"/>
    <x v="8"/>
    <x v="0"/>
    <n v="2"/>
    <n v="225"/>
    <n v="450"/>
    <s v="Fri"/>
  </r>
  <r>
    <x v="1"/>
    <x v="9"/>
    <x v="0"/>
    <n v="0"/>
    <n v="559"/>
    <n v="0"/>
    <s v="Fri"/>
  </r>
  <r>
    <x v="1"/>
    <x v="10"/>
    <x v="0"/>
    <n v="28"/>
    <n v="3199"/>
    <n v="89572"/>
    <s v="Fri"/>
  </r>
  <r>
    <x v="1"/>
    <x v="11"/>
    <x v="0"/>
    <n v="14"/>
    <n v="371"/>
    <n v="5194"/>
    <s v="Fri"/>
  </r>
  <r>
    <x v="1"/>
    <x v="12"/>
    <x v="0"/>
    <n v="10"/>
    <n v="2300"/>
    <n v="23000"/>
    <s v="Fri"/>
  </r>
  <r>
    <x v="1"/>
    <x v="13"/>
    <x v="0"/>
    <n v="9"/>
    <n v="499"/>
    <n v="4491"/>
    <s v="Fri"/>
  </r>
  <r>
    <x v="1"/>
    <x v="14"/>
    <x v="0"/>
    <n v="7"/>
    <n v="299"/>
    <n v="2093"/>
    <s v="Fri"/>
  </r>
  <r>
    <x v="1"/>
    <x v="15"/>
    <x v="0"/>
    <n v="5"/>
    <n v="901"/>
    <n v="4505"/>
    <s v="Fri"/>
  </r>
  <r>
    <x v="1"/>
    <x v="16"/>
    <x v="0"/>
    <n v="3"/>
    <n v="929"/>
    <n v="2787"/>
    <s v="Fri"/>
  </r>
  <r>
    <x v="1"/>
    <x v="17"/>
    <x v="0"/>
    <n v="0"/>
    <n v="1030"/>
    <n v="0"/>
    <s v="Fri"/>
  </r>
  <r>
    <x v="1"/>
    <x v="18"/>
    <x v="0"/>
    <n v="1"/>
    <n v="1222"/>
    <n v="1222"/>
    <s v="Fri"/>
  </r>
  <r>
    <x v="1"/>
    <x v="19"/>
    <x v="0"/>
    <n v="3"/>
    <n v="649"/>
    <n v="1947"/>
    <s v="Fri"/>
  </r>
  <r>
    <x v="1"/>
    <x v="20"/>
    <x v="0"/>
    <n v="32"/>
    <n v="1800"/>
    <n v="57600"/>
    <s v="Fri"/>
  </r>
  <r>
    <x v="1"/>
    <x v="21"/>
    <x v="0"/>
    <n v="16"/>
    <n v="345"/>
    <n v="5520"/>
    <s v="Fri"/>
  </r>
  <r>
    <x v="1"/>
    <x v="22"/>
    <x v="0"/>
    <n v="11"/>
    <n v="350"/>
    <n v="3850"/>
    <s v="Fri"/>
  </r>
  <r>
    <x v="1"/>
    <x v="23"/>
    <x v="0"/>
    <n v="7"/>
    <n v="1575"/>
    <n v="11025"/>
    <s v="Fri"/>
  </r>
  <r>
    <x v="1"/>
    <x v="24"/>
    <x v="0"/>
    <n v="6"/>
    <n v="1045"/>
    <n v="6270"/>
    <s v="Fri"/>
  </r>
  <r>
    <x v="1"/>
    <x v="25"/>
    <x v="0"/>
    <n v="3"/>
    <n v="1186"/>
    <n v="3558"/>
    <s v="Fri"/>
  </r>
  <r>
    <x v="1"/>
    <x v="26"/>
    <x v="0"/>
    <n v="4"/>
    <n v="374"/>
    <n v="1496"/>
    <s v="Fri"/>
  </r>
  <r>
    <x v="1"/>
    <x v="27"/>
    <x v="0"/>
    <n v="1"/>
    <n v="1500"/>
    <n v="1500"/>
    <s v="Fri"/>
  </r>
  <r>
    <x v="1"/>
    <x v="28"/>
    <x v="0"/>
    <n v="0"/>
    <n v="1800"/>
    <n v="0"/>
    <s v="Fri"/>
  </r>
  <r>
    <x v="1"/>
    <x v="29"/>
    <x v="0"/>
    <n v="0"/>
    <n v="1477"/>
    <n v="0"/>
    <s v="Fri"/>
  </r>
  <r>
    <x v="1"/>
    <x v="0"/>
    <x v="1"/>
    <n v="23"/>
    <n v="210"/>
    <n v="4830"/>
    <s v="Fri"/>
  </r>
  <r>
    <x v="1"/>
    <x v="1"/>
    <x v="1"/>
    <n v="9"/>
    <n v="199"/>
    <n v="1791"/>
    <s v="Fri"/>
  </r>
  <r>
    <x v="1"/>
    <x v="2"/>
    <x v="1"/>
    <n v="6"/>
    <n v="322"/>
    <n v="1932"/>
    <s v="Fri"/>
  </r>
  <r>
    <x v="1"/>
    <x v="3"/>
    <x v="1"/>
    <n v="5"/>
    <n v="161"/>
    <n v="805"/>
    <s v="Fri"/>
  </r>
  <r>
    <x v="1"/>
    <x v="4"/>
    <x v="1"/>
    <n v="5"/>
    <n v="109"/>
    <n v="545"/>
    <s v="Fri"/>
  </r>
  <r>
    <x v="1"/>
    <x v="5"/>
    <x v="1"/>
    <n v="4"/>
    <n v="122"/>
    <n v="488"/>
    <s v="Fri"/>
  </r>
  <r>
    <x v="1"/>
    <x v="6"/>
    <x v="1"/>
    <n v="1"/>
    <n v="96"/>
    <n v="96"/>
    <s v="Fri"/>
  </r>
  <r>
    <x v="1"/>
    <x v="7"/>
    <x v="1"/>
    <n v="0"/>
    <n v="73"/>
    <n v="0"/>
    <s v="Fri"/>
  </r>
  <r>
    <x v="1"/>
    <x v="8"/>
    <x v="1"/>
    <n v="1"/>
    <n v="225"/>
    <n v="225"/>
    <s v="Fri"/>
  </r>
  <r>
    <x v="1"/>
    <x v="9"/>
    <x v="1"/>
    <n v="0"/>
    <n v="559"/>
    <n v="0"/>
    <s v="Fri"/>
  </r>
  <r>
    <x v="1"/>
    <x v="10"/>
    <x v="1"/>
    <n v="9"/>
    <n v="3199"/>
    <n v="28791"/>
    <s v="Fri"/>
  </r>
  <r>
    <x v="1"/>
    <x v="11"/>
    <x v="1"/>
    <n v="5"/>
    <n v="371"/>
    <n v="1855"/>
    <s v="Fri"/>
  </r>
  <r>
    <x v="1"/>
    <x v="12"/>
    <x v="1"/>
    <n v="5"/>
    <n v="2300"/>
    <n v="11500"/>
    <s v="Fri"/>
  </r>
  <r>
    <x v="1"/>
    <x v="13"/>
    <x v="1"/>
    <n v="1"/>
    <n v="499"/>
    <n v="499"/>
    <s v="Fri"/>
  </r>
  <r>
    <x v="1"/>
    <x v="14"/>
    <x v="1"/>
    <n v="0"/>
    <n v="299"/>
    <n v="0"/>
    <s v="Fri"/>
  </r>
  <r>
    <x v="1"/>
    <x v="15"/>
    <x v="1"/>
    <n v="3"/>
    <n v="901"/>
    <n v="2703"/>
    <s v="Fri"/>
  </r>
  <r>
    <x v="1"/>
    <x v="16"/>
    <x v="1"/>
    <n v="1"/>
    <n v="929"/>
    <n v="929"/>
    <s v="Fri"/>
  </r>
  <r>
    <x v="1"/>
    <x v="17"/>
    <x v="1"/>
    <n v="0"/>
    <n v="1030"/>
    <n v="0"/>
    <s v="Fri"/>
  </r>
  <r>
    <x v="1"/>
    <x v="18"/>
    <x v="1"/>
    <n v="1"/>
    <n v="1222"/>
    <n v="1222"/>
    <s v="Fri"/>
  </r>
  <r>
    <x v="1"/>
    <x v="19"/>
    <x v="1"/>
    <n v="0"/>
    <n v="649"/>
    <n v="0"/>
    <s v="Fri"/>
  </r>
  <r>
    <x v="1"/>
    <x v="20"/>
    <x v="1"/>
    <n v="18"/>
    <n v="1800"/>
    <n v="32400"/>
    <s v="Fri"/>
  </r>
  <r>
    <x v="1"/>
    <x v="21"/>
    <x v="1"/>
    <n v="10"/>
    <n v="345"/>
    <n v="3450"/>
    <s v="Fri"/>
  </r>
  <r>
    <x v="1"/>
    <x v="22"/>
    <x v="1"/>
    <n v="7"/>
    <n v="350"/>
    <n v="2450"/>
    <s v="Fri"/>
  </r>
  <r>
    <x v="1"/>
    <x v="23"/>
    <x v="1"/>
    <n v="4"/>
    <n v="1575"/>
    <n v="6300"/>
    <s v="Fri"/>
  </r>
  <r>
    <x v="1"/>
    <x v="24"/>
    <x v="1"/>
    <n v="1"/>
    <n v="1045"/>
    <n v="1045"/>
    <s v="Fri"/>
  </r>
  <r>
    <x v="1"/>
    <x v="25"/>
    <x v="1"/>
    <n v="0"/>
    <n v="1186"/>
    <n v="0"/>
    <s v="Fri"/>
  </r>
  <r>
    <x v="1"/>
    <x v="26"/>
    <x v="1"/>
    <n v="1"/>
    <n v="374"/>
    <n v="374"/>
    <s v="Fri"/>
  </r>
  <r>
    <x v="1"/>
    <x v="27"/>
    <x v="1"/>
    <n v="0"/>
    <n v="1500"/>
    <n v="0"/>
    <s v="Fri"/>
  </r>
  <r>
    <x v="1"/>
    <x v="28"/>
    <x v="1"/>
    <n v="0"/>
    <n v="1800"/>
    <n v="0"/>
    <s v="Fri"/>
  </r>
  <r>
    <x v="1"/>
    <x v="29"/>
    <x v="1"/>
    <n v="0"/>
    <n v="1477"/>
    <n v="0"/>
    <s v="Fri"/>
  </r>
  <r>
    <x v="1"/>
    <x v="0"/>
    <x v="2"/>
    <n v="10"/>
    <n v="210"/>
    <n v="2100"/>
    <s v="Fri"/>
  </r>
  <r>
    <x v="1"/>
    <x v="1"/>
    <x v="2"/>
    <n v="7"/>
    <n v="199"/>
    <n v="1393"/>
    <s v="Fri"/>
  </r>
  <r>
    <x v="1"/>
    <x v="2"/>
    <x v="2"/>
    <n v="6"/>
    <n v="322"/>
    <n v="1932"/>
    <s v="Fri"/>
  </r>
  <r>
    <x v="1"/>
    <x v="3"/>
    <x v="2"/>
    <n v="5"/>
    <n v="161"/>
    <n v="805"/>
    <s v="Fri"/>
  </r>
  <r>
    <x v="1"/>
    <x v="4"/>
    <x v="2"/>
    <n v="1"/>
    <n v="109"/>
    <n v="109"/>
    <s v="Fri"/>
  </r>
  <r>
    <x v="1"/>
    <x v="5"/>
    <x v="2"/>
    <n v="2"/>
    <n v="122"/>
    <n v="244"/>
    <s v="Fri"/>
  </r>
  <r>
    <x v="1"/>
    <x v="6"/>
    <x v="2"/>
    <n v="2"/>
    <n v="96"/>
    <n v="192"/>
    <s v="Fri"/>
  </r>
  <r>
    <x v="1"/>
    <x v="7"/>
    <x v="2"/>
    <n v="0"/>
    <n v="73"/>
    <n v="0"/>
    <s v="Fri"/>
  </r>
  <r>
    <x v="1"/>
    <x v="8"/>
    <x v="2"/>
    <n v="2"/>
    <n v="225"/>
    <n v="450"/>
    <s v="Fri"/>
  </r>
  <r>
    <x v="1"/>
    <x v="9"/>
    <x v="2"/>
    <n v="2"/>
    <n v="559"/>
    <n v="1118"/>
    <s v="Fri"/>
  </r>
  <r>
    <x v="1"/>
    <x v="10"/>
    <x v="2"/>
    <n v="28"/>
    <n v="3199"/>
    <n v="89572"/>
    <s v="Fri"/>
  </r>
  <r>
    <x v="1"/>
    <x v="11"/>
    <x v="2"/>
    <n v="7"/>
    <n v="371"/>
    <n v="2597"/>
    <s v="Fri"/>
  </r>
  <r>
    <x v="1"/>
    <x v="12"/>
    <x v="2"/>
    <n v="5"/>
    <n v="2300"/>
    <n v="11500"/>
    <s v="Fri"/>
  </r>
  <r>
    <x v="1"/>
    <x v="13"/>
    <x v="2"/>
    <n v="8"/>
    <n v="499"/>
    <n v="3992"/>
    <s v="Fri"/>
  </r>
  <r>
    <x v="1"/>
    <x v="14"/>
    <x v="2"/>
    <n v="6"/>
    <n v="299"/>
    <n v="1794"/>
    <s v="Fri"/>
  </r>
  <r>
    <x v="1"/>
    <x v="15"/>
    <x v="2"/>
    <n v="2"/>
    <n v="901"/>
    <n v="1802"/>
    <s v="Fri"/>
  </r>
  <r>
    <x v="1"/>
    <x v="16"/>
    <x v="2"/>
    <n v="2"/>
    <n v="929"/>
    <n v="1858"/>
    <s v="Fri"/>
  </r>
  <r>
    <x v="1"/>
    <x v="17"/>
    <x v="2"/>
    <n v="0"/>
    <n v="1030"/>
    <n v="0"/>
    <s v="Fri"/>
  </r>
  <r>
    <x v="1"/>
    <x v="18"/>
    <x v="2"/>
    <n v="1"/>
    <n v="1222"/>
    <n v="1222"/>
    <s v="Fri"/>
  </r>
  <r>
    <x v="1"/>
    <x v="19"/>
    <x v="2"/>
    <n v="2"/>
    <n v="649"/>
    <n v="1298"/>
    <s v="Fri"/>
  </r>
  <r>
    <x v="1"/>
    <x v="20"/>
    <x v="2"/>
    <n v="12"/>
    <n v="1800"/>
    <n v="21600"/>
    <s v="Fri"/>
  </r>
  <r>
    <x v="1"/>
    <x v="21"/>
    <x v="2"/>
    <n v="2"/>
    <n v="345"/>
    <n v="690"/>
    <s v="Fri"/>
  </r>
  <r>
    <x v="1"/>
    <x v="22"/>
    <x v="2"/>
    <n v="3"/>
    <n v="350"/>
    <n v="1050"/>
    <s v="Fri"/>
  </r>
  <r>
    <x v="1"/>
    <x v="23"/>
    <x v="2"/>
    <n v="5"/>
    <n v="1575"/>
    <n v="7875"/>
    <s v="Fri"/>
  </r>
  <r>
    <x v="1"/>
    <x v="24"/>
    <x v="2"/>
    <n v="6"/>
    <n v="1045"/>
    <n v="6270"/>
    <s v="Fri"/>
  </r>
  <r>
    <x v="1"/>
    <x v="25"/>
    <x v="2"/>
    <n v="5"/>
    <n v="1186"/>
    <n v="5930"/>
    <s v="Fri"/>
  </r>
  <r>
    <x v="1"/>
    <x v="26"/>
    <x v="2"/>
    <n v="3"/>
    <n v="374"/>
    <n v="1122"/>
    <s v="Fri"/>
  </r>
  <r>
    <x v="1"/>
    <x v="27"/>
    <x v="2"/>
    <n v="2"/>
    <n v="1500"/>
    <n v="3000"/>
    <s v="Fri"/>
  </r>
  <r>
    <x v="1"/>
    <x v="28"/>
    <x v="2"/>
    <n v="0"/>
    <n v="1800"/>
    <n v="0"/>
    <s v="Fri"/>
  </r>
  <r>
    <x v="1"/>
    <x v="29"/>
    <x v="2"/>
    <n v="1"/>
    <n v="1477"/>
    <n v="1477"/>
    <s v="Fri"/>
  </r>
  <r>
    <x v="2"/>
    <x v="0"/>
    <x v="0"/>
    <n v="34"/>
    <n v="210"/>
    <n v="7140"/>
    <s v="Sat"/>
  </r>
  <r>
    <x v="2"/>
    <x v="1"/>
    <x v="0"/>
    <n v="14"/>
    <n v="199"/>
    <n v="2786"/>
    <s v="Sat"/>
  </r>
  <r>
    <x v="2"/>
    <x v="2"/>
    <x v="0"/>
    <n v="12"/>
    <n v="322"/>
    <n v="3864"/>
    <s v="Sat"/>
  </r>
  <r>
    <x v="2"/>
    <x v="3"/>
    <x v="0"/>
    <n v="8"/>
    <n v="161"/>
    <n v="1288"/>
    <s v="Sat"/>
  </r>
  <r>
    <x v="2"/>
    <x v="4"/>
    <x v="0"/>
    <n v="7"/>
    <n v="109"/>
    <n v="763"/>
    <s v="Sat"/>
  </r>
  <r>
    <x v="2"/>
    <x v="5"/>
    <x v="0"/>
    <n v="5"/>
    <n v="122"/>
    <n v="610"/>
    <s v="Sat"/>
  </r>
  <r>
    <x v="2"/>
    <x v="6"/>
    <x v="0"/>
    <n v="4"/>
    <n v="96"/>
    <n v="384"/>
    <s v="Sat"/>
  </r>
  <r>
    <x v="2"/>
    <x v="7"/>
    <x v="0"/>
    <n v="0"/>
    <n v="73"/>
    <n v="0"/>
    <s v="Sat"/>
  </r>
  <r>
    <x v="2"/>
    <x v="8"/>
    <x v="0"/>
    <n v="0"/>
    <n v="225"/>
    <n v="0"/>
    <s v="Sat"/>
  </r>
  <r>
    <x v="2"/>
    <x v="9"/>
    <x v="0"/>
    <n v="1"/>
    <n v="559"/>
    <n v="559"/>
    <s v="Sat"/>
  </r>
  <r>
    <x v="2"/>
    <x v="10"/>
    <x v="0"/>
    <n v="27"/>
    <n v="3199"/>
    <n v="86373"/>
    <s v="Sat"/>
  </r>
  <r>
    <x v="2"/>
    <x v="11"/>
    <x v="0"/>
    <n v="11"/>
    <n v="371"/>
    <n v="4081"/>
    <s v="Sat"/>
  </r>
  <r>
    <x v="2"/>
    <x v="12"/>
    <x v="0"/>
    <n v="13"/>
    <n v="2300"/>
    <n v="29900"/>
    <s v="Sat"/>
  </r>
  <r>
    <x v="2"/>
    <x v="13"/>
    <x v="0"/>
    <n v="11"/>
    <n v="499"/>
    <n v="5489"/>
    <s v="Sat"/>
  </r>
  <r>
    <x v="2"/>
    <x v="14"/>
    <x v="0"/>
    <n v="6"/>
    <n v="299"/>
    <n v="1794"/>
    <s v="Sat"/>
  </r>
  <r>
    <x v="2"/>
    <x v="15"/>
    <x v="0"/>
    <n v="4"/>
    <n v="901"/>
    <n v="3604"/>
    <s v="Sat"/>
  </r>
  <r>
    <x v="2"/>
    <x v="16"/>
    <x v="0"/>
    <n v="2"/>
    <n v="929"/>
    <n v="1858"/>
    <s v="Sat"/>
  </r>
  <r>
    <x v="2"/>
    <x v="17"/>
    <x v="0"/>
    <n v="2"/>
    <n v="1030"/>
    <n v="2060"/>
    <s v="Sat"/>
  </r>
  <r>
    <x v="2"/>
    <x v="18"/>
    <x v="0"/>
    <n v="1"/>
    <n v="1222"/>
    <n v="1222"/>
    <s v="Sat"/>
  </r>
  <r>
    <x v="2"/>
    <x v="19"/>
    <x v="0"/>
    <n v="2"/>
    <n v="649"/>
    <n v="1298"/>
    <s v="Sat"/>
  </r>
  <r>
    <x v="2"/>
    <x v="20"/>
    <x v="0"/>
    <n v="28"/>
    <n v="1800"/>
    <n v="50400"/>
    <s v="Sat"/>
  </r>
  <r>
    <x v="2"/>
    <x v="21"/>
    <x v="0"/>
    <n v="16"/>
    <n v="345"/>
    <n v="5520"/>
    <s v="Sat"/>
  </r>
  <r>
    <x v="2"/>
    <x v="22"/>
    <x v="0"/>
    <n v="10"/>
    <n v="350"/>
    <n v="3500"/>
    <s v="Sat"/>
  </r>
  <r>
    <x v="2"/>
    <x v="23"/>
    <x v="0"/>
    <n v="8"/>
    <n v="1575"/>
    <n v="12600"/>
    <s v="Sat"/>
  </r>
  <r>
    <x v="2"/>
    <x v="24"/>
    <x v="0"/>
    <n v="5"/>
    <n v="1045"/>
    <n v="5225"/>
    <s v="Sat"/>
  </r>
  <r>
    <x v="2"/>
    <x v="25"/>
    <x v="0"/>
    <n v="3"/>
    <n v="1186"/>
    <n v="3558"/>
    <s v="Sat"/>
  </r>
  <r>
    <x v="2"/>
    <x v="26"/>
    <x v="0"/>
    <n v="4"/>
    <n v="374"/>
    <n v="1496"/>
    <s v="Sat"/>
  </r>
  <r>
    <x v="2"/>
    <x v="27"/>
    <x v="0"/>
    <n v="2"/>
    <n v="1500"/>
    <n v="3000"/>
    <s v="Sat"/>
  </r>
  <r>
    <x v="2"/>
    <x v="28"/>
    <x v="0"/>
    <n v="1"/>
    <n v="1800"/>
    <n v="1800"/>
    <s v="Sat"/>
  </r>
  <r>
    <x v="2"/>
    <x v="29"/>
    <x v="0"/>
    <n v="0"/>
    <n v="1477"/>
    <n v="0"/>
    <s v="Sat"/>
  </r>
  <r>
    <x v="2"/>
    <x v="0"/>
    <x v="1"/>
    <n v="23"/>
    <n v="210"/>
    <n v="4830"/>
    <s v="Sat"/>
  </r>
  <r>
    <x v="2"/>
    <x v="1"/>
    <x v="1"/>
    <n v="10"/>
    <n v="199"/>
    <n v="1990"/>
    <s v="Sat"/>
  </r>
  <r>
    <x v="2"/>
    <x v="2"/>
    <x v="1"/>
    <n v="9"/>
    <n v="322"/>
    <n v="2898"/>
    <s v="Sat"/>
  </r>
  <r>
    <x v="2"/>
    <x v="3"/>
    <x v="1"/>
    <n v="5"/>
    <n v="161"/>
    <n v="805"/>
    <s v="Sat"/>
  </r>
  <r>
    <x v="2"/>
    <x v="4"/>
    <x v="1"/>
    <n v="4"/>
    <n v="109"/>
    <n v="436"/>
    <s v="Sat"/>
  </r>
  <r>
    <x v="2"/>
    <x v="5"/>
    <x v="1"/>
    <n v="4"/>
    <n v="122"/>
    <n v="488"/>
    <s v="Sat"/>
  </r>
  <r>
    <x v="2"/>
    <x v="6"/>
    <x v="1"/>
    <n v="3"/>
    <n v="96"/>
    <n v="288"/>
    <s v="Sat"/>
  </r>
  <r>
    <x v="2"/>
    <x v="7"/>
    <x v="1"/>
    <n v="0"/>
    <n v="73"/>
    <n v="0"/>
    <s v="Sat"/>
  </r>
  <r>
    <x v="2"/>
    <x v="8"/>
    <x v="1"/>
    <n v="0"/>
    <n v="225"/>
    <n v="0"/>
    <s v="Sat"/>
  </r>
  <r>
    <x v="2"/>
    <x v="9"/>
    <x v="1"/>
    <n v="0"/>
    <n v="559"/>
    <n v="0"/>
    <s v="Sat"/>
  </r>
  <r>
    <x v="2"/>
    <x v="10"/>
    <x v="1"/>
    <n v="13"/>
    <n v="3199"/>
    <n v="41587"/>
    <s v="Sat"/>
  </r>
  <r>
    <x v="2"/>
    <x v="11"/>
    <x v="1"/>
    <n v="4"/>
    <n v="371"/>
    <n v="1484"/>
    <s v="Sat"/>
  </r>
  <r>
    <x v="2"/>
    <x v="12"/>
    <x v="1"/>
    <n v="7"/>
    <n v="2300"/>
    <n v="16100"/>
    <s v="Sat"/>
  </r>
  <r>
    <x v="2"/>
    <x v="13"/>
    <x v="1"/>
    <n v="3"/>
    <n v="499"/>
    <n v="1497"/>
    <s v="Sat"/>
  </r>
  <r>
    <x v="2"/>
    <x v="14"/>
    <x v="1"/>
    <n v="0"/>
    <n v="299"/>
    <n v="0"/>
    <s v="Sat"/>
  </r>
  <r>
    <x v="2"/>
    <x v="15"/>
    <x v="1"/>
    <n v="0"/>
    <n v="901"/>
    <n v="0"/>
    <s v="Sat"/>
  </r>
  <r>
    <x v="2"/>
    <x v="16"/>
    <x v="1"/>
    <n v="1"/>
    <n v="929"/>
    <n v="929"/>
    <s v="Sat"/>
  </r>
  <r>
    <x v="2"/>
    <x v="17"/>
    <x v="1"/>
    <n v="0"/>
    <n v="1030"/>
    <n v="0"/>
    <s v="Sat"/>
  </r>
  <r>
    <x v="2"/>
    <x v="18"/>
    <x v="1"/>
    <n v="0"/>
    <n v="1222"/>
    <n v="0"/>
    <s v="Sat"/>
  </r>
  <r>
    <x v="2"/>
    <x v="19"/>
    <x v="1"/>
    <n v="0"/>
    <n v="649"/>
    <n v="0"/>
    <s v="Sat"/>
  </r>
  <r>
    <x v="2"/>
    <x v="20"/>
    <x v="1"/>
    <n v="17"/>
    <n v="1800"/>
    <n v="30600"/>
    <s v="Sat"/>
  </r>
  <r>
    <x v="2"/>
    <x v="21"/>
    <x v="1"/>
    <n v="11"/>
    <n v="345"/>
    <n v="3795"/>
    <s v="Sat"/>
  </r>
  <r>
    <x v="2"/>
    <x v="22"/>
    <x v="1"/>
    <n v="7"/>
    <n v="350"/>
    <n v="2450"/>
    <s v="Sat"/>
  </r>
  <r>
    <x v="2"/>
    <x v="23"/>
    <x v="1"/>
    <n v="6"/>
    <n v="1575"/>
    <n v="9450"/>
    <s v="Sat"/>
  </r>
  <r>
    <x v="2"/>
    <x v="24"/>
    <x v="1"/>
    <n v="4"/>
    <n v="1045"/>
    <n v="4180"/>
    <s v="Sat"/>
  </r>
  <r>
    <x v="2"/>
    <x v="25"/>
    <x v="1"/>
    <n v="1"/>
    <n v="1186"/>
    <n v="1186"/>
    <s v="Sat"/>
  </r>
  <r>
    <x v="2"/>
    <x v="26"/>
    <x v="1"/>
    <n v="0"/>
    <n v="374"/>
    <n v="0"/>
    <s v="Sat"/>
  </r>
  <r>
    <x v="2"/>
    <x v="27"/>
    <x v="1"/>
    <n v="1"/>
    <n v="1500"/>
    <n v="1500"/>
    <s v="Sat"/>
  </r>
  <r>
    <x v="2"/>
    <x v="28"/>
    <x v="1"/>
    <n v="0"/>
    <n v="1800"/>
    <n v="0"/>
    <s v="Sat"/>
  </r>
  <r>
    <x v="2"/>
    <x v="29"/>
    <x v="1"/>
    <n v="0"/>
    <n v="1477"/>
    <n v="0"/>
    <s v="Sat"/>
  </r>
  <r>
    <x v="2"/>
    <x v="0"/>
    <x v="2"/>
    <n v="4"/>
    <n v="210"/>
    <n v="840"/>
    <s v="Sat"/>
  </r>
  <r>
    <x v="2"/>
    <x v="1"/>
    <x v="2"/>
    <n v="4"/>
    <n v="199"/>
    <n v="796"/>
    <s v="Sat"/>
  </r>
  <r>
    <x v="2"/>
    <x v="2"/>
    <x v="2"/>
    <n v="4"/>
    <n v="322"/>
    <n v="1288"/>
    <s v="Sat"/>
  </r>
  <r>
    <x v="2"/>
    <x v="3"/>
    <x v="2"/>
    <n v="4"/>
    <n v="161"/>
    <n v="644"/>
    <s v="Sat"/>
  </r>
  <r>
    <x v="2"/>
    <x v="4"/>
    <x v="2"/>
    <n v="3"/>
    <n v="109"/>
    <n v="327"/>
    <s v="Sat"/>
  </r>
  <r>
    <x v="2"/>
    <x v="5"/>
    <x v="2"/>
    <n v="1"/>
    <n v="122"/>
    <n v="122"/>
    <s v="Sat"/>
  </r>
  <r>
    <x v="2"/>
    <x v="6"/>
    <x v="2"/>
    <n v="3"/>
    <n v="96"/>
    <n v="288"/>
    <s v="Sat"/>
  </r>
  <r>
    <x v="2"/>
    <x v="7"/>
    <x v="2"/>
    <n v="0"/>
    <n v="73"/>
    <n v="0"/>
    <s v="Sat"/>
  </r>
  <r>
    <x v="2"/>
    <x v="8"/>
    <x v="2"/>
    <n v="0"/>
    <n v="225"/>
    <n v="0"/>
    <s v="Sat"/>
  </r>
  <r>
    <x v="2"/>
    <x v="9"/>
    <x v="2"/>
    <n v="1"/>
    <n v="559"/>
    <n v="559"/>
    <s v="Sat"/>
  </r>
  <r>
    <x v="2"/>
    <x v="10"/>
    <x v="2"/>
    <n v="23"/>
    <n v="3199"/>
    <n v="73577"/>
    <s v="Sat"/>
  </r>
  <r>
    <x v="2"/>
    <x v="11"/>
    <x v="2"/>
    <n v="13"/>
    <n v="371"/>
    <n v="4823"/>
    <s v="Sat"/>
  </r>
  <r>
    <x v="2"/>
    <x v="12"/>
    <x v="2"/>
    <n v="3"/>
    <n v="2300"/>
    <n v="6900"/>
    <s v="Sat"/>
  </r>
  <r>
    <x v="2"/>
    <x v="13"/>
    <x v="2"/>
    <n v="5"/>
    <n v="499"/>
    <n v="2495"/>
    <s v="Sat"/>
  </r>
  <r>
    <x v="2"/>
    <x v="14"/>
    <x v="2"/>
    <n v="5"/>
    <n v="299"/>
    <n v="1495"/>
    <s v="Sat"/>
  </r>
  <r>
    <x v="2"/>
    <x v="15"/>
    <x v="2"/>
    <n v="5"/>
    <n v="901"/>
    <n v="4505"/>
    <s v="Sat"/>
  </r>
  <r>
    <x v="2"/>
    <x v="16"/>
    <x v="2"/>
    <n v="4"/>
    <n v="929"/>
    <n v="3716"/>
    <s v="Sat"/>
  </r>
  <r>
    <x v="2"/>
    <x v="17"/>
    <x v="2"/>
    <n v="2"/>
    <n v="1030"/>
    <n v="2060"/>
    <s v="Sat"/>
  </r>
  <r>
    <x v="2"/>
    <x v="18"/>
    <x v="2"/>
    <n v="1"/>
    <n v="1222"/>
    <n v="1222"/>
    <s v="Sat"/>
  </r>
  <r>
    <x v="2"/>
    <x v="19"/>
    <x v="2"/>
    <n v="3"/>
    <n v="649"/>
    <n v="1947"/>
    <s v="Sat"/>
  </r>
  <r>
    <x v="2"/>
    <x v="20"/>
    <x v="2"/>
    <n v="11"/>
    <n v="1800"/>
    <n v="19800"/>
    <s v="Sat"/>
  </r>
  <r>
    <x v="2"/>
    <x v="21"/>
    <x v="2"/>
    <n v="8"/>
    <n v="345"/>
    <n v="2760"/>
    <s v="Sat"/>
  </r>
  <r>
    <x v="2"/>
    <x v="22"/>
    <x v="2"/>
    <n v="4"/>
    <n v="350"/>
    <n v="1400"/>
    <s v="Sat"/>
  </r>
  <r>
    <x v="2"/>
    <x v="23"/>
    <x v="2"/>
    <n v="4"/>
    <n v="1575"/>
    <n v="6300"/>
    <s v="Sat"/>
  </r>
  <r>
    <x v="2"/>
    <x v="24"/>
    <x v="2"/>
    <n v="2"/>
    <n v="1045"/>
    <n v="2090"/>
    <s v="Sat"/>
  </r>
  <r>
    <x v="2"/>
    <x v="25"/>
    <x v="2"/>
    <n v="2"/>
    <n v="1186"/>
    <n v="2372"/>
    <s v="Sat"/>
  </r>
  <r>
    <x v="2"/>
    <x v="26"/>
    <x v="2"/>
    <n v="5"/>
    <n v="374"/>
    <n v="1870"/>
    <s v="Sat"/>
  </r>
  <r>
    <x v="2"/>
    <x v="27"/>
    <x v="2"/>
    <n v="2"/>
    <n v="1500"/>
    <n v="3000"/>
    <s v="Sat"/>
  </r>
  <r>
    <x v="2"/>
    <x v="28"/>
    <x v="2"/>
    <n v="2"/>
    <n v="1800"/>
    <n v="3600"/>
    <s v="Sat"/>
  </r>
  <r>
    <x v="2"/>
    <x v="29"/>
    <x v="2"/>
    <n v="0"/>
    <n v="1477"/>
    <n v="0"/>
    <s v="Sat"/>
  </r>
  <r>
    <x v="3"/>
    <x v="0"/>
    <x v="0"/>
    <n v="37"/>
    <n v="210"/>
    <n v="7770"/>
    <s v="Sun"/>
  </r>
  <r>
    <x v="3"/>
    <x v="1"/>
    <x v="0"/>
    <n v="13"/>
    <n v="199"/>
    <n v="2587"/>
    <s v="Sun"/>
  </r>
  <r>
    <x v="3"/>
    <x v="2"/>
    <x v="0"/>
    <n v="14"/>
    <n v="322"/>
    <n v="4508"/>
    <s v="Sun"/>
  </r>
  <r>
    <x v="3"/>
    <x v="3"/>
    <x v="0"/>
    <n v="9"/>
    <n v="161"/>
    <n v="1449"/>
    <s v="Sun"/>
  </r>
  <r>
    <x v="3"/>
    <x v="4"/>
    <x v="0"/>
    <n v="7"/>
    <n v="109"/>
    <n v="763"/>
    <s v="Sun"/>
  </r>
  <r>
    <x v="3"/>
    <x v="5"/>
    <x v="0"/>
    <n v="3"/>
    <n v="122"/>
    <n v="366"/>
    <s v="Sun"/>
  </r>
  <r>
    <x v="3"/>
    <x v="6"/>
    <x v="0"/>
    <n v="5"/>
    <n v="96"/>
    <n v="480"/>
    <s v="Sun"/>
  </r>
  <r>
    <x v="3"/>
    <x v="7"/>
    <x v="0"/>
    <n v="0"/>
    <n v="73"/>
    <n v="0"/>
    <s v="Sun"/>
  </r>
  <r>
    <x v="3"/>
    <x v="8"/>
    <x v="0"/>
    <n v="2"/>
    <n v="225"/>
    <n v="450"/>
    <s v="Sun"/>
  </r>
  <r>
    <x v="3"/>
    <x v="9"/>
    <x v="0"/>
    <n v="1"/>
    <n v="559"/>
    <n v="559"/>
    <s v="Sun"/>
  </r>
  <r>
    <x v="3"/>
    <x v="10"/>
    <x v="0"/>
    <n v="34"/>
    <n v="3199"/>
    <n v="108766"/>
    <s v="Sun"/>
  </r>
  <r>
    <x v="3"/>
    <x v="11"/>
    <x v="0"/>
    <n v="17"/>
    <n v="371"/>
    <n v="6307"/>
    <s v="Sun"/>
  </r>
  <r>
    <x v="3"/>
    <x v="12"/>
    <x v="0"/>
    <n v="13"/>
    <n v="2300"/>
    <n v="29900"/>
    <s v="Sun"/>
  </r>
  <r>
    <x v="3"/>
    <x v="13"/>
    <x v="0"/>
    <n v="10"/>
    <n v="499"/>
    <n v="4990"/>
    <s v="Sun"/>
  </r>
  <r>
    <x v="3"/>
    <x v="14"/>
    <x v="0"/>
    <n v="6"/>
    <n v="299"/>
    <n v="1794"/>
    <s v="Sun"/>
  </r>
  <r>
    <x v="3"/>
    <x v="15"/>
    <x v="0"/>
    <n v="3"/>
    <n v="901"/>
    <n v="2703"/>
    <s v="Sun"/>
  </r>
  <r>
    <x v="3"/>
    <x v="16"/>
    <x v="0"/>
    <n v="2"/>
    <n v="929"/>
    <n v="1858"/>
    <s v="Sun"/>
  </r>
  <r>
    <x v="3"/>
    <x v="17"/>
    <x v="0"/>
    <n v="2"/>
    <n v="1030"/>
    <n v="2060"/>
    <s v="Sun"/>
  </r>
  <r>
    <x v="3"/>
    <x v="18"/>
    <x v="0"/>
    <n v="2"/>
    <n v="1222"/>
    <n v="2444"/>
    <s v="Sun"/>
  </r>
  <r>
    <x v="3"/>
    <x v="19"/>
    <x v="0"/>
    <n v="0"/>
    <n v="649"/>
    <n v="0"/>
    <s v="Sun"/>
  </r>
  <r>
    <x v="3"/>
    <x v="20"/>
    <x v="0"/>
    <n v="29"/>
    <n v="1800"/>
    <n v="52200"/>
    <s v="Sun"/>
  </r>
  <r>
    <x v="3"/>
    <x v="21"/>
    <x v="0"/>
    <n v="14"/>
    <n v="345"/>
    <n v="4830"/>
    <s v="Sun"/>
  </r>
  <r>
    <x v="3"/>
    <x v="22"/>
    <x v="0"/>
    <n v="13"/>
    <n v="350"/>
    <n v="4550"/>
    <s v="Sun"/>
  </r>
  <r>
    <x v="3"/>
    <x v="23"/>
    <x v="0"/>
    <n v="10"/>
    <n v="1575"/>
    <n v="15750"/>
    <s v="Sun"/>
  </r>
  <r>
    <x v="3"/>
    <x v="24"/>
    <x v="0"/>
    <n v="5"/>
    <n v="1045"/>
    <n v="5225"/>
    <s v="Sun"/>
  </r>
  <r>
    <x v="3"/>
    <x v="25"/>
    <x v="0"/>
    <n v="3"/>
    <n v="1186"/>
    <n v="3558"/>
    <s v="Sun"/>
  </r>
  <r>
    <x v="3"/>
    <x v="26"/>
    <x v="0"/>
    <n v="4"/>
    <n v="374"/>
    <n v="1496"/>
    <s v="Sun"/>
  </r>
  <r>
    <x v="3"/>
    <x v="27"/>
    <x v="0"/>
    <n v="0"/>
    <n v="1500"/>
    <n v="0"/>
    <s v="Sun"/>
  </r>
  <r>
    <x v="3"/>
    <x v="28"/>
    <x v="0"/>
    <n v="0"/>
    <n v="1800"/>
    <n v="0"/>
    <s v="Sun"/>
  </r>
  <r>
    <x v="3"/>
    <x v="29"/>
    <x v="0"/>
    <n v="2"/>
    <n v="1477"/>
    <n v="2954"/>
    <s v="Sun"/>
  </r>
  <r>
    <x v="3"/>
    <x v="0"/>
    <x v="1"/>
    <n v="19"/>
    <n v="210"/>
    <n v="3990"/>
    <s v="Sun"/>
  </r>
  <r>
    <x v="3"/>
    <x v="1"/>
    <x v="1"/>
    <n v="10"/>
    <n v="199"/>
    <n v="1990"/>
    <s v="Sun"/>
  </r>
  <r>
    <x v="3"/>
    <x v="2"/>
    <x v="1"/>
    <n v="9"/>
    <n v="322"/>
    <n v="2898"/>
    <s v="Sun"/>
  </r>
  <r>
    <x v="3"/>
    <x v="3"/>
    <x v="1"/>
    <n v="6"/>
    <n v="161"/>
    <n v="966"/>
    <s v="Sun"/>
  </r>
  <r>
    <x v="3"/>
    <x v="4"/>
    <x v="1"/>
    <n v="4"/>
    <n v="109"/>
    <n v="436"/>
    <s v="Sun"/>
  </r>
  <r>
    <x v="3"/>
    <x v="5"/>
    <x v="1"/>
    <n v="2"/>
    <n v="122"/>
    <n v="244"/>
    <s v="Sun"/>
  </r>
  <r>
    <x v="3"/>
    <x v="6"/>
    <x v="1"/>
    <n v="3"/>
    <n v="96"/>
    <n v="288"/>
    <s v="Sun"/>
  </r>
  <r>
    <x v="3"/>
    <x v="7"/>
    <x v="1"/>
    <n v="0"/>
    <n v="73"/>
    <n v="0"/>
    <s v="Sun"/>
  </r>
  <r>
    <x v="3"/>
    <x v="8"/>
    <x v="1"/>
    <n v="1"/>
    <n v="225"/>
    <n v="225"/>
    <s v="Sun"/>
  </r>
  <r>
    <x v="3"/>
    <x v="9"/>
    <x v="1"/>
    <n v="0"/>
    <n v="559"/>
    <n v="0"/>
    <s v="Sun"/>
  </r>
  <r>
    <x v="3"/>
    <x v="10"/>
    <x v="1"/>
    <n v="6"/>
    <n v="3199"/>
    <n v="19194"/>
    <s v="Sun"/>
  </r>
  <r>
    <x v="3"/>
    <x v="11"/>
    <x v="1"/>
    <n v="2"/>
    <n v="371"/>
    <n v="742"/>
    <s v="Sun"/>
  </r>
  <r>
    <x v="3"/>
    <x v="12"/>
    <x v="1"/>
    <n v="0"/>
    <n v="2300"/>
    <n v="0"/>
    <s v="Sun"/>
  </r>
  <r>
    <x v="3"/>
    <x v="13"/>
    <x v="1"/>
    <n v="2"/>
    <n v="499"/>
    <n v="998"/>
    <s v="Sun"/>
  </r>
  <r>
    <x v="3"/>
    <x v="14"/>
    <x v="1"/>
    <n v="4"/>
    <n v="299"/>
    <n v="1196"/>
    <s v="Sun"/>
  </r>
  <r>
    <x v="3"/>
    <x v="15"/>
    <x v="1"/>
    <n v="2"/>
    <n v="901"/>
    <n v="1802"/>
    <s v="Sun"/>
  </r>
  <r>
    <x v="3"/>
    <x v="16"/>
    <x v="1"/>
    <n v="0"/>
    <n v="929"/>
    <n v="0"/>
    <s v="Sun"/>
  </r>
  <r>
    <x v="3"/>
    <x v="17"/>
    <x v="1"/>
    <n v="0"/>
    <n v="1030"/>
    <n v="0"/>
    <s v="Sun"/>
  </r>
  <r>
    <x v="3"/>
    <x v="18"/>
    <x v="1"/>
    <n v="1"/>
    <n v="1222"/>
    <n v="1222"/>
    <s v="Sun"/>
  </r>
  <r>
    <x v="3"/>
    <x v="19"/>
    <x v="1"/>
    <n v="0"/>
    <n v="649"/>
    <n v="0"/>
    <s v="Sun"/>
  </r>
  <r>
    <x v="3"/>
    <x v="20"/>
    <x v="1"/>
    <n v="18"/>
    <n v="1800"/>
    <n v="32400"/>
    <s v="Sun"/>
  </r>
  <r>
    <x v="3"/>
    <x v="21"/>
    <x v="1"/>
    <n v="9"/>
    <n v="345"/>
    <n v="3105"/>
    <s v="Sun"/>
  </r>
  <r>
    <x v="3"/>
    <x v="22"/>
    <x v="1"/>
    <n v="9"/>
    <n v="350"/>
    <n v="3150"/>
    <s v="Sun"/>
  </r>
  <r>
    <x v="3"/>
    <x v="23"/>
    <x v="1"/>
    <n v="6"/>
    <n v="1575"/>
    <n v="9450"/>
    <s v="Sun"/>
  </r>
  <r>
    <x v="3"/>
    <x v="24"/>
    <x v="1"/>
    <n v="2"/>
    <n v="1045"/>
    <n v="2090"/>
    <s v="Sun"/>
  </r>
  <r>
    <x v="3"/>
    <x v="25"/>
    <x v="1"/>
    <n v="1"/>
    <n v="1186"/>
    <n v="1186"/>
    <s v="Sun"/>
  </r>
  <r>
    <x v="3"/>
    <x v="26"/>
    <x v="1"/>
    <n v="2"/>
    <n v="374"/>
    <n v="748"/>
    <s v="Sun"/>
  </r>
  <r>
    <x v="3"/>
    <x v="27"/>
    <x v="1"/>
    <n v="0"/>
    <n v="1500"/>
    <n v="0"/>
    <s v="Sun"/>
  </r>
  <r>
    <x v="3"/>
    <x v="28"/>
    <x v="1"/>
    <n v="0"/>
    <n v="1800"/>
    <n v="0"/>
    <s v="Sun"/>
  </r>
  <r>
    <x v="3"/>
    <x v="29"/>
    <x v="1"/>
    <n v="1"/>
    <n v="1477"/>
    <n v="1477"/>
    <s v="Sun"/>
  </r>
  <r>
    <x v="3"/>
    <x v="0"/>
    <x v="2"/>
    <n v="8"/>
    <n v="210"/>
    <n v="1680"/>
    <s v="Sun"/>
  </r>
  <r>
    <x v="3"/>
    <x v="1"/>
    <x v="2"/>
    <n v="8"/>
    <n v="199"/>
    <n v="1592"/>
    <s v="Sun"/>
  </r>
  <r>
    <x v="3"/>
    <x v="2"/>
    <x v="2"/>
    <n v="2"/>
    <n v="322"/>
    <n v="644"/>
    <s v="Sun"/>
  </r>
  <r>
    <x v="3"/>
    <x v="3"/>
    <x v="2"/>
    <n v="5"/>
    <n v="161"/>
    <n v="805"/>
    <s v="Sun"/>
  </r>
  <r>
    <x v="3"/>
    <x v="4"/>
    <x v="2"/>
    <n v="2"/>
    <n v="109"/>
    <n v="218"/>
    <s v="Sun"/>
  </r>
  <r>
    <x v="3"/>
    <x v="5"/>
    <x v="2"/>
    <n v="1"/>
    <n v="122"/>
    <n v="122"/>
    <s v="Sun"/>
  </r>
  <r>
    <x v="3"/>
    <x v="6"/>
    <x v="2"/>
    <n v="2"/>
    <n v="96"/>
    <n v="192"/>
    <s v="Sun"/>
  </r>
  <r>
    <x v="3"/>
    <x v="7"/>
    <x v="2"/>
    <n v="1"/>
    <n v="73"/>
    <n v="73"/>
    <s v="Sun"/>
  </r>
  <r>
    <x v="3"/>
    <x v="8"/>
    <x v="2"/>
    <n v="1"/>
    <n v="225"/>
    <n v="225"/>
    <s v="Sun"/>
  </r>
  <r>
    <x v="3"/>
    <x v="9"/>
    <x v="2"/>
    <n v="1"/>
    <n v="559"/>
    <n v="559"/>
    <s v="Sun"/>
  </r>
  <r>
    <x v="3"/>
    <x v="10"/>
    <x v="2"/>
    <n v="24"/>
    <n v="3199"/>
    <n v="76776"/>
    <s v="Sun"/>
  </r>
  <r>
    <x v="3"/>
    <x v="11"/>
    <x v="2"/>
    <n v="14"/>
    <n v="371"/>
    <n v="5194"/>
    <s v="Sun"/>
  </r>
  <r>
    <x v="3"/>
    <x v="12"/>
    <x v="2"/>
    <n v="10"/>
    <n v="2300"/>
    <n v="23000"/>
    <s v="Sun"/>
  </r>
  <r>
    <x v="3"/>
    <x v="13"/>
    <x v="2"/>
    <n v="6"/>
    <n v="499"/>
    <n v="2994"/>
    <s v="Sun"/>
  </r>
  <r>
    <x v="3"/>
    <x v="14"/>
    <x v="2"/>
    <n v="5"/>
    <n v="299"/>
    <n v="1495"/>
    <s v="Sun"/>
  </r>
  <r>
    <x v="3"/>
    <x v="15"/>
    <x v="2"/>
    <n v="3"/>
    <n v="901"/>
    <n v="2703"/>
    <s v="Sun"/>
  </r>
  <r>
    <x v="3"/>
    <x v="16"/>
    <x v="2"/>
    <n v="3"/>
    <n v="929"/>
    <n v="2787"/>
    <s v="Sun"/>
  </r>
  <r>
    <x v="3"/>
    <x v="17"/>
    <x v="2"/>
    <n v="3"/>
    <n v="1030"/>
    <n v="3090"/>
    <s v="Sun"/>
  </r>
  <r>
    <x v="3"/>
    <x v="18"/>
    <x v="2"/>
    <n v="2"/>
    <n v="1222"/>
    <n v="2444"/>
    <s v="Sun"/>
  </r>
  <r>
    <x v="3"/>
    <x v="19"/>
    <x v="2"/>
    <n v="0"/>
    <n v="649"/>
    <n v="0"/>
    <s v="Sun"/>
  </r>
  <r>
    <x v="3"/>
    <x v="20"/>
    <x v="2"/>
    <n v="9"/>
    <n v="1800"/>
    <n v="16200"/>
    <s v="Sun"/>
  </r>
  <r>
    <x v="3"/>
    <x v="21"/>
    <x v="2"/>
    <n v="9"/>
    <n v="345"/>
    <n v="3105"/>
    <s v="Sun"/>
  </r>
  <r>
    <x v="3"/>
    <x v="22"/>
    <x v="2"/>
    <n v="2"/>
    <n v="350"/>
    <n v="700"/>
    <s v="Sun"/>
  </r>
  <r>
    <x v="3"/>
    <x v="23"/>
    <x v="2"/>
    <n v="2"/>
    <n v="1575"/>
    <n v="3150"/>
    <s v="Sun"/>
  </r>
  <r>
    <x v="3"/>
    <x v="24"/>
    <x v="2"/>
    <n v="6"/>
    <n v="1045"/>
    <n v="6270"/>
    <s v="Sun"/>
  </r>
  <r>
    <x v="3"/>
    <x v="25"/>
    <x v="2"/>
    <n v="4"/>
    <n v="1186"/>
    <n v="4744"/>
    <s v="Sun"/>
  </r>
  <r>
    <x v="3"/>
    <x v="26"/>
    <x v="2"/>
    <n v="3"/>
    <n v="374"/>
    <n v="1122"/>
    <s v="Sun"/>
  </r>
  <r>
    <x v="3"/>
    <x v="27"/>
    <x v="2"/>
    <n v="1"/>
    <n v="1500"/>
    <n v="1500"/>
    <s v="Sun"/>
  </r>
  <r>
    <x v="3"/>
    <x v="28"/>
    <x v="2"/>
    <n v="0"/>
    <n v="1800"/>
    <n v="0"/>
    <s v="Sun"/>
  </r>
  <r>
    <x v="3"/>
    <x v="29"/>
    <x v="2"/>
    <n v="2"/>
    <n v="1477"/>
    <n v="2954"/>
    <s v="Sun"/>
  </r>
  <r>
    <x v="4"/>
    <x v="0"/>
    <x v="0"/>
    <n v="36"/>
    <n v="210"/>
    <n v="7560"/>
    <s v="Mon"/>
  </r>
  <r>
    <x v="4"/>
    <x v="1"/>
    <x v="0"/>
    <n v="19"/>
    <n v="199"/>
    <n v="3781"/>
    <s v="Mon"/>
  </r>
  <r>
    <x v="4"/>
    <x v="2"/>
    <x v="0"/>
    <n v="12"/>
    <n v="322"/>
    <n v="3864"/>
    <s v="Mon"/>
  </r>
  <r>
    <x v="4"/>
    <x v="3"/>
    <x v="0"/>
    <n v="10"/>
    <n v="161"/>
    <n v="1610"/>
    <s v="Mon"/>
  </r>
  <r>
    <x v="4"/>
    <x v="4"/>
    <x v="0"/>
    <n v="7"/>
    <n v="109"/>
    <n v="763"/>
    <s v="Mon"/>
  </r>
  <r>
    <x v="4"/>
    <x v="5"/>
    <x v="0"/>
    <n v="4"/>
    <n v="122"/>
    <n v="488"/>
    <s v="Mon"/>
  </r>
  <r>
    <x v="4"/>
    <x v="6"/>
    <x v="0"/>
    <n v="4"/>
    <n v="96"/>
    <n v="384"/>
    <s v="Mon"/>
  </r>
  <r>
    <x v="4"/>
    <x v="7"/>
    <x v="0"/>
    <n v="2"/>
    <n v="73"/>
    <n v="146"/>
    <s v="Mon"/>
  </r>
  <r>
    <x v="4"/>
    <x v="8"/>
    <x v="0"/>
    <n v="0"/>
    <n v="225"/>
    <n v="0"/>
    <s v="Mon"/>
  </r>
  <r>
    <x v="4"/>
    <x v="9"/>
    <x v="0"/>
    <n v="1"/>
    <n v="559"/>
    <n v="559"/>
    <s v="Mon"/>
  </r>
  <r>
    <x v="4"/>
    <x v="10"/>
    <x v="0"/>
    <n v="30"/>
    <n v="3199"/>
    <n v="95970"/>
    <s v="Mon"/>
  </r>
  <r>
    <x v="4"/>
    <x v="11"/>
    <x v="0"/>
    <n v="15"/>
    <n v="371"/>
    <n v="5565"/>
    <s v="Mon"/>
  </r>
  <r>
    <x v="4"/>
    <x v="12"/>
    <x v="0"/>
    <n v="12"/>
    <n v="2300"/>
    <n v="27600"/>
    <s v="Mon"/>
  </r>
  <r>
    <x v="4"/>
    <x v="13"/>
    <x v="0"/>
    <n v="12"/>
    <n v="499"/>
    <n v="5988"/>
    <s v="Mon"/>
  </r>
  <r>
    <x v="4"/>
    <x v="14"/>
    <x v="0"/>
    <n v="7"/>
    <n v="299"/>
    <n v="2093"/>
    <s v="Mon"/>
  </r>
  <r>
    <x v="4"/>
    <x v="15"/>
    <x v="0"/>
    <n v="3"/>
    <n v="901"/>
    <n v="2703"/>
    <s v="Mon"/>
  </r>
  <r>
    <x v="4"/>
    <x v="16"/>
    <x v="0"/>
    <n v="5"/>
    <n v="929"/>
    <n v="4645"/>
    <s v="Mon"/>
  </r>
  <r>
    <x v="4"/>
    <x v="17"/>
    <x v="0"/>
    <n v="1"/>
    <n v="1030"/>
    <n v="1030"/>
    <s v="Mon"/>
  </r>
  <r>
    <x v="4"/>
    <x v="18"/>
    <x v="0"/>
    <n v="0"/>
    <n v="1222"/>
    <n v="0"/>
    <s v="Mon"/>
  </r>
  <r>
    <x v="4"/>
    <x v="19"/>
    <x v="0"/>
    <n v="2"/>
    <n v="649"/>
    <n v="1298"/>
    <s v="Mon"/>
  </r>
  <r>
    <x v="4"/>
    <x v="20"/>
    <x v="0"/>
    <n v="24"/>
    <n v="1800"/>
    <n v="43200"/>
    <s v="Mon"/>
  </r>
  <r>
    <x v="4"/>
    <x v="21"/>
    <x v="0"/>
    <n v="19"/>
    <n v="345"/>
    <n v="6555"/>
    <s v="Mon"/>
  </r>
  <r>
    <x v="4"/>
    <x v="22"/>
    <x v="0"/>
    <n v="12"/>
    <n v="350"/>
    <n v="4200"/>
    <s v="Mon"/>
  </r>
  <r>
    <x v="4"/>
    <x v="23"/>
    <x v="0"/>
    <n v="7"/>
    <n v="1575"/>
    <n v="11025"/>
    <s v="Mon"/>
  </r>
  <r>
    <x v="4"/>
    <x v="24"/>
    <x v="0"/>
    <n v="4"/>
    <n v="1045"/>
    <n v="4180"/>
    <s v="Mon"/>
  </r>
  <r>
    <x v="4"/>
    <x v="25"/>
    <x v="0"/>
    <n v="2"/>
    <n v="1186"/>
    <n v="2372"/>
    <s v="Mon"/>
  </r>
  <r>
    <x v="4"/>
    <x v="26"/>
    <x v="0"/>
    <n v="2"/>
    <n v="374"/>
    <n v="748"/>
    <s v="Mon"/>
  </r>
  <r>
    <x v="4"/>
    <x v="27"/>
    <x v="0"/>
    <n v="1"/>
    <n v="1500"/>
    <n v="1500"/>
    <s v="Mon"/>
  </r>
  <r>
    <x v="4"/>
    <x v="28"/>
    <x v="0"/>
    <n v="0"/>
    <n v="1800"/>
    <n v="0"/>
    <s v="Mon"/>
  </r>
  <r>
    <x v="4"/>
    <x v="29"/>
    <x v="0"/>
    <n v="0"/>
    <n v="1477"/>
    <n v="0"/>
    <s v="Mon"/>
  </r>
  <r>
    <x v="4"/>
    <x v="0"/>
    <x v="1"/>
    <n v="24"/>
    <n v="210"/>
    <n v="5040"/>
    <s v="Mon"/>
  </r>
  <r>
    <x v="4"/>
    <x v="1"/>
    <x v="1"/>
    <n v="11"/>
    <n v="199"/>
    <n v="2189"/>
    <s v="Mon"/>
  </r>
  <r>
    <x v="4"/>
    <x v="2"/>
    <x v="1"/>
    <n v="8"/>
    <n v="322"/>
    <n v="2576"/>
    <s v="Mon"/>
  </r>
  <r>
    <x v="4"/>
    <x v="3"/>
    <x v="1"/>
    <n v="8"/>
    <n v="161"/>
    <n v="1288"/>
    <s v="Mon"/>
  </r>
  <r>
    <x v="4"/>
    <x v="4"/>
    <x v="1"/>
    <n v="4"/>
    <n v="109"/>
    <n v="436"/>
    <s v="Mon"/>
  </r>
  <r>
    <x v="4"/>
    <x v="5"/>
    <x v="1"/>
    <n v="2"/>
    <n v="122"/>
    <n v="244"/>
    <s v="Mon"/>
  </r>
  <r>
    <x v="4"/>
    <x v="6"/>
    <x v="1"/>
    <n v="3"/>
    <n v="96"/>
    <n v="288"/>
    <s v="Mon"/>
  </r>
  <r>
    <x v="4"/>
    <x v="7"/>
    <x v="1"/>
    <n v="1"/>
    <n v="73"/>
    <n v="73"/>
    <s v="Mon"/>
  </r>
  <r>
    <x v="4"/>
    <x v="8"/>
    <x v="1"/>
    <n v="0"/>
    <n v="225"/>
    <n v="0"/>
    <s v="Mon"/>
  </r>
  <r>
    <x v="4"/>
    <x v="9"/>
    <x v="1"/>
    <n v="1"/>
    <n v="559"/>
    <n v="559"/>
    <s v="Mon"/>
  </r>
  <r>
    <x v="4"/>
    <x v="10"/>
    <x v="1"/>
    <n v="21"/>
    <n v="3199"/>
    <n v="67179"/>
    <s v="Mon"/>
  </r>
  <r>
    <x v="4"/>
    <x v="11"/>
    <x v="1"/>
    <n v="7"/>
    <n v="371"/>
    <n v="2597"/>
    <s v="Mon"/>
  </r>
  <r>
    <x v="4"/>
    <x v="12"/>
    <x v="1"/>
    <n v="0"/>
    <n v="2300"/>
    <n v="0"/>
    <s v="Mon"/>
  </r>
  <r>
    <x v="4"/>
    <x v="13"/>
    <x v="1"/>
    <n v="1"/>
    <n v="499"/>
    <n v="499"/>
    <s v="Mon"/>
  </r>
  <r>
    <x v="4"/>
    <x v="14"/>
    <x v="1"/>
    <n v="3"/>
    <n v="299"/>
    <n v="897"/>
    <s v="Mon"/>
  </r>
  <r>
    <x v="4"/>
    <x v="15"/>
    <x v="1"/>
    <n v="1"/>
    <n v="901"/>
    <n v="901"/>
    <s v="Mon"/>
  </r>
  <r>
    <x v="4"/>
    <x v="16"/>
    <x v="1"/>
    <n v="1"/>
    <n v="929"/>
    <n v="929"/>
    <s v="Mon"/>
  </r>
  <r>
    <x v="4"/>
    <x v="17"/>
    <x v="1"/>
    <n v="0"/>
    <n v="1030"/>
    <n v="0"/>
    <s v="Mon"/>
  </r>
  <r>
    <x v="4"/>
    <x v="18"/>
    <x v="1"/>
    <n v="0"/>
    <n v="1222"/>
    <n v="0"/>
    <s v="Mon"/>
  </r>
  <r>
    <x v="4"/>
    <x v="19"/>
    <x v="1"/>
    <n v="1"/>
    <n v="649"/>
    <n v="649"/>
    <s v="Mon"/>
  </r>
  <r>
    <x v="4"/>
    <x v="20"/>
    <x v="1"/>
    <n v="18"/>
    <n v="1800"/>
    <n v="32400"/>
    <s v="Mon"/>
  </r>
  <r>
    <x v="4"/>
    <x v="21"/>
    <x v="1"/>
    <n v="14"/>
    <n v="345"/>
    <n v="4830"/>
    <s v="Mon"/>
  </r>
  <r>
    <x v="4"/>
    <x v="22"/>
    <x v="1"/>
    <n v="7"/>
    <n v="350"/>
    <n v="2450"/>
    <s v="Mon"/>
  </r>
  <r>
    <x v="4"/>
    <x v="23"/>
    <x v="1"/>
    <n v="5"/>
    <n v="1575"/>
    <n v="7875"/>
    <s v="Mon"/>
  </r>
  <r>
    <x v="4"/>
    <x v="24"/>
    <x v="1"/>
    <n v="3"/>
    <n v="1045"/>
    <n v="3135"/>
    <s v="Mon"/>
  </r>
  <r>
    <x v="4"/>
    <x v="25"/>
    <x v="1"/>
    <n v="0"/>
    <n v="1186"/>
    <n v="0"/>
    <s v="Mon"/>
  </r>
  <r>
    <x v="4"/>
    <x v="26"/>
    <x v="1"/>
    <n v="0"/>
    <n v="374"/>
    <n v="0"/>
    <s v="Mon"/>
  </r>
  <r>
    <x v="4"/>
    <x v="27"/>
    <x v="1"/>
    <n v="0"/>
    <n v="1500"/>
    <n v="0"/>
    <s v="Mon"/>
  </r>
  <r>
    <x v="4"/>
    <x v="28"/>
    <x v="1"/>
    <n v="0"/>
    <n v="1800"/>
    <n v="0"/>
    <s v="Mon"/>
  </r>
  <r>
    <x v="4"/>
    <x v="29"/>
    <x v="1"/>
    <n v="0"/>
    <n v="1477"/>
    <n v="0"/>
    <s v="Mon"/>
  </r>
  <r>
    <x v="4"/>
    <x v="0"/>
    <x v="2"/>
    <n v="2"/>
    <n v="210"/>
    <n v="420"/>
    <s v="Mon"/>
  </r>
  <r>
    <x v="4"/>
    <x v="1"/>
    <x v="2"/>
    <n v="5"/>
    <n v="199"/>
    <n v="995"/>
    <s v="Mon"/>
  </r>
  <r>
    <x v="4"/>
    <x v="2"/>
    <x v="2"/>
    <n v="4"/>
    <n v="322"/>
    <n v="1288"/>
    <s v="Mon"/>
  </r>
  <r>
    <x v="4"/>
    <x v="3"/>
    <x v="2"/>
    <n v="2"/>
    <n v="161"/>
    <n v="322"/>
    <s v="Mon"/>
  </r>
  <r>
    <x v="4"/>
    <x v="4"/>
    <x v="2"/>
    <n v="2"/>
    <n v="109"/>
    <n v="218"/>
    <s v="Mon"/>
  </r>
  <r>
    <x v="4"/>
    <x v="5"/>
    <x v="2"/>
    <n v="2"/>
    <n v="122"/>
    <n v="244"/>
    <s v="Mon"/>
  </r>
  <r>
    <x v="4"/>
    <x v="6"/>
    <x v="2"/>
    <n v="2"/>
    <n v="96"/>
    <n v="192"/>
    <s v="Mon"/>
  </r>
  <r>
    <x v="4"/>
    <x v="7"/>
    <x v="2"/>
    <n v="2"/>
    <n v="73"/>
    <n v="146"/>
    <s v="Mon"/>
  </r>
  <r>
    <x v="4"/>
    <x v="8"/>
    <x v="2"/>
    <n v="1"/>
    <n v="225"/>
    <n v="225"/>
    <s v="Mon"/>
  </r>
  <r>
    <x v="4"/>
    <x v="9"/>
    <x v="2"/>
    <n v="1"/>
    <n v="559"/>
    <n v="559"/>
    <s v="Mon"/>
  </r>
  <r>
    <x v="4"/>
    <x v="10"/>
    <x v="2"/>
    <n v="14"/>
    <n v="3199"/>
    <n v="44786"/>
    <s v="Mon"/>
  </r>
  <r>
    <x v="4"/>
    <x v="11"/>
    <x v="2"/>
    <n v="6"/>
    <n v="371"/>
    <n v="2226"/>
    <s v="Mon"/>
  </r>
  <r>
    <x v="4"/>
    <x v="12"/>
    <x v="2"/>
    <n v="9"/>
    <n v="2300"/>
    <n v="20700"/>
    <s v="Mon"/>
  </r>
  <r>
    <x v="4"/>
    <x v="13"/>
    <x v="2"/>
    <n v="7"/>
    <n v="499"/>
    <n v="3493"/>
    <s v="Mon"/>
  </r>
  <r>
    <x v="4"/>
    <x v="14"/>
    <x v="2"/>
    <n v="3"/>
    <n v="299"/>
    <n v="897"/>
    <s v="Mon"/>
  </r>
  <r>
    <x v="4"/>
    <x v="15"/>
    <x v="2"/>
    <n v="3"/>
    <n v="901"/>
    <n v="2703"/>
    <s v="Mon"/>
  </r>
  <r>
    <x v="4"/>
    <x v="16"/>
    <x v="2"/>
    <n v="3"/>
    <n v="929"/>
    <n v="2787"/>
    <s v="Mon"/>
  </r>
  <r>
    <x v="4"/>
    <x v="17"/>
    <x v="2"/>
    <n v="1"/>
    <n v="1030"/>
    <n v="1030"/>
    <s v="Mon"/>
  </r>
  <r>
    <x v="4"/>
    <x v="18"/>
    <x v="2"/>
    <n v="1"/>
    <n v="1222"/>
    <n v="1222"/>
    <s v="Mon"/>
  </r>
  <r>
    <x v="4"/>
    <x v="19"/>
    <x v="2"/>
    <n v="1"/>
    <n v="649"/>
    <n v="649"/>
    <s v="Mon"/>
  </r>
  <r>
    <x v="4"/>
    <x v="20"/>
    <x v="2"/>
    <n v="13"/>
    <n v="1800"/>
    <n v="23400"/>
    <s v="Mon"/>
  </r>
  <r>
    <x v="4"/>
    <x v="21"/>
    <x v="2"/>
    <n v="2"/>
    <n v="345"/>
    <n v="690"/>
    <s v="Mon"/>
  </r>
  <r>
    <x v="4"/>
    <x v="22"/>
    <x v="2"/>
    <n v="1"/>
    <n v="350"/>
    <n v="350"/>
    <s v="Mon"/>
  </r>
  <r>
    <x v="4"/>
    <x v="23"/>
    <x v="2"/>
    <n v="4"/>
    <n v="1575"/>
    <n v="6300"/>
    <s v="Mon"/>
  </r>
  <r>
    <x v="4"/>
    <x v="24"/>
    <x v="2"/>
    <n v="3"/>
    <n v="1045"/>
    <n v="3135"/>
    <s v="Mon"/>
  </r>
  <r>
    <x v="4"/>
    <x v="25"/>
    <x v="2"/>
    <n v="3"/>
    <n v="1186"/>
    <n v="3558"/>
    <s v="Mon"/>
  </r>
  <r>
    <x v="4"/>
    <x v="26"/>
    <x v="2"/>
    <n v="3"/>
    <n v="374"/>
    <n v="1122"/>
    <s v="Mon"/>
  </r>
  <r>
    <x v="4"/>
    <x v="27"/>
    <x v="2"/>
    <n v="1"/>
    <n v="1500"/>
    <n v="1500"/>
    <s v="Mon"/>
  </r>
  <r>
    <x v="4"/>
    <x v="28"/>
    <x v="2"/>
    <n v="2"/>
    <n v="1800"/>
    <n v="3600"/>
    <s v="Mon"/>
  </r>
  <r>
    <x v="4"/>
    <x v="29"/>
    <x v="2"/>
    <n v="0"/>
    <n v="1477"/>
    <n v="0"/>
    <s v="Mon"/>
  </r>
  <r>
    <x v="5"/>
    <x v="0"/>
    <x v="0"/>
    <n v="35"/>
    <n v="210"/>
    <n v="7350"/>
    <s v="Tue"/>
  </r>
  <r>
    <x v="5"/>
    <x v="1"/>
    <x v="0"/>
    <n v="17"/>
    <n v="199"/>
    <n v="3383"/>
    <s v="Tue"/>
  </r>
  <r>
    <x v="5"/>
    <x v="2"/>
    <x v="0"/>
    <n v="12"/>
    <n v="322"/>
    <n v="3864"/>
    <s v="Tue"/>
  </r>
  <r>
    <x v="5"/>
    <x v="3"/>
    <x v="0"/>
    <n v="7"/>
    <n v="161"/>
    <n v="1127"/>
    <s v="Tue"/>
  </r>
  <r>
    <x v="5"/>
    <x v="4"/>
    <x v="0"/>
    <n v="4"/>
    <n v="109"/>
    <n v="436"/>
    <s v="Tue"/>
  </r>
  <r>
    <x v="5"/>
    <x v="5"/>
    <x v="0"/>
    <n v="6"/>
    <n v="122"/>
    <n v="732"/>
    <s v="Tue"/>
  </r>
  <r>
    <x v="5"/>
    <x v="6"/>
    <x v="0"/>
    <n v="3"/>
    <n v="96"/>
    <n v="288"/>
    <s v="Tue"/>
  </r>
  <r>
    <x v="5"/>
    <x v="7"/>
    <x v="0"/>
    <n v="2"/>
    <n v="73"/>
    <n v="146"/>
    <s v="Tue"/>
  </r>
  <r>
    <x v="5"/>
    <x v="8"/>
    <x v="0"/>
    <n v="1"/>
    <n v="225"/>
    <n v="225"/>
    <s v="Tue"/>
  </r>
  <r>
    <x v="5"/>
    <x v="9"/>
    <x v="0"/>
    <n v="1"/>
    <n v="559"/>
    <n v="559"/>
    <s v="Tue"/>
  </r>
  <r>
    <x v="5"/>
    <x v="10"/>
    <x v="0"/>
    <n v="30"/>
    <n v="3199"/>
    <n v="95970"/>
    <s v="Tue"/>
  </r>
  <r>
    <x v="5"/>
    <x v="11"/>
    <x v="0"/>
    <n v="16"/>
    <n v="371"/>
    <n v="5936"/>
    <s v="Tue"/>
  </r>
  <r>
    <x v="5"/>
    <x v="12"/>
    <x v="0"/>
    <n v="10"/>
    <n v="2300"/>
    <n v="23000"/>
    <s v="Tue"/>
  </r>
  <r>
    <x v="5"/>
    <x v="13"/>
    <x v="0"/>
    <n v="7"/>
    <n v="499"/>
    <n v="3493"/>
    <s v="Tue"/>
  </r>
  <r>
    <x v="5"/>
    <x v="14"/>
    <x v="0"/>
    <n v="6"/>
    <n v="299"/>
    <n v="1794"/>
    <s v="Tue"/>
  </r>
  <r>
    <x v="5"/>
    <x v="15"/>
    <x v="0"/>
    <n v="3"/>
    <n v="901"/>
    <n v="2703"/>
    <s v="Tue"/>
  </r>
  <r>
    <x v="5"/>
    <x v="16"/>
    <x v="0"/>
    <n v="4"/>
    <n v="929"/>
    <n v="3716"/>
    <s v="Tue"/>
  </r>
  <r>
    <x v="5"/>
    <x v="17"/>
    <x v="0"/>
    <n v="0"/>
    <n v="1030"/>
    <n v="0"/>
    <s v="Tue"/>
  </r>
  <r>
    <x v="5"/>
    <x v="18"/>
    <x v="0"/>
    <n v="0"/>
    <n v="1222"/>
    <n v="0"/>
    <s v="Tue"/>
  </r>
  <r>
    <x v="5"/>
    <x v="19"/>
    <x v="0"/>
    <n v="2"/>
    <n v="649"/>
    <n v="1298"/>
    <s v="Tue"/>
  </r>
  <r>
    <x v="5"/>
    <x v="20"/>
    <x v="0"/>
    <n v="33"/>
    <n v="1800"/>
    <n v="59400"/>
    <s v="Tue"/>
  </r>
  <r>
    <x v="5"/>
    <x v="21"/>
    <x v="0"/>
    <n v="19"/>
    <n v="345"/>
    <n v="6555"/>
    <s v="Tue"/>
  </r>
  <r>
    <x v="5"/>
    <x v="22"/>
    <x v="0"/>
    <n v="9"/>
    <n v="350"/>
    <n v="3150"/>
    <s v="Tue"/>
  </r>
  <r>
    <x v="5"/>
    <x v="23"/>
    <x v="0"/>
    <n v="8"/>
    <n v="1575"/>
    <n v="12600"/>
    <s v="Tue"/>
  </r>
  <r>
    <x v="5"/>
    <x v="24"/>
    <x v="0"/>
    <n v="5"/>
    <n v="1045"/>
    <n v="5225"/>
    <s v="Tue"/>
  </r>
  <r>
    <x v="5"/>
    <x v="25"/>
    <x v="0"/>
    <n v="2"/>
    <n v="1186"/>
    <n v="2372"/>
    <s v="Tue"/>
  </r>
  <r>
    <x v="5"/>
    <x v="26"/>
    <x v="0"/>
    <n v="3"/>
    <n v="374"/>
    <n v="1122"/>
    <s v="Tue"/>
  </r>
  <r>
    <x v="5"/>
    <x v="27"/>
    <x v="0"/>
    <n v="0"/>
    <n v="1500"/>
    <n v="0"/>
    <s v="Tue"/>
  </r>
  <r>
    <x v="5"/>
    <x v="28"/>
    <x v="0"/>
    <n v="1"/>
    <n v="1800"/>
    <n v="1800"/>
    <s v="Tue"/>
  </r>
  <r>
    <x v="5"/>
    <x v="29"/>
    <x v="0"/>
    <n v="0"/>
    <n v="1477"/>
    <n v="0"/>
    <s v="Tue"/>
  </r>
  <r>
    <x v="5"/>
    <x v="0"/>
    <x v="1"/>
    <n v="22"/>
    <n v="210"/>
    <n v="4620"/>
    <s v="Tue"/>
  </r>
  <r>
    <x v="5"/>
    <x v="1"/>
    <x v="1"/>
    <n v="9"/>
    <n v="199"/>
    <n v="1791"/>
    <s v="Tue"/>
  </r>
  <r>
    <x v="5"/>
    <x v="2"/>
    <x v="1"/>
    <n v="9"/>
    <n v="322"/>
    <n v="2898"/>
    <s v="Tue"/>
  </r>
  <r>
    <x v="5"/>
    <x v="3"/>
    <x v="1"/>
    <n v="7"/>
    <n v="161"/>
    <n v="1127"/>
    <s v="Tue"/>
  </r>
  <r>
    <x v="5"/>
    <x v="4"/>
    <x v="1"/>
    <n v="4"/>
    <n v="109"/>
    <n v="436"/>
    <s v="Tue"/>
  </r>
  <r>
    <x v="5"/>
    <x v="5"/>
    <x v="1"/>
    <n v="3"/>
    <n v="122"/>
    <n v="366"/>
    <s v="Tue"/>
  </r>
  <r>
    <x v="5"/>
    <x v="6"/>
    <x v="1"/>
    <n v="2"/>
    <n v="96"/>
    <n v="192"/>
    <s v="Tue"/>
  </r>
  <r>
    <x v="5"/>
    <x v="7"/>
    <x v="1"/>
    <n v="1"/>
    <n v="73"/>
    <n v="73"/>
    <s v="Tue"/>
  </r>
  <r>
    <x v="5"/>
    <x v="8"/>
    <x v="1"/>
    <n v="0"/>
    <n v="225"/>
    <n v="0"/>
    <s v="Tue"/>
  </r>
  <r>
    <x v="5"/>
    <x v="9"/>
    <x v="1"/>
    <n v="1"/>
    <n v="559"/>
    <n v="559"/>
    <s v="Tue"/>
  </r>
  <r>
    <x v="5"/>
    <x v="10"/>
    <x v="1"/>
    <n v="18"/>
    <n v="3199"/>
    <n v="57582"/>
    <s v="Tue"/>
  </r>
  <r>
    <x v="5"/>
    <x v="11"/>
    <x v="1"/>
    <n v="3"/>
    <n v="371"/>
    <n v="1113"/>
    <s v="Tue"/>
  </r>
  <r>
    <x v="5"/>
    <x v="12"/>
    <x v="1"/>
    <n v="6"/>
    <n v="2300"/>
    <n v="13800"/>
    <s v="Tue"/>
  </r>
  <r>
    <x v="5"/>
    <x v="13"/>
    <x v="1"/>
    <n v="7"/>
    <n v="499"/>
    <n v="3493"/>
    <s v="Tue"/>
  </r>
  <r>
    <x v="5"/>
    <x v="14"/>
    <x v="1"/>
    <n v="7"/>
    <n v="299"/>
    <n v="2093"/>
    <s v="Tue"/>
  </r>
  <r>
    <x v="5"/>
    <x v="15"/>
    <x v="1"/>
    <n v="1"/>
    <n v="901"/>
    <n v="901"/>
    <s v="Tue"/>
  </r>
  <r>
    <x v="5"/>
    <x v="16"/>
    <x v="1"/>
    <n v="3"/>
    <n v="929"/>
    <n v="2787"/>
    <s v="Tue"/>
  </r>
  <r>
    <x v="5"/>
    <x v="17"/>
    <x v="1"/>
    <n v="0"/>
    <n v="1030"/>
    <n v="0"/>
    <s v="Tue"/>
  </r>
  <r>
    <x v="5"/>
    <x v="18"/>
    <x v="1"/>
    <n v="0"/>
    <n v="1222"/>
    <n v="0"/>
    <s v="Tue"/>
  </r>
  <r>
    <x v="5"/>
    <x v="19"/>
    <x v="1"/>
    <n v="1"/>
    <n v="649"/>
    <n v="649"/>
    <s v="Tue"/>
  </r>
  <r>
    <x v="5"/>
    <x v="20"/>
    <x v="1"/>
    <n v="20"/>
    <n v="1800"/>
    <n v="36000"/>
    <s v="Tue"/>
  </r>
  <r>
    <x v="5"/>
    <x v="21"/>
    <x v="1"/>
    <n v="10"/>
    <n v="345"/>
    <n v="3450"/>
    <s v="Tue"/>
  </r>
  <r>
    <x v="5"/>
    <x v="22"/>
    <x v="1"/>
    <n v="7"/>
    <n v="350"/>
    <n v="2450"/>
    <s v="Tue"/>
  </r>
  <r>
    <x v="5"/>
    <x v="23"/>
    <x v="1"/>
    <n v="6"/>
    <n v="1575"/>
    <n v="9450"/>
    <s v="Tue"/>
  </r>
  <r>
    <x v="5"/>
    <x v="24"/>
    <x v="1"/>
    <n v="2"/>
    <n v="1045"/>
    <n v="2090"/>
    <s v="Tue"/>
  </r>
  <r>
    <x v="5"/>
    <x v="25"/>
    <x v="1"/>
    <n v="1"/>
    <n v="1186"/>
    <n v="1186"/>
    <s v="Tue"/>
  </r>
  <r>
    <x v="5"/>
    <x v="26"/>
    <x v="1"/>
    <n v="0"/>
    <n v="374"/>
    <n v="0"/>
    <s v="Tue"/>
  </r>
  <r>
    <x v="5"/>
    <x v="27"/>
    <x v="1"/>
    <n v="0"/>
    <n v="1500"/>
    <n v="0"/>
    <s v="Tue"/>
  </r>
  <r>
    <x v="5"/>
    <x v="28"/>
    <x v="1"/>
    <n v="0"/>
    <n v="1800"/>
    <n v="0"/>
    <s v="Tue"/>
  </r>
  <r>
    <x v="5"/>
    <x v="29"/>
    <x v="1"/>
    <n v="0"/>
    <n v="1477"/>
    <n v="0"/>
    <s v="Tue"/>
  </r>
  <r>
    <x v="5"/>
    <x v="0"/>
    <x v="2"/>
    <n v="6"/>
    <n v="210"/>
    <n v="1260"/>
    <s v="Tue"/>
  </r>
  <r>
    <x v="5"/>
    <x v="1"/>
    <x v="2"/>
    <n v="5"/>
    <n v="199"/>
    <n v="995"/>
    <s v="Tue"/>
  </r>
  <r>
    <x v="5"/>
    <x v="2"/>
    <x v="2"/>
    <n v="3"/>
    <n v="322"/>
    <n v="966"/>
    <s v="Tue"/>
  </r>
  <r>
    <x v="5"/>
    <x v="3"/>
    <x v="2"/>
    <n v="5"/>
    <n v="161"/>
    <n v="805"/>
    <s v="Tue"/>
  </r>
  <r>
    <x v="5"/>
    <x v="4"/>
    <x v="2"/>
    <n v="4"/>
    <n v="109"/>
    <n v="436"/>
    <s v="Tue"/>
  </r>
  <r>
    <x v="5"/>
    <x v="5"/>
    <x v="2"/>
    <n v="1"/>
    <n v="122"/>
    <n v="122"/>
    <s v="Tue"/>
  </r>
  <r>
    <x v="5"/>
    <x v="6"/>
    <x v="2"/>
    <n v="1"/>
    <n v="96"/>
    <n v="96"/>
    <s v="Tue"/>
  </r>
  <r>
    <x v="5"/>
    <x v="7"/>
    <x v="2"/>
    <n v="2"/>
    <n v="73"/>
    <n v="146"/>
    <s v="Tue"/>
  </r>
  <r>
    <x v="5"/>
    <x v="8"/>
    <x v="2"/>
    <n v="1"/>
    <n v="225"/>
    <n v="225"/>
    <s v="Tue"/>
  </r>
  <r>
    <x v="5"/>
    <x v="9"/>
    <x v="2"/>
    <n v="1"/>
    <n v="559"/>
    <n v="559"/>
    <s v="Tue"/>
  </r>
  <r>
    <x v="5"/>
    <x v="10"/>
    <x v="2"/>
    <n v="8"/>
    <n v="3199"/>
    <n v="25592"/>
    <s v="Tue"/>
  </r>
  <r>
    <x v="5"/>
    <x v="11"/>
    <x v="2"/>
    <n v="11"/>
    <n v="371"/>
    <n v="4081"/>
    <s v="Tue"/>
  </r>
  <r>
    <x v="5"/>
    <x v="12"/>
    <x v="2"/>
    <n v="7"/>
    <n v="2300"/>
    <n v="16100"/>
    <s v="Tue"/>
  </r>
  <r>
    <x v="5"/>
    <x v="13"/>
    <x v="2"/>
    <n v="1"/>
    <n v="499"/>
    <n v="499"/>
    <s v="Tue"/>
  </r>
  <r>
    <x v="5"/>
    <x v="14"/>
    <x v="2"/>
    <n v="2"/>
    <n v="299"/>
    <n v="598"/>
    <s v="Tue"/>
  </r>
  <r>
    <x v="5"/>
    <x v="15"/>
    <x v="2"/>
    <n v="5"/>
    <n v="901"/>
    <n v="4505"/>
    <s v="Tue"/>
  </r>
  <r>
    <x v="5"/>
    <x v="16"/>
    <x v="2"/>
    <n v="1"/>
    <n v="929"/>
    <n v="929"/>
    <s v="Tue"/>
  </r>
  <r>
    <x v="5"/>
    <x v="17"/>
    <x v="2"/>
    <n v="0"/>
    <n v="1030"/>
    <n v="0"/>
    <s v="Tue"/>
  </r>
  <r>
    <x v="5"/>
    <x v="18"/>
    <x v="2"/>
    <n v="1"/>
    <n v="1222"/>
    <n v="1222"/>
    <s v="Tue"/>
  </r>
  <r>
    <x v="5"/>
    <x v="19"/>
    <x v="2"/>
    <n v="2"/>
    <n v="649"/>
    <n v="1298"/>
    <s v="Tue"/>
  </r>
  <r>
    <x v="5"/>
    <x v="20"/>
    <x v="2"/>
    <n v="11"/>
    <n v="1800"/>
    <n v="19800"/>
    <s v="Tue"/>
  </r>
  <r>
    <x v="5"/>
    <x v="21"/>
    <x v="2"/>
    <n v="5"/>
    <n v="345"/>
    <n v="1725"/>
    <s v="Tue"/>
  </r>
  <r>
    <x v="5"/>
    <x v="22"/>
    <x v="2"/>
    <n v="5"/>
    <n v="350"/>
    <n v="1750"/>
    <s v="Tue"/>
  </r>
  <r>
    <x v="5"/>
    <x v="23"/>
    <x v="2"/>
    <n v="5"/>
    <n v="1575"/>
    <n v="7875"/>
    <s v="Tue"/>
  </r>
  <r>
    <x v="5"/>
    <x v="24"/>
    <x v="2"/>
    <n v="6"/>
    <n v="1045"/>
    <n v="6270"/>
    <s v="Tue"/>
  </r>
  <r>
    <x v="5"/>
    <x v="25"/>
    <x v="2"/>
    <n v="2"/>
    <n v="1186"/>
    <n v="2372"/>
    <s v="Tue"/>
  </r>
  <r>
    <x v="5"/>
    <x v="26"/>
    <x v="2"/>
    <n v="4"/>
    <n v="374"/>
    <n v="1496"/>
    <s v="Tue"/>
  </r>
  <r>
    <x v="5"/>
    <x v="27"/>
    <x v="2"/>
    <n v="2"/>
    <n v="1500"/>
    <n v="3000"/>
    <s v="Tue"/>
  </r>
  <r>
    <x v="5"/>
    <x v="28"/>
    <x v="2"/>
    <n v="2"/>
    <n v="1800"/>
    <n v="3600"/>
    <s v="Tue"/>
  </r>
  <r>
    <x v="5"/>
    <x v="29"/>
    <x v="2"/>
    <n v="0"/>
    <n v="1477"/>
    <n v="0"/>
    <s v="Tue"/>
  </r>
  <r>
    <x v="6"/>
    <x v="0"/>
    <x v="0"/>
    <n v="32"/>
    <n v="210"/>
    <n v="6720"/>
    <s v="Wed"/>
  </r>
  <r>
    <x v="6"/>
    <x v="1"/>
    <x v="0"/>
    <n v="17"/>
    <n v="199"/>
    <n v="3383"/>
    <s v="Wed"/>
  </r>
  <r>
    <x v="6"/>
    <x v="2"/>
    <x v="0"/>
    <n v="8"/>
    <n v="322"/>
    <n v="2576"/>
    <s v="Wed"/>
  </r>
  <r>
    <x v="6"/>
    <x v="3"/>
    <x v="0"/>
    <n v="10"/>
    <n v="161"/>
    <n v="1610"/>
    <s v="Wed"/>
  </r>
  <r>
    <x v="6"/>
    <x v="4"/>
    <x v="0"/>
    <n v="4"/>
    <n v="109"/>
    <n v="436"/>
    <s v="Wed"/>
  </r>
  <r>
    <x v="6"/>
    <x v="5"/>
    <x v="0"/>
    <n v="3"/>
    <n v="122"/>
    <n v="366"/>
    <s v="Wed"/>
  </r>
  <r>
    <x v="6"/>
    <x v="6"/>
    <x v="0"/>
    <n v="3"/>
    <n v="96"/>
    <n v="288"/>
    <s v="Wed"/>
  </r>
  <r>
    <x v="6"/>
    <x v="7"/>
    <x v="0"/>
    <n v="1"/>
    <n v="73"/>
    <n v="73"/>
    <s v="Wed"/>
  </r>
  <r>
    <x v="6"/>
    <x v="8"/>
    <x v="0"/>
    <n v="2"/>
    <n v="225"/>
    <n v="450"/>
    <s v="Wed"/>
  </r>
  <r>
    <x v="6"/>
    <x v="9"/>
    <x v="0"/>
    <n v="0"/>
    <n v="559"/>
    <n v="0"/>
    <s v="Wed"/>
  </r>
  <r>
    <x v="6"/>
    <x v="10"/>
    <x v="0"/>
    <n v="33"/>
    <n v="3199"/>
    <n v="105567"/>
    <s v="Wed"/>
  </r>
  <r>
    <x v="6"/>
    <x v="11"/>
    <x v="0"/>
    <n v="16"/>
    <n v="371"/>
    <n v="5936"/>
    <s v="Wed"/>
  </r>
  <r>
    <x v="6"/>
    <x v="12"/>
    <x v="0"/>
    <n v="10"/>
    <n v="2300"/>
    <n v="23000"/>
    <s v="Wed"/>
  </r>
  <r>
    <x v="6"/>
    <x v="13"/>
    <x v="0"/>
    <n v="8"/>
    <n v="499"/>
    <n v="3992"/>
    <s v="Wed"/>
  </r>
  <r>
    <x v="6"/>
    <x v="14"/>
    <x v="0"/>
    <n v="5"/>
    <n v="299"/>
    <n v="1495"/>
    <s v="Wed"/>
  </r>
  <r>
    <x v="6"/>
    <x v="15"/>
    <x v="0"/>
    <n v="2"/>
    <n v="901"/>
    <n v="1802"/>
    <s v="Wed"/>
  </r>
  <r>
    <x v="6"/>
    <x v="16"/>
    <x v="0"/>
    <n v="4"/>
    <n v="929"/>
    <n v="3716"/>
    <s v="Wed"/>
  </r>
  <r>
    <x v="6"/>
    <x v="17"/>
    <x v="0"/>
    <n v="1"/>
    <n v="1030"/>
    <n v="1030"/>
    <s v="Wed"/>
  </r>
  <r>
    <x v="6"/>
    <x v="18"/>
    <x v="0"/>
    <n v="1"/>
    <n v="1222"/>
    <n v="1222"/>
    <s v="Wed"/>
  </r>
  <r>
    <x v="6"/>
    <x v="19"/>
    <x v="0"/>
    <n v="1"/>
    <n v="649"/>
    <n v="649"/>
    <s v="Wed"/>
  </r>
  <r>
    <x v="6"/>
    <x v="20"/>
    <x v="0"/>
    <n v="28"/>
    <n v="1800"/>
    <n v="50400"/>
    <s v="Wed"/>
  </r>
  <r>
    <x v="6"/>
    <x v="21"/>
    <x v="0"/>
    <n v="13"/>
    <n v="345"/>
    <n v="4485"/>
    <s v="Wed"/>
  </r>
  <r>
    <x v="6"/>
    <x v="22"/>
    <x v="0"/>
    <n v="11"/>
    <n v="350"/>
    <n v="3850"/>
    <s v="Wed"/>
  </r>
  <r>
    <x v="6"/>
    <x v="23"/>
    <x v="0"/>
    <n v="10"/>
    <n v="1575"/>
    <n v="15750"/>
    <s v="Wed"/>
  </r>
  <r>
    <x v="6"/>
    <x v="24"/>
    <x v="0"/>
    <n v="5"/>
    <n v="1045"/>
    <n v="5225"/>
    <s v="Wed"/>
  </r>
  <r>
    <x v="6"/>
    <x v="25"/>
    <x v="0"/>
    <n v="3"/>
    <n v="1186"/>
    <n v="3558"/>
    <s v="Wed"/>
  </r>
  <r>
    <x v="6"/>
    <x v="26"/>
    <x v="0"/>
    <n v="3"/>
    <n v="374"/>
    <n v="1122"/>
    <s v="Wed"/>
  </r>
  <r>
    <x v="6"/>
    <x v="27"/>
    <x v="0"/>
    <n v="2"/>
    <n v="1500"/>
    <n v="3000"/>
    <s v="Wed"/>
  </r>
  <r>
    <x v="6"/>
    <x v="28"/>
    <x v="0"/>
    <n v="0"/>
    <n v="1800"/>
    <n v="0"/>
    <s v="Wed"/>
  </r>
  <r>
    <x v="6"/>
    <x v="29"/>
    <x v="0"/>
    <n v="0"/>
    <n v="1477"/>
    <n v="0"/>
    <s v="Wed"/>
  </r>
  <r>
    <x v="6"/>
    <x v="0"/>
    <x v="1"/>
    <n v="19"/>
    <n v="210"/>
    <n v="3990"/>
    <s v="Wed"/>
  </r>
  <r>
    <x v="6"/>
    <x v="1"/>
    <x v="1"/>
    <n v="11"/>
    <n v="199"/>
    <n v="2189"/>
    <s v="Wed"/>
  </r>
  <r>
    <x v="6"/>
    <x v="2"/>
    <x v="1"/>
    <n v="6"/>
    <n v="322"/>
    <n v="1932"/>
    <s v="Wed"/>
  </r>
  <r>
    <x v="6"/>
    <x v="3"/>
    <x v="1"/>
    <n v="6"/>
    <n v="161"/>
    <n v="966"/>
    <s v="Wed"/>
  </r>
  <r>
    <x v="6"/>
    <x v="4"/>
    <x v="1"/>
    <n v="3"/>
    <n v="109"/>
    <n v="327"/>
    <s v="Wed"/>
  </r>
  <r>
    <x v="6"/>
    <x v="5"/>
    <x v="1"/>
    <n v="2"/>
    <n v="122"/>
    <n v="244"/>
    <s v="Wed"/>
  </r>
  <r>
    <x v="6"/>
    <x v="6"/>
    <x v="1"/>
    <n v="2"/>
    <n v="96"/>
    <n v="192"/>
    <s v="Wed"/>
  </r>
  <r>
    <x v="6"/>
    <x v="7"/>
    <x v="1"/>
    <n v="0"/>
    <n v="73"/>
    <n v="0"/>
    <s v="Wed"/>
  </r>
  <r>
    <x v="6"/>
    <x v="8"/>
    <x v="1"/>
    <n v="1"/>
    <n v="225"/>
    <n v="225"/>
    <s v="Wed"/>
  </r>
  <r>
    <x v="6"/>
    <x v="9"/>
    <x v="1"/>
    <n v="0"/>
    <n v="559"/>
    <n v="0"/>
    <s v="Wed"/>
  </r>
  <r>
    <x v="6"/>
    <x v="10"/>
    <x v="1"/>
    <n v="2"/>
    <n v="3199"/>
    <n v="6398"/>
    <s v="Wed"/>
  </r>
  <r>
    <x v="6"/>
    <x v="11"/>
    <x v="1"/>
    <n v="7"/>
    <n v="371"/>
    <n v="2597"/>
    <s v="Wed"/>
  </r>
  <r>
    <x v="6"/>
    <x v="12"/>
    <x v="1"/>
    <n v="5"/>
    <n v="2300"/>
    <n v="11500"/>
    <s v="Wed"/>
  </r>
  <r>
    <x v="6"/>
    <x v="13"/>
    <x v="1"/>
    <n v="2"/>
    <n v="499"/>
    <n v="998"/>
    <s v="Wed"/>
  </r>
  <r>
    <x v="6"/>
    <x v="14"/>
    <x v="1"/>
    <n v="4"/>
    <n v="299"/>
    <n v="1196"/>
    <s v="Wed"/>
  </r>
  <r>
    <x v="6"/>
    <x v="15"/>
    <x v="1"/>
    <n v="2"/>
    <n v="901"/>
    <n v="1802"/>
    <s v="Wed"/>
  </r>
  <r>
    <x v="6"/>
    <x v="16"/>
    <x v="1"/>
    <n v="4"/>
    <n v="929"/>
    <n v="3716"/>
    <s v="Wed"/>
  </r>
  <r>
    <x v="6"/>
    <x v="17"/>
    <x v="1"/>
    <n v="1"/>
    <n v="1030"/>
    <n v="1030"/>
    <s v="Wed"/>
  </r>
  <r>
    <x v="6"/>
    <x v="18"/>
    <x v="1"/>
    <n v="0"/>
    <n v="1222"/>
    <n v="0"/>
    <s v="Wed"/>
  </r>
  <r>
    <x v="6"/>
    <x v="19"/>
    <x v="1"/>
    <n v="0"/>
    <n v="649"/>
    <n v="0"/>
    <s v="Wed"/>
  </r>
  <r>
    <x v="6"/>
    <x v="20"/>
    <x v="1"/>
    <n v="25"/>
    <n v="1800"/>
    <n v="45000"/>
    <s v="Wed"/>
  </r>
  <r>
    <x v="6"/>
    <x v="21"/>
    <x v="1"/>
    <n v="10"/>
    <n v="345"/>
    <n v="3450"/>
    <s v="Wed"/>
  </r>
  <r>
    <x v="6"/>
    <x v="22"/>
    <x v="1"/>
    <n v="6"/>
    <n v="350"/>
    <n v="2100"/>
    <s v="Wed"/>
  </r>
  <r>
    <x v="6"/>
    <x v="23"/>
    <x v="1"/>
    <n v="7"/>
    <n v="1575"/>
    <n v="11025"/>
    <s v="Wed"/>
  </r>
  <r>
    <x v="6"/>
    <x v="24"/>
    <x v="1"/>
    <n v="5"/>
    <n v="1045"/>
    <n v="5225"/>
    <s v="Wed"/>
  </r>
  <r>
    <x v="6"/>
    <x v="25"/>
    <x v="1"/>
    <n v="2"/>
    <n v="1186"/>
    <n v="2372"/>
    <s v="Wed"/>
  </r>
  <r>
    <x v="6"/>
    <x v="26"/>
    <x v="1"/>
    <n v="0"/>
    <n v="374"/>
    <n v="0"/>
    <s v="Wed"/>
  </r>
  <r>
    <x v="6"/>
    <x v="27"/>
    <x v="1"/>
    <n v="1"/>
    <n v="1500"/>
    <n v="1500"/>
    <s v="Wed"/>
  </r>
  <r>
    <x v="6"/>
    <x v="28"/>
    <x v="1"/>
    <n v="0"/>
    <n v="1800"/>
    <n v="0"/>
    <s v="Wed"/>
  </r>
  <r>
    <x v="6"/>
    <x v="29"/>
    <x v="1"/>
    <n v="0"/>
    <n v="1477"/>
    <n v="0"/>
    <s v="Wed"/>
  </r>
  <r>
    <x v="6"/>
    <x v="0"/>
    <x v="2"/>
    <n v="11"/>
    <n v="210"/>
    <n v="2310"/>
    <s v="Wed"/>
  </r>
  <r>
    <x v="6"/>
    <x v="1"/>
    <x v="2"/>
    <n v="1"/>
    <n v="199"/>
    <n v="199"/>
    <s v="Wed"/>
  </r>
  <r>
    <x v="6"/>
    <x v="2"/>
    <x v="2"/>
    <n v="6"/>
    <n v="322"/>
    <n v="1932"/>
    <s v="Wed"/>
  </r>
  <r>
    <x v="6"/>
    <x v="3"/>
    <x v="2"/>
    <n v="3"/>
    <n v="161"/>
    <n v="483"/>
    <s v="Wed"/>
  </r>
  <r>
    <x v="6"/>
    <x v="4"/>
    <x v="2"/>
    <n v="3"/>
    <n v="109"/>
    <n v="327"/>
    <s v="Wed"/>
  </r>
  <r>
    <x v="6"/>
    <x v="5"/>
    <x v="2"/>
    <n v="2"/>
    <n v="122"/>
    <n v="244"/>
    <s v="Wed"/>
  </r>
  <r>
    <x v="6"/>
    <x v="6"/>
    <x v="2"/>
    <n v="2"/>
    <n v="96"/>
    <n v="192"/>
    <s v="Wed"/>
  </r>
  <r>
    <x v="6"/>
    <x v="7"/>
    <x v="2"/>
    <n v="2"/>
    <n v="73"/>
    <n v="146"/>
    <s v="Wed"/>
  </r>
  <r>
    <x v="6"/>
    <x v="8"/>
    <x v="2"/>
    <n v="2"/>
    <n v="225"/>
    <n v="450"/>
    <s v="Wed"/>
  </r>
  <r>
    <x v="6"/>
    <x v="9"/>
    <x v="2"/>
    <n v="2"/>
    <n v="559"/>
    <n v="1118"/>
    <s v="Wed"/>
  </r>
  <r>
    <x v="6"/>
    <x v="10"/>
    <x v="2"/>
    <n v="21"/>
    <n v="3199"/>
    <n v="67179"/>
    <s v="Wed"/>
  </r>
  <r>
    <x v="6"/>
    <x v="11"/>
    <x v="2"/>
    <n v="9"/>
    <n v="371"/>
    <n v="3339"/>
    <s v="Wed"/>
  </r>
  <r>
    <x v="6"/>
    <x v="12"/>
    <x v="2"/>
    <n v="10"/>
    <n v="2300"/>
    <n v="23000"/>
    <s v="Wed"/>
  </r>
  <r>
    <x v="6"/>
    <x v="13"/>
    <x v="2"/>
    <n v="10"/>
    <n v="499"/>
    <n v="4990"/>
    <s v="Wed"/>
  </r>
  <r>
    <x v="6"/>
    <x v="14"/>
    <x v="2"/>
    <n v="1"/>
    <n v="299"/>
    <n v="299"/>
    <s v="Wed"/>
  </r>
  <r>
    <x v="6"/>
    <x v="15"/>
    <x v="2"/>
    <n v="2"/>
    <n v="901"/>
    <n v="1802"/>
    <s v="Wed"/>
  </r>
  <r>
    <x v="6"/>
    <x v="16"/>
    <x v="2"/>
    <n v="1"/>
    <n v="929"/>
    <n v="929"/>
    <s v="Wed"/>
  </r>
  <r>
    <x v="6"/>
    <x v="17"/>
    <x v="2"/>
    <n v="1"/>
    <n v="1030"/>
    <n v="1030"/>
    <s v="Wed"/>
  </r>
  <r>
    <x v="6"/>
    <x v="18"/>
    <x v="2"/>
    <n v="3"/>
    <n v="1222"/>
    <n v="3666"/>
    <s v="Wed"/>
  </r>
  <r>
    <x v="6"/>
    <x v="19"/>
    <x v="2"/>
    <n v="2"/>
    <n v="649"/>
    <n v="1298"/>
    <s v="Wed"/>
  </r>
  <r>
    <x v="6"/>
    <x v="20"/>
    <x v="2"/>
    <n v="11"/>
    <n v="1800"/>
    <n v="19800"/>
    <s v="Wed"/>
  </r>
  <r>
    <x v="6"/>
    <x v="21"/>
    <x v="2"/>
    <n v="11"/>
    <n v="345"/>
    <n v="3795"/>
    <s v="Wed"/>
  </r>
  <r>
    <x v="6"/>
    <x v="22"/>
    <x v="2"/>
    <n v="6"/>
    <n v="350"/>
    <n v="2100"/>
    <s v="Wed"/>
  </r>
  <r>
    <x v="6"/>
    <x v="23"/>
    <x v="2"/>
    <n v="2"/>
    <n v="1575"/>
    <n v="3150"/>
    <s v="Wed"/>
  </r>
  <r>
    <x v="6"/>
    <x v="24"/>
    <x v="2"/>
    <n v="2"/>
    <n v="1045"/>
    <n v="2090"/>
    <s v="Wed"/>
  </r>
  <r>
    <x v="6"/>
    <x v="25"/>
    <x v="2"/>
    <n v="3"/>
    <n v="1186"/>
    <n v="3558"/>
    <s v="Wed"/>
  </r>
  <r>
    <x v="6"/>
    <x v="26"/>
    <x v="2"/>
    <n v="3"/>
    <n v="374"/>
    <n v="1122"/>
    <s v="Wed"/>
  </r>
  <r>
    <x v="6"/>
    <x v="27"/>
    <x v="2"/>
    <n v="2"/>
    <n v="1500"/>
    <n v="3000"/>
    <s v="Wed"/>
  </r>
  <r>
    <x v="6"/>
    <x v="28"/>
    <x v="2"/>
    <n v="1"/>
    <n v="1800"/>
    <n v="1800"/>
    <s v="Wed"/>
  </r>
  <r>
    <x v="6"/>
    <x v="29"/>
    <x v="2"/>
    <n v="0"/>
    <n v="1477"/>
    <n v="0"/>
    <s v="Wed"/>
  </r>
  <r>
    <x v="7"/>
    <x v="0"/>
    <x v="0"/>
    <n v="28"/>
    <n v="210"/>
    <n v="5880"/>
    <s v="Thu"/>
  </r>
  <r>
    <x v="7"/>
    <x v="1"/>
    <x v="0"/>
    <n v="13"/>
    <n v="199"/>
    <n v="2587"/>
    <s v="Thu"/>
  </r>
  <r>
    <x v="7"/>
    <x v="2"/>
    <x v="0"/>
    <n v="11"/>
    <n v="322"/>
    <n v="3542"/>
    <s v="Thu"/>
  </r>
  <r>
    <x v="7"/>
    <x v="3"/>
    <x v="0"/>
    <n v="7"/>
    <n v="161"/>
    <n v="1127"/>
    <s v="Thu"/>
  </r>
  <r>
    <x v="7"/>
    <x v="4"/>
    <x v="0"/>
    <n v="5"/>
    <n v="109"/>
    <n v="545"/>
    <s v="Thu"/>
  </r>
  <r>
    <x v="7"/>
    <x v="5"/>
    <x v="0"/>
    <n v="2"/>
    <n v="122"/>
    <n v="244"/>
    <s v="Thu"/>
  </r>
  <r>
    <x v="7"/>
    <x v="6"/>
    <x v="0"/>
    <n v="4"/>
    <n v="96"/>
    <n v="384"/>
    <s v="Thu"/>
  </r>
  <r>
    <x v="7"/>
    <x v="7"/>
    <x v="0"/>
    <n v="2"/>
    <n v="73"/>
    <n v="146"/>
    <s v="Thu"/>
  </r>
  <r>
    <x v="7"/>
    <x v="8"/>
    <x v="0"/>
    <n v="0"/>
    <n v="225"/>
    <n v="0"/>
    <s v="Thu"/>
  </r>
  <r>
    <x v="7"/>
    <x v="9"/>
    <x v="0"/>
    <n v="0"/>
    <n v="559"/>
    <n v="0"/>
    <s v="Thu"/>
  </r>
  <r>
    <x v="7"/>
    <x v="10"/>
    <x v="0"/>
    <n v="34"/>
    <n v="3199"/>
    <n v="108766"/>
    <s v="Thu"/>
  </r>
  <r>
    <x v="7"/>
    <x v="11"/>
    <x v="0"/>
    <n v="12"/>
    <n v="371"/>
    <n v="4452"/>
    <s v="Thu"/>
  </r>
  <r>
    <x v="7"/>
    <x v="12"/>
    <x v="0"/>
    <n v="13"/>
    <n v="2300"/>
    <n v="29900"/>
    <s v="Thu"/>
  </r>
  <r>
    <x v="7"/>
    <x v="13"/>
    <x v="0"/>
    <n v="12"/>
    <n v="499"/>
    <n v="5988"/>
    <s v="Thu"/>
  </r>
  <r>
    <x v="7"/>
    <x v="14"/>
    <x v="0"/>
    <n v="5"/>
    <n v="299"/>
    <n v="1495"/>
    <s v="Thu"/>
  </r>
  <r>
    <x v="7"/>
    <x v="15"/>
    <x v="0"/>
    <n v="2"/>
    <n v="901"/>
    <n v="1802"/>
    <s v="Thu"/>
  </r>
  <r>
    <x v="7"/>
    <x v="16"/>
    <x v="0"/>
    <n v="3"/>
    <n v="929"/>
    <n v="2787"/>
    <s v="Thu"/>
  </r>
  <r>
    <x v="7"/>
    <x v="17"/>
    <x v="0"/>
    <n v="0"/>
    <n v="1030"/>
    <n v="0"/>
    <s v="Thu"/>
  </r>
  <r>
    <x v="7"/>
    <x v="18"/>
    <x v="0"/>
    <n v="2"/>
    <n v="1222"/>
    <n v="2444"/>
    <s v="Thu"/>
  </r>
  <r>
    <x v="7"/>
    <x v="19"/>
    <x v="0"/>
    <n v="1"/>
    <n v="649"/>
    <n v="649"/>
    <s v="Thu"/>
  </r>
  <r>
    <x v="7"/>
    <x v="20"/>
    <x v="0"/>
    <n v="30"/>
    <n v="1800"/>
    <n v="54000"/>
    <s v="Thu"/>
  </r>
  <r>
    <x v="7"/>
    <x v="21"/>
    <x v="0"/>
    <n v="12"/>
    <n v="345"/>
    <n v="4140"/>
    <s v="Thu"/>
  </r>
  <r>
    <x v="7"/>
    <x v="22"/>
    <x v="0"/>
    <n v="10"/>
    <n v="350"/>
    <n v="3500"/>
    <s v="Thu"/>
  </r>
  <r>
    <x v="7"/>
    <x v="23"/>
    <x v="0"/>
    <n v="10"/>
    <n v="1575"/>
    <n v="15750"/>
    <s v="Thu"/>
  </r>
  <r>
    <x v="7"/>
    <x v="24"/>
    <x v="0"/>
    <n v="7"/>
    <n v="1045"/>
    <n v="7315"/>
    <s v="Thu"/>
  </r>
  <r>
    <x v="7"/>
    <x v="25"/>
    <x v="0"/>
    <n v="2"/>
    <n v="1186"/>
    <n v="2372"/>
    <s v="Thu"/>
  </r>
  <r>
    <x v="7"/>
    <x v="26"/>
    <x v="0"/>
    <n v="4"/>
    <n v="374"/>
    <n v="1496"/>
    <s v="Thu"/>
  </r>
  <r>
    <x v="7"/>
    <x v="27"/>
    <x v="0"/>
    <n v="0"/>
    <n v="1500"/>
    <n v="0"/>
    <s v="Thu"/>
  </r>
  <r>
    <x v="7"/>
    <x v="28"/>
    <x v="0"/>
    <n v="2"/>
    <n v="1800"/>
    <n v="3600"/>
    <s v="Thu"/>
  </r>
  <r>
    <x v="7"/>
    <x v="29"/>
    <x v="0"/>
    <n v="0"/>
    <n v="1477"/>
    <n v="0"/>
    <s v="Thu"/>
  </r>
  <r>
    <x v="7"/>
    <x v="0"/>
    <x v="1"/>
    <n v="18"/>
    <n v="210"/>
    <n v="3780"/>
    <s v="Thu"/>
  </r>
  <r>
    <x v="7"/>
    <x v="1"/>
    <x v="1"/>
    <n v="9"/>
    <n v="199"/>
    <n v="1791"/>
    <s v="Thu"/>
  </r>
  <r>
    <x v="7"/>
    <x v="2"/>
    <x v="1"/>
    <n v="8"/>
    <n v="322"/>
    <n v="2576"/>
    <s v="Thu"/>
  </r>
  <r>
    <x v="7"/>
    <x v="3"/>
    <x v="1"/>
    <n v="6"/>
    <n v="161"/>
    <n v="966"/>
    <s v="Thu"/>
  </r>
  <r>
    <x v="7"/>
    <x v="4"/>
    <x v="1"/>
    <n v="3"/>
    <n v="109"/>
    <n v="327"/>
    <s v="Thu"/>
  </r>
  <r>
    <x v="7"/>
    <x v="5"/>
    <x v="1"/>
    <n v="2"/>
    <n v="122"/>
    <n v="244"/>
    <s v="Thu"/>
  </r>
  <r>
    <x v="7"/>
    <x v="6"/>
    <x v="1"/>
    <n v="2"/>
    <n v="96"/>
    <n v="192"/>
    <s v="Thu"/>
  </r>
  <r>
    <x v="7"/>
    <x v="7"/>
    <x v="1"/>
    <n v="1"/>
    <n v="73"/>
    <n v="73"/>
    <s v="Thu"/>
  </r>
  <r>
    <x v="7"/>
    <x v="8"/>
    <x v="1"/>
    <n v="0"/>
    <n v="225"/>
    <n v="0"/>
    <s v="Thu"/>
  </r>
  <r>
    <x v="7"/>
    <x v="9"/>
    <x v="1"/>
    <n v="0"/>
    <n v="559"/>
    <n v="0"/>
    <s v="Thu"/>
  </r>
  <r>
    <x v="7"/>
    <x v="10"/>
    <x v="1"/>
    <n v="24"/>
    <n v="3199"/>
    <n v="76776"/>
    <s v="Thu"/>
  </r>
  <r>
    <x v="7"/>
    <x v="11"/>
    <x v="1"/>
    <n v="3"/>
    <n v="371"/>
    <n v="1113"/>
    <s v="Thu"/>
  </r>
  <r>
    <x v="7"/>
    <x v="12"/>
    <x v="1"/>
    <n v="0"/>
    <n v="2300"/>
    <n v="0"/>
    <s v="Thu"/>
  </r>
  <r>
    <x v="7"/>
    <x v="13"/>
    <x v="1"/>
    <n v="7"/>
    <n v="499"/>
    <n v="3493"/>
    <s v="Thu"/>
  </r>
  <r>
    <x v="7"/>
    <x v="14"/>
    <x v="1"/>
    <n v="2"/>
    <n v="299"/>
    <n v="598"/>
    <s v="Thu"/>
  </r>
  <r>
    <x v="7"/>
    <x v="15"/>
    <x v="1"/>
    <n v="0"/>
    <n v="901"/>
    <n v="0"/>
    <s v="Thu"/>
  </r>
  <r>
    <x v="7"/>
    <x v="16"/>
    <x v="1"/>
    <n v="2"/>
    <n v="929"/>
    <n v="1858"/>
    <s v="Thu"/>
  </r>
  <r>
    <x v="7"/>
    <x v="17"/>
    <x v="1"/>
    <n v="0"/>
    <n v="1030"/>
    <n v="0"/>
    <s v="Thu"/>
  </r>
  <r>
    <x v="7"/>
    <x v="18"/>
    <x v="1"/>
    <n v="0"/>
    <n v="1222"/>
    <n v="0"/>
    <s v="Thu"/>
  </r>
  <r>
    <x v="7"/>
    <x v="19"/>
    <x v="1"/>
    <n v="0"/>
    <n v="649"/>
    <n v="0"/>
    <s v="Thu"/>
  </r>
  <r>
    <x v="7"/>
    <x v="20"/>
    <x v="1"/>
    <n v="22"/>
    <n v="1800"/>
    <n v="39600"/>
    <s v="Thu"/>
  </r>
  <r>
    <x v="7"/>
    <x v="21"/>
    <x v="1"/>
    <n v="10"/>
    <n v="345"/>
    <n v="3450"/>
    <s v="Thu"/>
  </r>
  <r>
    <x v="7"/>
    <x v="22"/>
    <x v="1"/>
    <n v="9"/>
    <n v="350"/>
    <n v="3150"/>
    <s v="Thu"/>
  </r>
  <r>
    <x v="7"/>
    <x v="23"/>
    <x v="1"/>
    <n v="6"/>
    <n v="1575"/>
    <n v="9450"/>
    <s v="Thu"/>
  </r>
  <r>
    <x v="7"/>
    <x v="24"/>
    <x v="1"/>
    <n v="1"/>
    <n v="1045"/>
    <n v="1045"/>
    <s v="Thu"/>
  </r>
  <r>
    <x v="7"/>
    <x v="25"/>
    <x v="1"/>
    <n v="1"/>
    <n v="1186"/>
    <n v="1186"/>
    <s v="Thu"/>
  </r>
  <r>
    <x v="7"/>
    <x v="26"/>
    <x v="1"/>
    <n v="0"/>
    <n v="374"/>
    <n v="0"/>
    <s v="Thu"/>
  </r>
  <r>
    <x v="7"/>
    <x v="27"/>
    <x v="1"/>
    <n v="0"/>
    <n v="1500"/>
    <n v="0"/>
    <s v="Thu"/>
  </r>
  <r>
    <x v="7"/>
    <x v="28"/>
    <x v="1"/>
    <n v="1"/>
    <n v="1800"/>
    <n v="1800"/>
    <s v="Thu"/>
  </r>
  <r>
    <x v="7"/>
    <x v="29"/>
    <x v="1"/>
    <n v="0"/>
    <n v="1477"/>
    <n v="0"/>
    <s v="Thu"/>
  </r>
  <r>
    <x v="7"/>
    <x v="0"/>
    <x v="2"/>
    <n v="13"/>
    <n v="210"/>
    <n v="2730"/>
    <s v="Thu"/>
  </r>
  <r>
    <x v="7"/>
    <x v="1"/>
    <x v="2"/>
    <n v="6"/>
    <n v="199"/>
    <n v="1194"/>
    <s v="Thu"/>
  </r>
  <r>
    <x v="7"/>
    <x v="2"/>
    <x v="2"/>
    <n v="6"/>
    <n v="322"/>
    <n v="1932"/>
    <s v="Thu"/>
  </r>
  <r>
    <x v="7"/>
    <x v="3"/>
    <x v="2"/>
    <n v="4"/>
    <n v="161"/>
    <n v="644"/>
    <s v="Thu"/>
  </r>
  <r>
    <x v="7"/>
    <x v="4"/>
    <x v="2"/>
    <n v="5"/>
    <n v="109"/>
    <n v="545"/>
    <s v="Thu"/>
  </r>
  <r>
    <x v="7"/>
    <x v="5"/>
    <x v="2"/>
    <n v="2"/>
    <n v="122"/>
    <n v="244"/>
    <s v="Thu"/>
  </r>
  <r>
    <x v="7"/>
    <x v="6"/>
    <x v="2"/>
    <n v="2"/>
    <n v="96"/>
    <n v="192"/>
    <s v="Thu"/>
  </r>
  <r>
    <x v="7"/>
    <x v="7"/>
    <x v="2"/>
    <n v="1"/>
    <n v="73"/>
    <n v="73"/>
    <s v="Thu"/>
  </r>
  <r>
    <x v="7"/>
    <x v="8"/>
    <x v="2"/>
    <n v="1"/>
    <n v="225"/>
    <n v="225"/>
    <s v="Thu"/>
  </r>
  <r>
    <x v="7"/>
    <x v="9"/>
    <x v="2"/>
    <n v="0"/>
    <n v="559"/>
    <n v="0"/>
    <s v="Thu"/>
  </r>
  <r>
    <x v="7"/>
    <x v="10"/>
    <x v="2"/>
    <n v="1"/>
    <n v="3199"/>
    <n v="3199"/>
    <s v="Thu"/>
  </r>
  <r>
    <x v="7"/>
    <x v="11"/>
    <x v="2"/>
    <n v="10"/>
    <n v="371"/>
    <n v="3710"/>
    <s v="Thu"/>
  </r>
  <r>
    <x v="7"/>
    <x v="12"/>
    <x v="2"/>
    <n v="10"/>
    <n v="2300"/>
    <n v="23000"/>
    <s v="Thu"/>
  </r>
  <r>
    <x v="7"/>
    <x v="13"/>
    <x v="2"/>
    <n v="1"/>
    <n v="499"/>
    <n v="499"/>
    <s v="Thu"/>
  </r>
  <r>
    <x v="7"/>
    <x v="14"/>
    <x v="2"/>
    <n v="4"/>
    <n v="299"/>
    <n v="1196"/>
    <s v="Thu"/>
  </r>
  <r>
    <x v="7"/>
    <x v="15"/>
    <x v="2"/>
    <n v="3"/>
    <n v="901"/>
    <n v="2703"/>
    <s v="Thu"/>
  </r>
  <r>
    <x v="7"/>
    <x v="16"/>
    <x v="2"/>
    <n v="2"/>
    <n v="929"/>
    <n v="1858"/>
    <s v="Thu"/>
  </r>
  <r>
    <x v="7"/>
    <x v="17"/>
    <x v="2"/>
    <n v="1"/>
    <n v="1030"/>
    <n v="1030"/>
    <s v="Thu"/>
  </r>
  <r>
    <x v="7"/>
    <x v="18"/>
    <x v="2"/>
    <n v="2"/>
    <n v="1222"/>
    <n v="2444"/>
    <s v="Thu"/>
  </r>
  <r>
    <x v="7"/>
    <x v="19"/>
    <x v="2"/>
    <n v="2"/>
    <n v="649"/>
    <n v="1298"/>
    <s v="Thu"/>
  </r>
  <r>
    <x v="7"/>
    <x v="20"/>
    <x v="2"/>
    <n v="6"/>
    <n v="1800"/>
    <n v="10800"/>
    <s v="Thu"/>
  </r>
  <r>
    <x v="7"/>
    <x v="21"/>
    <x v="2"/>
    <n v="8"/>
    <n v="345"/>
    <n v="2760"/>
    <s v="Thu"/>
  </r>
  <r>
    <x v="7"/>
    <x v="22"/>
    <x v="2"/>
    <n v="6"/>
    <n v="350"/>
    <n v="2100"/>
    <s v="Thu"/>
  </r>
  <r>
    <x v="7"/>
    <x v="23"/>
    <x v="2"/>
    <n v="2"/>
    <n v="1575"/>
    <n v="3150"/>
    <s v="Thu"/>
  </r>
  <r>
    <x v="7"/>
    <x v="24"/>
    <x v="2"/>
    <n v="5"/>
    <n v="1045"/>
    <n v="5225"/>
    <s v="Thu"/>
  </r>
  <r>
    <x v="7"/>
    <x v="25"/>
    <x v="2"/>
    <n v="2"/>
    <n v="1186"/>
    <n v="2372"/>
    <s v="Thu"/>
  </r>
  <r>
    <x v="7"/>
    <x v="26"/>
    <x v="2"/>
    <n v="4"/>
    <n v="374"/>
    <n v="1496"/>
    <s v="Thu"/>
  </r>
  <r>
    <x v="7"/>
    <x v="27"/>
    <x v="2"/>
    <n v="1"/>
    <n v="1500"/>
    <n v="1500"/>
    <s v="Thu"/>
  </r>
  <r>
    <x v="7"/>
    <x v="28"/>
    <x v="2"/>
    <n v="2"/>
    <n v="1800"/>
    <n v="3600"/>
    <s v="Thu"/>
  </r>
  <r>
    <x v="7"/>
    <x v="29"/>
    <x v="2"/>
    <n v="1"/>
    <n v="1477"/>
    <n v="1477"/>
    <s v="Thu"/>
  </r>
  <r>
    <x v="8"/>
    <x v="0"/>
    <x v="0"/>
    <n v="27"/>
    <n v="210"/>
    <n v="5670"/>
    <s v="Fri"/>
  </r>
  <r>
    <x v="8"/>
    <x v="1"/>
    <x v="0"/>
    <n v="16"/>
    <n v="199"/>
    <n v="3184"/>
    <s v="Fri"/>
  </r>
  <r>
    <x v="8"/>
    <x v="2"/>
    <x v="0"/>
    <n v="11"/>
    <n v="322"/>
    <n v="3542"/>
    <s v="Fri"/>
  </r>
  <r>
    <x v="8"/>
    <x v="3"/>
    <x v="0"/>
    <n v="8"/>
    <n v="161"/>
    <n v="1288"/>
    <s v="Fri"/>
  </r>
  <r>
    <x v="8"/>
    <x v="4"/>
    <x v="0"/>
    <n v="7"/>
    <n v="109"/>
    <n v="763"/>
    <s v="Fri"/>
  </r>
  <r>
    <x v="8"/>
    <x v="5"/>
    <x v="0"/>
    <n v="4"/>
    <n v="122"/>
    <n v="488"/>
    <s v="Fri"/>
  </r>
  <r>
    <x v="8"/>
    <x v="6"/>
    <x v="0"/>
    <n v="2"/>
    <n v="96"/>
    <n v="192"/>
    <s v="Fri"/>
  </r>
  <r>
    <x v="8"/>
    <x v="7"/>
    <x v="0"/>
    <n v="2"/>
    <n v="73"/>
    <n v="146"/>
    <s v="Fri"/>
  </r>
  <r>
    <x v="8"/>
    <x v="8"/>
    <x v="0"/>
    <n v="1"/>
    <n v="225"/>
    <n v="225"/>
    <s v="Fri"/>
  </r>
  <r>
    <x v="8"/>
    <x v="9"/>
    <x v="0"/>
    <n v="0"/>
    <n v="559"/>
    <n v="0"/>
    <s v="Fri"/>
  </r>
  <r>
    <x v="8"/>
    <x v="10"/>
    <x v="0"/>
    <n v="30"/>
    <n v="3199"/>
    <n v="95970"/>
    <s v="Fri"/>
  </r>
  <r>
    <x v="8"/>
    <x v="11"/>
    <x v="0"/>
    <n v="14"/>
    <n v="371"/>
    <n v="5194"/>
    <s v="Fri"/>
  </r>
  <r>
    <x v="8"/>
    <x v="12"/>
    <x v="0"/>
    <n v="11"/>
    <n v="2300"/>
    <n v="25300"/>
    <s v="Fri"/>
  </r>
  <r>
    <x v="8"/>
    <x v="13"/>
    <x v="0"/>
    <n v="8"/>
    <n v="499"/>
    <n v="3992"/>
    <s v="Fri"/>
  </r>
  <r>
    <x v="8"/>
    <x v="14"/>
    <x v="0"/>
    <n v="7"/>
    <n v="299"/>
    <n v="2093"/>
    <s v="Fri"/>
  </r>
  <r>
    <x v="8"/>
    <x v="15"/>
    <x v="0"/>
    <n v="2"/>
    <n v="901"/>
    <n v="1802"/>
    <s v="Fri"/>
  </r>
  <r>
    <x v="8"/>
    <x v="16"/>
    <x v="0"/>
    <n v="2"/>
    <n v="929"/>
    <n v="1858"/>
    <s v="Fri"/>
  </r>
  <r>
    <x v="8"/>
    <x v="17"/>
    <x v="0"/>
    <n v="2"/>
    <n v="1030"/>
    <n v="2060"/>
    <s v="Fri"/>
  </r>
  <r>
    <x v="8"/>
    <x v="18"/>
    <x v="0"/>
    <n v="1"/>
    <n v="1222"/>
    <n v="1222"/>
    <s v="Fri"/>
  </r>
  <r>
    <x v="8"/>
    <x v="19"/>
    <x v="0"/>
    <n v="0"/>
    <n v="649"/>
    <n v="0"/>
    <s v="Fri"/>
  </r>
  <r>
    <x v="8"/>
    <x v="20"/>
    <x v="0"/>
    <n v="31"/>
    <n v="1800"/>
    <n v="55800"/>
    <s v="Fri"/>
  </r>
  <r>
    <x v="8"/>
    <x v="21"/>
    <x v="0"/>
    <n v="14"/>
    <n v="345"/>
    <n v="4830"/>
    <s v="Fri"/>
  </r>
  <r>
    <x v="8"/>
    <x v="22"/>
    <x v="0"/>
    <n v="14"/>
    <n v="350"/>
    <n v="4900"/>
    <s v="Fri"/>
  </r>
  <r>
    <x v="8"/>
    <x v="23"/>
    <x v="0"/>
    <n v="10"/>
    <n v="1575"/>
    <n v="15750"/>
    <s v="Fri"/>
  </r>
  <r>
    <x v="8"/>
    <x v="24"/>
    <x v="0"/>
    <n v="6"/>
    <n v="1045"/>
    <n v="6270"/>
    <s v="Fri"/>
  </r>
  <r>
    <x v="8"/>
    <x v="25"/>
    <x v="0"/>
    <n v="3"/>
    <n v="1186"/>
    <n v="3558"/>
    <s v="Fri"/>
  </r>
  <r>
    <x v="8"/>
    <x v="26"/>
    <x v="0"/>
    <n v="2"/>
    <n v="374"/>
    <n v="748"/>
    <s v="Fri"/>
  </r>
  <r>
    <x v="8"/>
    <x v="27"/>
    <x v="0"/>
    <n v="0"/>
    <n v="1500"/>
    <n v="0"/>
    <s v="Fri"/>
  </r>
  <r>
    <x v="8"/>
    <x v="28"/>
    <x v="0"/>
    <n v="1"/>
    <n v="1800"/>
    <n v="1800"/>
    <s v="Fri"/>
  </r>
  <r>
    <x v="8"/>
    <x v="29"/>
    <x v="0"/>
    <n v="0"/>
    <n v="1477"/>
    <n v="0"/>
    <s v="Fri"/>
  </r>
  <r>
    <x v="8"/>
    <x v="0"/>
    <x v="1"/>
    <n v="20"/>
    <n v="210"/>
    <n v="4200"/>
    <s v="Fri"/>
  </r>
  <r>
    <x v="8"/>
    <x v="1"/>
    <x v="1"/>
    <n v="9"/>
    <n v="199"/>
    <n v="1791"/>
    <s v="Fri"/>
  </r>
  <r>
    <x v="8"/>
    <x v="2"/>
    <x v="1"/>
    <n v="7"/>
    <n v="322"/>
    <n v="2254"/>
    <s v="Fri"/>
  </r>
  <r>
    <x v="8"/>
    <x v="3"/>
    <x v="1"/>
    <n v="6"/>
    <n v="161"/>
    <n v="966"/>
    <s v="Fri"/>
  </r>
  <r>
    <x v="8"/>
    <x v="4"/>
    <x v="1"/>
    <n v="4"/>
    <n v="109"/>
    <n v="436"/>
    <s v="Fri"/>
  </r>
  <r>
    <x v="8"/>
    <x v="5"/>
    <x v="1"/>
    <n v="3"/>
    <n v="122"/>
    <n v="366"/>
    <s v="Fri"/>
  </r>
  <r>
    <x v="8"/>
    <x v="6"/>
    <x v="1"/>
    <n v="2"/>
    <n v="96"/>
    <n v="192"/>
    <s v="Fri"/>
  </r>
  <r>
    <x v="8"/>
    <x v="7"/>
    <x v="1"/>
    <n v="1"/>
    <n v="73"/>
    <n v="73"/>
    <s v="Fri"/>
  </r>
  <r>
    <x v="8"/>
    <x v="8"/>
    <x v="1"/>
    <n v="0"/>
    <n v="225"/>
    <n v="0"/>
    <s v="Fri"/>
  </r>
  <r>
    <x v="8"/>
    <x v="9"/>
    <x v="1"/>
    <n v="0"/>
    <n v="559"/>
    <n v="0"/>
    <s v="Fri"/>
  </r>
  <r>
    <x v="8"/>
    <x v="10"/>
    <x v="1"/>
    <n v="5"/>
    <n v="3199"/>
    <n v="15995"/>
    <s v="Fri"/>
  </r>
  <r>
    <x v="8"/>
    <x v="11"/>
    <x v="1"/>
    <n v="1"/>
    <n v="371"/>
    <n v="371"/>
    <s v="Fri"/>
  </r>
  <r>
    <x v="8"/>
    <x v="12"/>
    <x v="1"/>
    <n v="4"/>
    <n v="2300"/>
    <n v="9200"/>
    <s v="Fri"/>
  </r>
  <r>
    <x v="8"/>
    <x v="13"/>
    <x v="1"/>
    <n v="6"/>
    <n v="499"/>
    <n v="2994"/>
    <s v="Fri"/>
  </r>
  <r>
    <x v="8"/>
    <x v="14"/>
    <x v="1"/>
    <n v="0"/>
    <n v="299"/>
    <n v="0"/>
    <s v="Fri"/>
  </r>
  <r>
    <x v="8"/>
    <x v="15"/>
    <x v="1"/>
    <n v="3"/>
    <n v="901"/>
    <n v="2703"/>
    <s v="Fri"/>
  </r>
  <r>
    <x v="8"/>
    <x v="16"/>
    <x v="1"/>
    <n v="1"/>
    <n v="929"/>
    <n v="929"/>
    <s v="Fri"/>
  </r>
  <r>
    <x v="8"/>
    <x v="17"/>
    <x v="1"/>
    <n v="2"/>
    <n v="1030"/>
    <n v="2060"/>
    <s v="Fri"/>
  </r>
  <r>
    <x v="8"/>
    <x v="18"/>
    <x v="1"/>
    <n v="1"/>
    <n v="1222"/>
    <n v="1222"/>
    <s v="Fri"/>
  </r>
  <r>
    <x v="8"/>
    <x v="19"/>
    <x v="1"/>
    <n v="0"/>
    <n v="649"/>
    <n v="0"/>
    <s v="Fri"/>
  </r>
  <r>
    <x v="8"/>
    <x v="20"/>
    <x v="1"/>
    <n v="19"/>
    <n v="1800"/>
    <n v="34200"/>
    <s v="Fri"/>
  </r>
  <r>
    <x v="8"/>
    <x v="21"/>
    <x v="1"/>
    <n v="8"/>
    <n v="345"/>
    <n v="2760"/>
    <s v="Fri"/>
  </r>
  <r>
    <x v="8"/>
    <x v="22"/>
    <x v="1"/>
    <n v="7"/>
    <n v="350"/>
    <n v="2450"/>
    <s v="Fri"/>
  </r>
  <r>
    <x v="8"/>
    <x v="23"/>
    <x v="1"/>
    <n v="6"/>
    <n v="1575"/>
    <n v="9450"/>
    <s v="Fri"/>
  </r>
  <r>
    <x v="8"/>
    <x v="24"/>
    <x v="1"/>
    <n v="4"/>
    <n v="1045"/>
    <n v="4180"/>
    <s v="Fri"/>
  </r>
  <r>
    <x v="8"/>
    <x v="25"/>
    <x v="1"/>
    <n v="0"/>
    <n v="1186"/>
    <n v="0"/>
    <s v="Fri"/>
  </r>
  <r>
    <x v="8"/>
    <x v="26"/>
    <x v="1"/>
    <n v="1"/>
    <n v="374"/>
    <n v="374"/>
    <s v="Fri"/>
  </r>
  <r>
    <x v="8"/>
    <x v="27"/>
    <x v="1"/>
    <n v="1"/>
    <n v="1500"/>
    <n v="1500"/>
    <s v="Fri"/>
  </r>
  <r>
    <x v="8"/>
    <x v="28"/>
    <x v="1"/>
    <n v="0"/>
    <n v="1800"/>
    <n v="0"/>
    <s v="Fri"/>
  </r>
  <r>
    <x v="8"/>
    <x v="29"/>
    <x v="1"/>
    <n v="0"/>
    <n v="1477"/>
    <n v="0"/>
    <s v="Fri"/>
  </r>
  <r>
    <x v="8"/>
    <x v="0"/>
    <x v="2"/>
    <n v="14"/>
    <n v="210"/>
    <n v="2940"/>
    <s v="Fri"/>
  </r>
  <r>
    <x v="8"/>
    <x v="1"/>
    <x v="2"/>
    <n v="6"/>
    <n v="199"/>
    <n v="1194"/>
    <s v="Fri"/>
  </r>
  <r>
    <x v="8"/>
    <x v="2"/>
    <x v="2"/>
    <n v="6"/>
    <n v="322"/>
    <n v="1932"/>
    <s v="Fri"/>
  </r>
  <r>
    <x v="8"/>
    <x v="3"/>
    <x v="2"/>
    <n v="6"/>
    <n v="161"/>
    <n v="966"/>
    <s v="Fri"/>
  </r>
  <r>
    <x v="8"/>
    <x v="4"/>
    <x v="2"/>
    <n v="4"/>
    <n v="109"/>
    <n v="436"/>
    <s v="Fri"/>
  </r>
  <r>
    <x v="8"/>
    <x v="5"/>
    <x v="2"/>
    <n v="1"/>
    <n v="122"/>
    <n v="122"/>
    <s v="Fri"/>
  </r>
  <r>
    <x v="8"/>
    <x v="6"/>
    <x v="2"/>
    <n v="2"/>
    <n v="96"/>
    <n v="192"/>
    <s v="Fri"/>
  </r>
  <r>
    <x v="8"/>
    <x v="7"/>
    <x v="2"/>
    <n v="1"/>
    <n v="73"/>
    <n v="73"/>
    <s v="Fri"/>
  </r>
  <r>
    <x v="8"/>
    <x v="8"/>
    <x v="2"/>
    <n v="1"/>
    <n v="225"/>
    <n v="225"/>
    <s v="Fri"/>
  </r>
  <r>
    <x v="8"/>
    <x v="9"/>
    <x v="2"/>
    <n v="0"/>
    <n v="559"/>
    <n v="0"/>
    <s v="Fri"/>
  </r>
  <r>
    <x v="8"/>
    <x v="10"/>
    <x v="2"/>
    <n v="30"/>
    <n v="3199"/>
    <n v="95970"/>
    <s v="Fri"/>
  </r>
  <r>
    <x v="8"/>
    <x v="11"/>
    <x v="2"/>
    <n v="11"/>
    <n v="371"/>
    <n v="4081"/>
    <s v="Fri"/>
  </r>
  <r>
    <x v="8"/>
    <x v="12"/>
    <x v="2"/>
    <n v="6"/>
    <n v="2300"/>
    <n v="13800"/>
    <s v="Fri"/>
  </r>
  <r>
    <x v="8"/>
    <x v="13"/>
    <x v="2"/>
    <n v="3"/>
    <n v="499"/>
    <n v="1497"/>
    <s v="Fri"/>
  </r>
  <r>
    <x v="8"/>
    <x v="14"/>
    <x v="2"/>
    <n v="7"/>
    <n v="299"/>
    <n v="2093"/>
    <s v="Fri"/>
  </r>
  <r>
    <x v="8"/>
    <x v="15"/>
    <x v="2"/>
    <n v="1"/>
    <n v="901"/>
    <n v="901"/>
    <s v="Fri"/>
  </r>
  <r>
    <x v="8"/>
    <x v="16"/>
    <x v="2"/>
    <n v="3"/>
    <n v="929"/>
    <n v="2787"/>
    <s v="Fri"/>
  </r>
  <r>
    <x v="8"/>
    <x v="17"/>
    <x v="2"/>
    <n v="1"/>
    <n v="1030"/>
    <n v="1030"/>
    <s v="Fri"/>
  </r>
  <r>
    <x v="8"/>
    <x v="18"/>
    <x v="2"/>
    <n v="1"/>
    <n v="1222"/>
    <n v="1222"/>
    <s v="Fri"/>
  </r>
  <r>
    <x v="8"/>
    <x v="19"/>
    <x v="2"/>
    <n v="0"/>
    <n v="649"/>
    <n v="0"/>
    <s v="Fri"/>
  </r>
  <r>
    <x v="8"/>
    <x v="20"/>
    <x v="2"/>
    <n v="15"/>
    <n v="1800"/>
    <n v="27000"/>
    <s v="Fri"/>
  </r>
  <r>
    <x v="8"/>
    <x v="21"/>
    <x v="2"/>
    <n v="5"/>
    <n v="345"/>
    <n v="1725"/>
    <s v="Fri"/>
  </r>
  <r>
    <x v="8"/>
    <x v="22"/>
    <x v="2"/>
    <n v="4"/>
    <n v="350"/>
    <n v="1400"/>
    <s v="Fri"/>
  </r>
  <r>
    <x v="8"/>
    <x v="23"/>
    <x v="2"/>
    <n v="1"/>
    <n v="1575"/>
    <n v="1575"/>
    <s v="Fri"/>
  </r>
  <r>
    <x v="8"/>
    <x v="24"/>
    <x v="2"/>
    <n v="4"/>
    <n v="1045"/>
    <n v="4180"/>
    <s v="Fri"/>
  </r>
  <r>
    <x v="8"/>
    <x v="25"/>
    <x v="2"/>
    <n v="3"/>
    <n v="1186"/>
    <n v="3558"/>
    <s v="Fri"/>
  </r>
  <r>
    <x v="8"/>
    <x v="26"/>
    <x v="2"/>
    <n v="2"/>
    <n v="374"/>
    <n v="748"/>
    <s v="Fri"/>
  </r>
  <r>
    <x v="8"/>
    <x v="27"/>
    <x v="2"/>
    <n v="1"/>
    <n v="1500"/>
    <n v="1500"/>
    <s v="Fri"/>
  </r>
  <r>
    <x v="8"/>
    <x v="28"/>
    <x v="2"/>
    <n v="1"/>
    <n v="1800"/>
    <n v="1800"/>
    <s v="Fri"/>
  </r>
  <r>
    <x v="8"/>
    <x v="29"/>
    <x v="2"/>
    <n v="0"/>
    <n v="1477"/>
    <n v="0"/>
    <s v="Fri"/>
  </r>
  <r>
    <x v="9"/>
    <x v="0"/>
    <x v="0"/>
    <n v="33"/>
    <n v="210"/>
    <n v="6930"/>
    <s v="Sat"/>
  </r>
  <r>
    <x v="9"/>
    <x v="1"/>
    <x v="0"/>
    <n v="18"/>
    <n v="199"/>
    <n v="3582"/>
    <s v="Sat"/>
  </r>
  <r>
    <x v="9"/>
    <x v="2"/>
    <x v="0"/>
    <n v="11"/>
    <n v="322"/>
    <n v="3542"/>
    <s v="Sat"/>
  </r>
  <r>
    <x v="9"/>
    <x v="3"/>
    <x v="0"/>
    <n v="8"/>
    <n v="161"/>
    <n v="1288"/>
    <s v="Sat"/>
  </r>
  <r>
    <x v="9"/>
    <x v="4"/>
    <x v="0"/>
    <n v="7"/>
    <n v="109"/>
    <n v="763"/>
    <s v="Sat"/>
  </r>
  <r>
    <x v="9"/>
    <x v="5"/>
    <x v="0"/>
    <n v="4"/>
    <n v="122"/>
    <n v="488"/>
    <s v="Sat"/>
  </r>
  <r>
    <x v="9"/>
    <x v="6"/>
    <x v="0"/>
    <n v="3"/>
    <n v="96"/>
    <n v="288"/>
    <s v="Sat"/>
  </r>
  <r>
    <x v="9"/>
    <x v="7"/>
    <x v="0"/>
    <n v="0"/>
    <n v="73"/>
    <n v="0"/>
    <s v="Sat"/>
  </r>
  <r>
    <x v="9"/>
    <x v="8"/>
    <x v="0"/>
    <n v="0"/>
    <n v="225"/>
    <n v="0"/>
    <s v="Sat"/>
  </r>
  <r>
    <x v="9"/>
    <x v="9"/>
    <x v="0"/>
    <n v="0"/>
    <n v="559"/>
    <n v="0"/>
    <s v="Sat"/>
  </r>
  <r>
    <x v="9"/>
    <x v="10"/>
    <x v="0"/>
    <n v="28"/>
    <n v="3199"/>
    <n v="89572"/>
    <s v="Sat"/>
  </r>
  <r>
    <x v="9"/>
    <x v="11"/>
    <x v="0"/>
    <n v="14"/>
    <n v="371"/>
    <n v="5194"/>
    <s v="Sat"/>
  </r>
  <r>
    <x v="9"/>
    <x v="12"/>
    <x v="0"/>
    <n v="9"/>
    <n v="2300"/>
    <n v="20700"/>
    <s v="Sat"/>
  </r>
  <r>
    <x v="9"/>
    <x v="13"/>
    <x v="0"/>
    <n v="9"/>
    <n v="499"/>
    <n v="4491"/>
    <s v="Sat"/>
  </r>
  <r>
    <x v="9"/>
    <x v="14"/>
    <x v="0"/>
    <n v="5"/>
    <n v="299"/>
    <n v="1495"/>
    <s v="Sat"/>
  </r>
  <r>
    <x v="9"/>
    <x v="15"/>
    <x v="0"/>
    <n v="2"/>
    <n v="901"/>
    <n v="1802"/>
    <s v="Sat"/>
  </r>
  <r>
    <x v="9"/>
    <x v="16"/>
    <x v="0"/>
    <n v="3"/>
    <n v="929"/>
    <n v="2787"/>
    <s v="Sat"/>
  </r>
  <r>
    <x v="9"/>
    <x v="17"/>
    <x v="0"/>
    <n v="0"/>
    <n v="1030"/>
    <n v="0"/>
    <s v="Sat"/>
  </r>
  <r>
    <x v="9"/>
    <x v="18"/>
    <x v="0"/>
    <n v="0"/>
    <n v="1222"/>
    <n v="0"/>
    <s v="Sat"/>
  </r>
  <r>
    <x v="9"/>
    <x v="19"/>
    <x v="0"/>
    <n v="1"/>
    <n v="649"/>
    <n v="649"/>
    <s v="Sat"/>
  </r>
  <r>
    <x v="9"/>
    <x v="20"/>
    <x v="0"/>
    <n v="36"/>
    <n v="1800"/>
    <n v="64800"/>
    <s v="Sat"/>
  </r>
  <r>
    <x v="9"/>
    <x v="21"/>
    <x v="0"/>
    <n v="17"/>
    <n v="345"/>
    <n v="5865"/>
    <s v="Sat"/>
  </r>
  <r>
    <x v="9"/>
    <x v="22"/>
    <x v="0"/>
    <n v="12"/>
    <n v="350"/>
    <n v="4200"/>
    <s v="Sat"/>
  </r>
  <r>
    <x v="9"/>
    <x v="23"/>
    <x v="0"/>
    <n v="7"/>
    <n v="1575"/>
    <n v="11025"/>
    <s v="Sat"/>
  </r>
  <r>
    <x v="9"/>
    <x v="24"/>
    <x v="0"/>
    <n v="6"/>
    <n v="1045"/>
    <n v="6270"/>
    <s v="Sat"/>
  </r>
  <r>
    <x v="9"/>
    <x v="25"/>
    <x v="0"/>
    <n v="3"/>
    <n v="1186"/>
    <n v="3558"/>
    <s v="Sat"/>
  </r>
  <r>
    <x v="9"/>
    <x v="26"/>
    <x v="0"/>
    <n v="2"/>
    <n v="374"/>
    <n v="748"/>
    <s v="Sat"/>
  </r>
  <r>
    <x v="9"/>
    <x v="27"/>
    <x v="0"/>
    <n v="0"/>
    <n v="1500"/>
    <n v="0"/>
    <s v="Sat"/>
  </r>
  <r>
    <x v="9"/>
    <x v="28"/>
    <x v="0"/>
    <n v="2"/>
    <n v="1800"/>
    <n v="3600"/>
    <s v="Sat"/>
  </r>
  <r>
    <x v="9"/>
    <x v="29"/>
    <x v="0"/>
    <n v="2"/>
    <n v="1477"/>
    <n v="2954"/>
    <s v="Sat"/>
  </r>
  <r>
    <x v="9"/>
    <x v="0"/>
    <x v="1"/>
    <n v="21"/>
    <n v="210"/>
    <n v="4410"/>
    <s v="Sat"/>
  </r>
  <r>
    <x v="9"/>
    <x v="1"/>
    <x v="1"/>
    <n v="9"/>
    <n v="199"/>
    <n v="1791"/>
    <s v="Sat"/>
  </r>
  <r>
    <x v="9"/>
    <x v="2"/>
    <x v="1"/>
    <n v="9"/>
    <n v="322"/>
    <n v="2898"/>
    <s v="Sat"/>
  </r>
  <r>
    <x v="9"/>
    <x v="3"/>
    <x v="1"/>
    <n v="5"/>
    <n v="161"/>
    <n v="805"/>
    <s v="Sat"/>
  </r>
  <r>
    <x v="9"/>
    <x v="4"/>
    <x v="1"/>
    <n v="4"/>
    <n v="109"/>
    <n v="436"/>
    <s v="Sat"/>
  </r>
  <r>
    <x v="9"/>
    <x v="5"/>
    <x v="1"/>
    <n v="3"/>
    <n v="122"/>
    <n v="366"/>
    <s v="Sat"/>
  </r>
  <r>
    <x v="9"/>
    <x v="6"/>
    <x v="1"/>
    <n v="2"/>
    <n v="96"/>
    <n v="192"/>
    <s v="Sat"/>
  </r>
  <r>
    <x v="9"/>
    <x v="7"/>
    <x v="1"/>
    <n v="0"/>
    <n v="73"/>
    <n v="0"/>
    <s v="Sat"/>
  </r>
  <r>
    <x v="9"/>
    <x v="8"/>
    <x v="1"/>
    <n v="0"/>
    <n v="225"/>
    <n v="0"/>
    <s v="Sat"/>
  </r>
  <r>
    <x v="9"/>
    <x v="9"/>
    <x v="1"/>
    <n v="0"/>
    <n v="559"/>
    <n v="0"/>
    <s v="Sat"/>
  </r>
  <r>
    <x v="9"/>
    <x v="10"/>
    <x v="1"/>
    <n v="13"/>
    <n v="3199"/>
    <n v="41587"/>
    <s v="Sat"/>
  </r>
  <r>
    <x v="9"/>
    <x v="11"/>
    <x v="1"/>
    <n v="3"/>
    <n v="371"/>
    <n v="1113"/>
    <s v="Sat"/>
  </r>
  <r>
    <x v="9"/>
    <x v="12"/>
    <x v="1"/>
    <n v="1"/>
    <n v="2300"/>
    <n v="2300"/>
    <s v="Sat"/>
  </r>
  <r>
    <x v="9"/>
    <x v="13"/>
    <x v="1"/>
    <n v="6"/>
    <n v="499"/>
    <n v="2994"/>
    <s v="Sat"/>
  </r>
  <r>
    <x v="9"/>
    <x v="14"/>
    <x v="1"/>
    <n v="3"/>
    <n v="299"/>
    <n v="897"/>
    <s v="Sat"/>
  </r>
  <r>
    <x v="9"/>
    <x v="15"/>
    <x v="1"/>
    <n v="1"/>
    <n v="901"/>
    <n v="901"/>
    <s v="Sat"/>
  </r>
  <r>
    <x v="9"/>
    <x v="16"/>
    <x v="1"/>
    <n v="3"/>
    <n v="929"/>
    <n v="2787"/>
    <s v="Sat"/>
  </r>
  <r>
    <x v="9"/>
    <x v="17"/>
    <x v="1"/>
    <n v="0"/>
    <n v="1030"/>
    <n v="0"/>
    <s v="Sat"/>
  </r>
  <r>
    <x v="9"/>
    <x v="18"/>
    <x v="1"/>
    <n v="0"/>
    <n v="1222"/>
    <n v="0"/>
    <s v="Sat"/>
  </r>
  <r>
    <x v="9"/>
    <x v="19"/>
    <x v="1"/>
    <n v="2"/>
    <n v="649"/>
    <n v="1298"/>
    <s v="Sat"/>
  </r>
  <r>
    <x v="9"/>
    <x v="20"/>
    <x v="1"/>
    <n v="24"/>
    <n v="1800"/>
    <n v="43200"/>
    <s v="Sat"/>
  </r>
  <r>
    <x v="9"/>
    <x v="21"/>
    <x v="1"/>
    <n v="11"/>
    <n v="345"/>
    <n v="3795"/>
    <s v="Sat"/>
  </r>
  <r>
    <x v="9"/>
    <x v="22"/>
    <x v="1"/>
    <n v="7"/>
    <n v="350"/>
    <n v="2450"/>
    <s v="Sat"/>
  </r>
  <r>
    <x v="9"/>
    <x v="23"/>
    <x v="1"/>
    <n v="5"/>
    <n v="1575"/>
    <n v="7875"/>
    <s v="Sat"/>
  </r>
  <r>
    <x v="9"/>
    <x v="24"/>
    <x v="1"/>
    <n v="5"/>
    <n v="1045"/>
    <n v="5225"/>
    <s v="Sat"/>
  </r>
  <r>
    <x v="9"/>
    <x v="25"/>
    <x v="1"/>
    <n v="0"/>
    <n v="1186"/>
    <n v="0"/>
    <s v="Sat"/>
  </r>
  <r>
    <x v="9"/>
    <x v="26"/>
    <x v="1"/>
    <n v="1"/>
    <n v="374"/>
    <n v="374"/>
    <s v="Sat"/>
  </r>
  <r>
    <x v="9"/>
    <x v="27"/>
    <x v="1"/>
    <n v="0"/>
    <n v="1500"/>
    <n v="0"/>
    <s v="Sat"/>
  </r>
  <r>
    <x v="9"/>
    <x v="28"/>
    <x v="1"/>
    <n v="0"/>
    <n v="1800"/>
    <n v="0"/>
    <s v="Sat"/>
  </r>
  <r>
    <x v="9"/>
    <x v="29"/>
    <x v="1"/>
    <n v="2"/>
    <n v="1477"/>
    <n v="2954"/>
    <s v="Sat"/>
  </r>
  <r>
    <x v="9"/>
    <x v="0"/>
    <x v="2"/>
    <n v="2"/>
    <n v="210"/>
    <n v="420"/>
    <s v="Sat"/>
  </r>
  <r>
    <x v="9"/>
    <x v="1"/>
    <x v="2"/>
    <n v="5"/>
    <n v="199"/>
    <n v="995"/>
    <s v="Sat"/>
  </r>
  <r>
    <x v="9"/>
    <x v="2"/>
    <x v="2"/>
    <n v="3"/>
    <n v="322"/>
    <n v="966"/>
    <s v="Sat"/>
  </r>
  <r>
    <x v="9"/>
    <x v="3"/>
    <x v="2"/>
    <n v="4"/>
    <n v="161"/>
    <n v="644"/>
    <s v="Sat"/>
  </r>
  <r>
    <x v="9"/>
    <x v="4"/>
    <x v="2"/>
    <n v="3"/>
    <n v="109"/>
    <n v="327"/>
    <s v="Sat"/>
  </r>
  <r>
    <x v="9"/>
    <x v="5"/>
    <x v="2"/>
    <n v="3"/>
    <n v="122"/>
    <n v="366"/>
    <s v="Sat"/>
  </r>
  <r>
    <x v="9"/>
    <x v="6"/>
    <x v="2"/>
    <n v="1"/>
    <n v="96"/>
    <n v="96"/>
    <s v="Sat"/>
  </r>
  <r>
    <x v="9"/>
    <x v="7"/>
    <x v="2"/>
    <n v="1"/>
    <n v="73"/>
    <n v="73"/>
    <s v="Sat"/>
  </r>
  <r>
    <x v="9"/>
    <x v="8"/>
    <x v="2"/>
    <n v="2"/>
    <n v="225"/>
    <n v="450"/>
    <s v="Sat"/>
  </r>
  <r>
    <x v="9"/>
    <x v="9"/>
    <x v="2"/>
    <n v="1"/>
    <n v="559"/>
    <n v="559"/>
    <s v="Sat"/>
  </r>
  <r>
    <x v="9"/>
    <x v="10"/>
    <x v="2"/>
    <n v="23"/>
    <n v="3199"/>
    <n v="73577"/>
    <s v="Sat"/>
  </r>
  <r>
    <x v="9"/>
    <x v="11"/>
    <x v="2"/>
    <n v="10"/>
    <n v="371"/>
    <n v="3710"/>
    <s v="Sat"/>
  </r>
  <r>
    <x v="9"/>
    <x v="12"/>
    <x v="2"/>
    <n v="11"/>
    <n v="2300"/>
    <n v="25300"/>
    <s v="Sat"/>
  </r>
  <r>
    <x v="9"/>
    <x v="13"/>
    <x v="2"/>
    <n v="3"/>
    <n v="499"/>
    <n v="1497"/>
    <s v="Sat"/>
  </r>
  <r>
    <x v="9"/>
    <x v="14"/>
    <x v="2"/>
    <n v="2"/>
    <n v="299"/>
    <n v="598"/>
    <s v="Sat"/>
  </r>
  <r>
    <x v="9"/>
    <x v="15"/>
    <x v="2"/>
    <n v="2"/>
    <n v="901"/>
    <n v="1802"/>
    <s v="Sat"/>
  </r>
  <r>
    <x v="9"/>
    <x v="16"/>
    <x v="2"/>
    <n v="2"/>
    <n v="929"/>
    <n v="1858"/>
    <s v="Sat"/>
  </r>
  <r>
    <x v="9"/>
    <x v="17"/>
    <x v="2"/>
    <n v="2"/>
    <n v="1030"/>
    <n v="2060"/>
    <s v="Sat"/>
  </r>
  <r>
    <x v="9"/>
    <x v="18"/>
    <x v="2"/>
    <n v="1"/>
    <n v="1222"/>
    <n v="1222"/>
    <s v="Sat"/>
  </r>
  <r>
    <x v="9"/>
    <x v="19"/>
    <x v="2"/>
    <n v="1"/>
    <n v="649"/>
    <n v="649"/>
    <s v="Sat"/>
  </r>
  <r>
    <x v="9"/>
    <x v="20"/>
    <x v="2"/>
    <n v="4"/>
    <n v="1800"/>
    <n v="7200"/>
    <s v="Sat"/>
  </r>
  <r>
    <x v="9"/>
    <x v="21"/>
    <x v="2"/>
    <n v="3"/>
    <n v="345"/>
    <n v="1035"/>
    <s v="Sat"/>
  </r>
  <r>
    <x v="9"/>
    <x v="22"/>
    <x v="2"/>
    <n v="4"/>
    <n v="350"/>
    <n v="1400"/>
    <s v="Sat"/>
  </r>
  <r>
    <x v="9"/>
    <x v="23"/>
    <x v="2"/>
    <n v="3"/>
    <n v="1575"/>
    <n v="4725"/>
    <s v="Sat"/>
  </r>
  <r>
    <x v="9"/>
    <x v="24"/>
    <x v="2"/>
    <n v="4"/>
    <n v="1045"/>
    <n v="4180"/>
    <s v="Sat"/>
  </r>
  <r>
    <x v="9"/>
    <x v="25"/>
    <x v="2"/>
    <n v="4"/>
    <n v="1186"/>
    <n v="4744"/>
    <s v="Sat"/>
  </r>
  <r>
    <x v="9"/>
    <x v="26"/>
    <x v="2"/>
    <n v="4"/>
    <n v="374"/>
    <n v="1496"/>
    <s v="Sat"/>
  </r>
  <r>
    <x v="9"/>
    <x v="27"/>
    <x v="2"/>
    <n v="0"/>
    <n v="1500"/>
    <n v="0"/>
    <s v="Sat"/>
  </r>
  <r>
    <x v="9"/>
    <x v="28"/>
    <x v="2"/>
    <n v="2"/>
    <n v="1800"/>
    <n v="3600"/>
    <s v="Sat"/>
  </r>
  <r>
    <x v="9"/>
    <x v="29"/>
    <x v="2"/>
    <n v="1"/>
    <n v="1477"/>
    <n v="1477"/>
    <s v="Sat"/>
  </r>
  <r>
    <x v="10"/>
    <x v="0"/>
    <x v="0"/>
    <n v="25"/>
    <n v="210"/>
    <n v="5250"/>
    <s v="Sun"/>
  </r>
  <r>
    <x v="10"/>
    <x v="1"/>
    <x v="0"/>
    <n v="16"/>
    <n v="199"/>
    <n v="3184"/>
    <s v="Sun"/>
  </r>
  <r>
    <x v="10"/>
    <x v="2"/>
    <x v="0"/>
    <n v="11"/>
    <n v="322"/>
    <n v="3542"/>
    <s v="Sun"/>
  </r>
  <r>
    <x v="10"/>
    <x v="3"/>
    <x v="0"/>
    <n v="9"/>
    <n v="161"/>
    <n v="1449"/>
    <s v="Sun"/>
  </r>
  <r>
    <x v="10"/>
    <x v="4"/>
    <x v="0"/>
    <n v="5"/>
    <n v="109"/>
    <n v="545"/>
    <s v="Sun"/>
  </r>
  <r>
    <x v="10"/>
    <x v="5"/>
    <x v="0"/>
    <n v="5"/>
    <n v="122"/>
    <n v="610"/>
    <s v="Sun"/>
  </r>
  <r>
    <x v="10"/>
    <x v="6"/>
    <x v="0"/>
    <n v="5"/>
    <n v="96"/>
    <n v="480"/>
    <s v="Sun"/>
  </r>
  <r>
    <x v="10"/>
    <x v="7"/>
    <x v="0"/>
    <n v="0"/>
    <n v="73"/>
    <n v="0"/>
    <s v="Sun"/>
  </r>
  <r>
    <x v="10"/>
    <x v="8"/>
    <x v="0"/>
    <n v="1"/>
    <n v="225"/>
    <n v="225"/>
    <s v="Sun"/>
  </r>
  <r>
    <x v="10"/>
    <x v="9"/>
    <x v="0"/>
    <n v="0"/>
    <n v="559"/>
    <n v="0"/>
    <s v="Sun"/>
  </r>
  <r>
    <x v="10"/>
    <x v="10"/>
    <x v="0"/>
    <n v="27"/>
    <n v="3199"/>
    <n v="86373"/>
    <s v="Sun"/>
  </r>
  <r>
    <x v="10"/>
    <x v="11"/>
    <x v="0"/>
    <n v="15"/>
    <n v="371"/>
    <n v="5565"/>
    <s v="Sun"/>
  </r>
  <r>
    <x v="10"/>
    <x v="12"/>
    <x v="0"/>
    <n v="13"/>
    <n v="2300"/>
    <n v="29900"/>
    <s v="Sun"/>
  </r>
  <r>
    <x v="10"/>
    <x v="13"/>
    <x v="0"/>
    <n v="10"/>
    <n v="499"/>
    <n v="4990"/>
    <s v="Sun"/>
  </r>
  <r>
    <x v="10"/>
    <x v="14"/>
    <x v="0"/>
    <n v="5"/>
    <n v="299"/>
    <n v="1495"/>
    <s v="Sun"/>
  </r>
  <r>
    <x v="10"/>
    <x v="15"/>
    <x v="0"/>
    <n v="2"/>
    <n v="901"/>
    <n v="1802"/>
    <s v="Sun"/>
  </r>
  <r>
    <x v="10"/>
    <x v="16"/>
    <x v="0"/>
    <n v="5"/>
    <n v="929"/>
    <n v="4645"/>
    <s v="Sun"/>
  </r>
  <r>
    <x v="10"/>
    <x v="17"/>
    <x v="0"/>
    <n v="0"/>
    <n v="1030"/>
    <n v="0"/>
    <s v="Sun"/>
  </r>
  <r>
    <x v="10"/>
    <x v="18"/>
    <x v="0"/>
    <n v="1"/>
    <n v="1222"/>
    <n v="1222"/>
    <s v="Sun"/>
  </r>
  <r>
    <x v="10"/>
    <x v="19"/>
    <x v="0"/>
    <n v="0"/>
    <n v="649"/>
    <n v="0"/>
    <s v="Sun"/>
  </r>
  <r>
    <x v="10"/>
    <x v="20"/>
    <x v="0"/>
    <n v="31"/>
    <n v="1800"/>
    <n v="55800"/>
    <s v="Sun"/>
  </r>
  <r>
    <x v="10"/>
    <x v="21"/>
    <x v="0"/>
    <n v="11"/>
    <n v="345"/>
    <n v="3795"/>
    <s v="Sun"/>
  </r>
  <r>
    <x v="10"/>
    <x v="22"/>
    <x v="0"/>
    <n v="10"/>
    <n v="350"/>
    <n v="3500"/>
    <s v="Sun"/>
  </r>
  <r>
    <x v="10"/>
    <x v="23"/>
    <x v="0"/>
    <n v="7"/>
    <n v="1575"/>
    <n v="11025"/>
    <s v="Sun"/>
  </r>
  <r>
    <x v="10"/>
    <x v="24"/>
    <x v="0"/>
    <n v="7"/>
    <n v="1045"/>
    <n v="7315"/>
    <s v="Sun"/>
  </r>
  <r>
    <x v="10"/>
    <x v="25"/>
    <x v="0"/>
    <n v="5"/>
    <n v="1186"/>
    <n v="5930"/>
    <s v="Sun"/>
  </r>
  <r>
    <x v="10"/>
    <x v="26"/>
    <x v="0"/>
    <n v="2"/>
    <n v="374"/>
    <n v="748"/>
    <s v="Sun"/>
  </r>
  <r>
    <x v="10"/>
    <x v="27"/>
    <x v="0"/>
    <n v="1"/>
    <n v="1500"/>
    <n v="1500"/>
    <s v="Sun"/>
  </r>
  <r>
    <x v="10"/>
    <x v="28"/>
    <x v="0"/>
    <n v="0"/>
    <n v="1800"/>
    <n v="0"/>
    <s v="Sun"/>
  </r>
  <r>
    <x v="10"/>
    <x v="29"/>
    <x v="0"/>
    <n v="0"/>
    <n v="1477"/>
    <n v="0"/>
    <s v="Sun"/>
  </r>
  <r>
    <x v="10"/>
    <x v="0"/>
    <x v="1"/>
    <n v="23"/>
    <n v="210"/>
    <n v="4830"/>
    <s v="Sun"/>
  </r>
  <r>
    <x v="10"/>
    <x v="1"/>
    <x v="1"/>
    <n v="13"/>
    <n v="199"/>
    <n v="2587"/>
    <s v="Sun"/>
  </r>
  <r>
    <x v="10"/>
    <x v="2"/>
    <x v="1"/>
    <n v="8"/>
    <n v="322"/>
    <n v="2576"/>
    <s v="Sun"/>
  </r>
  <r>
    <x v="10"/>
    <x v="3"/>
    <x v="1"/>
    <n v="5"/>
    <n v="161"/>
    <n v="805"/>
    <s v="Sun"/>
  </r>
  <r>
    <x v="10"/>
    <x v="4"/>
    <x v="1"/>
    <n v="4"/>
    <n v="109"/>
    <n v="436"/>
    <s v="Sun"/>
  </r>
  <r>
    <x v="10"/>
    <x v="5"/>
    <x v="1"/>
    <n v="3"/>
    <n v="122"/>
    <n v="366"/>
    <s v="Sun"/>
  </r>
  <r>
    <x v="10"/>
    <x v="6"/>
    <x v="1"/>
    <n v="3"/>
    <n v="96"/>
    <n v="288"/>
    <s v="Sun"/>
  </r>
  <r>
    <x v="10"/>
    <x v="7"/>
    <x v="1"/>
    <n v="0"/>
    <n v="73"/>
    <n v="0"/>
    <s v="Sun"/>
  </r>
  <r>
    <x v="10"/>
    <x v="8"/>
    <x v="1"/>
    <n v="1"/>
    <n v="225"/>
    <n v="225"/>
    <s v="Sun"/>
  </r>
  <r>
    <x v="10"/>
    <x v="9"/>
    <x v="1"/>
    <n v="0"/>
    <n v="559"/>
    <n v="0"/>
    <s v="Sun"/>
  </r>
  <r>
    <x v="10"/>
    <x v="10"/>
    <x v="1"/>
    <n v="9"/>
    <n v="3199"/>
    <n v="28791"/>
    <s v="Sun"/>
  </r>
  <r>
    <x v="10"/>
    <x v="11"/>
    <x v="1"/>
    <n v="13"/>
    <n v="371"/>
    <n v="4823"/>
    <s v="Sun"/>
  </r>
  <r>
    <x v="10"/>
    <x v="12"/>
    <x v="1"/>
    <n v="1"/>
    <n v="2300"/>
    <n v="2300"/>
    <s v="Sun"/>
  </r>
  <r>
    <x v="10"/>
    <x v="13"/>
    <x v="1"/>
    <n v="4"/>
    <n v="499"/>
    <n v="1996"/>
    <s v="Sun"/>
  </r>
  <r>
    <x v="10"/>
    <x v="14"/>
    <x v="1"/>
    <n v="3"/>
    <n v="299"/>
    <n v="897"/>
    <s v="Sun"/>
  </r>
  <r>
    <x v="10"/>
    <x v="15"/>
    <x v="1"/>
    <n v="3"/>
    <n v="901"/>
    <n v="2703"/>
    <s v="Sun"/>
  </r>
  <r>
    <x v="10"/>
    <x v="16"/>
    <x v="1"/>
    <n v="2"/>
    <n v="929"/>
    <n v="1858"/>
    <s v="Sun"/>
  </r>
  <r>
    <x v="10"/>
    <x v="17"/>
    <x v="1"/>
    <n v="0"/>
    <n v="1030"/>
    <n v="0"/>
    <s v="Sun"/>
  </r>
  <r>
    <x v="10"/>
    <x v="18"/>
    <x v="1"/>
    <n v="0"/>
    <n v="1222"/>
    <n v="0"/>
    <s v="Sun"/>
  </r>
  <r>
    <x v="10"/>
    <x v="19"/>
    <x v="1"/>
    <n v="0"/>
    <n v="649"/>
    <n v="0"/>
    <s v="Sun"/>
  </r>
  <r>
    <x v="10"/>
    <x v="20"/>
    <x v="1"/>
    <n v="20"/>
    <n v="1800"/>
    <n v="36000"/>
    <s v="Sun"/>
  </r>
  <r>
    <x v="10"/>
    <x v="21"/>
    <x v="1"/>
    <n v="8"/>
    <n v="345"/>
    <n v="2760"/>
    <s v="Sun"/>
  </r>
  <r>
    <x v="10"/>
    <x v="22"/>
    <x v="1"/>
    <n v="6"/>
    <n v="350"/>
    <n v="2100"/>
    <s v="Sun"/>
  </r>
  <r>
    <x v="10"/>
    <x v="23"/>
    <x v="1"/>
    <n v="5"/>
    <n v="1575"/>
    <n v="7875"/>
    <s v="Sun"/>
  </r>
  <r>
    <x v="10"/>
    <x v="24"/>
    <x v="1"/>
    <n v="2"/>
    <n v="1045"/>
    <n v="2090"/>
    <s v="Sun"/>
  </r>
  <r>
    <x v="10"/>
    <x v="25"/>
    <x v="1"/>
    <n v="0"/>
    <n v="1186"/>
    <n v="0"/>
    <s v="Sun"/>
  </r>
  <r>
    <x v="10"/>
    <x v="26"/>
    <x v="1"/>
    <n v="0"/>
    <n v="374"/>
    <n v="0"/>
    <s v="Sun"/>
  </r>
  <r>
    <x v="10"/>
    <x v="27"/>
    <x v="1"/>
    <n v="0"/>
    <n v="1500"/>
    <n v="0"/>
    <s v="Sun"/>
  </r>
  <r>
    <x v="10"/>
    <x v="28"/>
    <x v="1"/>
    <n v="0"/>
    <n v="1800"/>
    <n v="0"/>
    <s v="Sun"/>
  </r>
  <r>
    <x v="10"/>
    <x v="29"/>
    <x v="1"/>
    <n v="0"/>
    <n v="1477"/>
    <n v="0"/>
    <s v="Sun"/>
  </r>
  <r>
    <x v="10"/>
    <x v="0"/>
    <x v="2"/>
    <n v="11"/>
    <n v="210"/>
    <n v="2310"/>
    <s v="Sun"/>
  </r>
  <r>
    <x v="10"/>
    <x v="1"/>
    <x v="2"/>
    <n v="6"/>
    <n v="199"/>
    <n v="1194"/>
    <s v="Sun"/>
  </r>
  <r>
    <x v="10"/>
    <x v="2"/>
    <x v="2"/>
    <n v="5"/>
    <n v="322"/>
    <n v="1610"/>
    <s v="Sun"/>
  </r>
  <r>
    <x v="10"/>
    <x v="3"/>
    <x v="2"/>
    <n v="3"/>
    <n v="161"/>
    <n v="483"/>
    <s v="Sun"/>
  </r>
  <r>
    <x v="10"/>
    <x v="4"/>
    <x v="2"/>
    <n v="3"/>
    <n v="109"/>
    <n v="327"/>
    <s v="Sun"/>
  </r>
  <r>
    <x v="10"/>
    <x v="5"/>
    <x v="2"/>
    <n v="2"/>
    <n v="122"/>
    <n v="244"/>
    <s v="Sun"/>
  </r>
  <r>
    <x v="10"/>
    <x v="6"/>
    <x v="2"/>
    <n v="2"/>
    <n v="96"/>
    <n v="192"/>
    <s v="Sun"/>
  </r>
  <r>
    <x v="10"/>
    <x v="7"/>
    <x v="2"/>
    <n v="0"/>
    <n v="73"/>
    <n v="0"/>
    <s v="Sun"/>
  </r>
  <r>
    <x v="10"/>
    <x v="8"/>
    <x v="2"/>
    <n v="2"/>
    <n v="225"/>
    <n v="450"/>
    <s v="Sun"/>
  </r>
  <r>
    <x v="10"/>
    <x v="9"/>
    <x v="2"/>
    <n v="2"/>
    <n v="559"/>
    <n v="1118"/>
    <s v="Sun"/>
  </r>
  <r>
    <x v="10"/>
    <x v="10"/>
    <x v="2"/>
    <n v="21"/>
    <n v="3199"/>
    <n v="67179"/>
    <s v="Sun"/>
  </r>
  <r>
    <x v="10"/>
    <x v="11"/>
    <x v="2"/>
    <n v="1"/>
    <n v="371"/>
    <n v="371"/>
    <s v="Sun"/>
  </r>
  <r>
    <x v="10"/>
    <x v="12"/>
    <x v="2"/>
    <n v="10"/>
    <n v="2300"/>
    <n v="23000"/>
    <s v="Sun"/>
  </r>
  <r>
    <x v="10"/>
    <x v="13"/>
    <x v="2"/>
    <n v="5"/>
    <n v="499"/>
    <n v="2495"/>
    <s v="Sun"/>
  </r>
  <r>
    <x v="10"/>
    <x v="14"/>
    <x v="2"/>
    <n v="3"/>
    <n v="299"/>
    <n v="897"/>
    <s v="Sun"/>
  </r>
  <r>
    <x v="10"/>
    <x v="15"/>
    <x v="2"/>
    <n v="1"/>
    <n v="901"/>
    <n v="901"/>
    <s v="Sun"/>
  </r>
  <r>
    <x v="10"/>
    <x v="16"/>
    <x v="2"/>
    <n v="3"/>
    <n v="929"/>
    <n v="2787"/>
    <s v="Sun"/>
  </r>
  <r>
    <x v="10"/>
    <x v="17"/>
    <x v="2"/>
    <n v="1"/>
    <n v="1030"/>
    <n v="1030"/>
    <s v="Sun"/>
  </r>
  <r>
    <x v="10"/>
    <x v="18"/>
    <x v="2"/>
    <n v="1"/>
    <n v="1222"/>
    <n v="1222"/>
    <s v="Sun"/>
  </r>
  <r>
    <x v="10"/>
    <x v="19"/>
    <x v="2"/>
    <n v="2"/>
    <n v="649"/>
    <n v="1298"/>
    <s v="Sun"/>
  </r>
  <r>
    <x v="10"/>
    <x v="20"/>
    <x v="2"/>
    <n v="12"/>
    <n v="1800"/>
    <n v="21600"/>
    <s v="Sun"/>
  </r>
  <r>
    <x v="10"/>
    <x v="21"/>
    <x v="2"/>
    <n v="8"/>
    <n v="345"/>
    <n v="2760"/>
    <s v="Sun"/>
  </r>
  <r>
    <x v="10"/>
    <x v="22"/>
    <x v="2"/>
    <n v="4"/>
    <n v="350"/>
    <n v="1400"/>
    <s v="Sun"/>
  </r>
  <r>
    <x v="10"/>
    <x v="23"/>
    <x v="2"/>
    <n v="3"/>
    <n v="1575"/>
    <n v="4725"/>
    <s v="Sun"/>
  </r>
  <r>
    <x v="10"/>
    <x v="24"/>
    <x v="2"/>
    <n v="5"/>
    <n v="1045"/>
    <n v="5225"/>
    <s v="Sun"/>
  </r>
  <r>
    <x v="10"/>
    <x v="25"/>
    <x v="2"/>
    <n v="5"/>
    <n v="1186"/>
    <n v="5930"/>
    <s v="Sun"/>
  </r>
  <r>
    <x v="10"/>
    <x v="26"/>
    <x v="2"/>
    <n v="3"/>
    <n v="374"/>
    <n v="1122"/>
    <s v="Sun"/>
  </r>
  <r>
    <x v="10"/>
    <x v="27"/>
    <x v="2"/>
    <n v="2"/>
    <n v="1500"/>
    <n v="3000"/>
    <s v="Sun"/>
  </r>
  <r>
    <x v="10"/>
    <x v="28"/>
    <x v="2"/>
    <n v="2"/>
    <n v="1800"/>
    <n v="3600"/>
    <s v="Sun"/>
  </r>
  <r>
    <x v="10"/>
    <x v="29"/>
    <x v="2"/>
    <n v="0"/>
    <n v="1477"/>
    <n v="0"/>
    <s v="Sun"/>
  </r>
  <r>
    <x v="11"/>
    <x v="0"/>
    <x v="0"/>
    <n v="35"/>
    <n v="210"/>
    <n v="7350"/>
    <s v="Mon"/>
  </r>
  <r>
    <x v="11"/>
    <x v="1"/>
    <x v="0"/>
    <n v="12"/>
    <n v="199"/>
    <n v="2388"/>
    <s v="Mon"/>
  </r>
  <r>
    <x v="11"/>
    <x v="2"/>
    <x v="0"/>
    <n v="10"/>
    <n v="322"/>
    <n v="3220"/>
    <s v="Mon"/>
  </r>
  <r>
    <x v="11"/>
    <x v="3"/>
    <x v="0"/>
    <n v="8"/>
    <n v="161"/>
    <n v="1288"/>
    <s v="Mon"/>
  </r>
  <r>
    <x v="11"/>
    <x v="4"/>
    <x v="0"/>
    <n v="4"/>
    <n v="109"/>
    <n v="436"/>
    <s v="Mon"/>
  </r>
  <r>
    <x v="11"/>
    <x v="5"/>
    <x v="0"/>
    <n v="2"/>
    <n v="122"/>
    <n v="244"/>
    <s v="Mon"/>
  </r>
  <r>
    <x v="11"/>
    <x v="6"/>
    <x v="0"/>
    <n v="5"/>
    <n v="96"/>
    <n v="480"/>
    <s v="Mon"/>
  </r>
  <r>
    <x v="11"/>
    <x v="7"/>
    <x v="0"/>
    <n v="0"/>
    <n v="73"/>
    <n v="0"/>
    <s v="Mon"/>
  </r>
  <r>
    <x v="11"/>
    <x v="8"/>
    <x v="0"/>
    <n v="2"/>
    <n v="225"/>
    <n v="450"/>
    <s v="Mon"/>
  </r>
  <r>
    <x v="11"/>
    <x v="9"/>
    <x v="0"/>
    <n v="1"/>
    <n v="559"/>
    <n v="559"/>
    <s v="Mon"/>
  </r>
  <r>
    <x v="11"/>
    <x v="10"/>
    <x v="0"/>
    <n v="25"/>
    <n v="3199"/>
    <n v="79975"/>
    <s v="Mon"/>
  </r>
  <r>
    <x v="11"/>
    <x v="11"/>
    <x v="0"/>
    <n v="10"/>
    <n v="371"/>
    <n v="3710"/>
    <s v="Mon"/>
  </r>
  <r>
    <x v="11"/>
    <x v="12"/>
    <x v="0"/>
    <n v="9"/>
    <n v="2300"/>
    <n v="20700"/>
    <s v="Mon"/>
  </r>
  <r>
    <x v="11"/>
    <x v="13"/>
    <x v="0"/>
    <n v="9"/>
    <n v="499"/>
    <n v="4491"/>
    <s v="Mon"/>
  </r>
  <r>
    <x v="11"/>
    <x v="14"/>
    <x v="0"/>
    <n v="5"/>
    <n v="299"/>
    <n v="1495"/>
    <s v="Mon"/>
  </r>
  <r>
    <x v="11"/>
    <x v="15"/>
    <x v="0"/>
    <n v="4"/>
    <n v="901"/>
    <n v="3604"/>
    <s v="Mon"/>
  </r>
  <r>
    <x v="11"/>
    <x v="16"/>
    <x v="0"/>
    <n v="2"/>
    <n v="929"/>
    <n v="1858"/>
    <s v="Mon"/>
  </r>
  <r>
    <x v="11"/>
    <x v="17"/>
    <x v="0"/>
    <n v="1"/>
    <n v="1030"/>
    <n v="1030"/>
    <s v="Mon"/>
  </r>
  <r>
    <x v="11"/>
    <x v="18"/>
    <x v="0"/>
    <n v="1"/>
    <n v="1222"/>
    <n v="1222"/>
    <s v="Mon"/>
  </r>
  <r>
    <x v="11"/>
    <x v="19"/>
    <x v="0"/>
    <n v="2"/>
    <n v="649"/>
    <n v="1298"/>
    <s v="Mon"/>
  </r>
  <r>
    <x v="11"/>
    <x v="20"/>
    <x v="0"/>
    <n v="25"/>
    <n v="1800"/>
    <n v="45000"/>
    <s v="Mon"/>
  </r>
  <r>
    <x v="11"/>
    <x v="21"/>
    <x v="0"/>
    <n v="12"/>
    <n v="345"/>
    <n v="4140"/>
    <s v="Mon"/>
  </r>
  <r>
    <x v="11"/>
    <x v="22"/>
    <x v="0"/>
    <n v="12"/>
    <n v="350"/>
    <n v="4200"/>
    <s v="Mon"/>
  </r>
  <r>
    <x v="11"/>
    <x v="23"/>
    <x v="0"/>
    <n v="8"/>
    <n v="1575"/>
    <n v="12600"/>
    <s v="Mon"/>
  </r>
  <r>
    <x v="11"/>
    <x v="24"/>
    <x v="0"/>
    <n v="6"/>
    <n v="1045"/>
    <n v="6270"/>
    <s v="Mon"/>
  </r>
  <r>
    <x v="11"/>
    <x v="25"/>
    <x v="0"/>
    <n v="4"/>
    <n v="1186"/>
    <n v="4744"/>
    <s v="Mon"/>
  </r>
  <r>
    <x v="11"/>
    <x v="26"/>
    <x v="0"/>
    <n v="4"/>
    <n v="374"/>
    <n v="1496"/>
    <s v="Mon"/>
  </r>
  <r>
    <x v="11"/>
    <x v="27"/>
    <x v="0"/>
    <n v="0"/>
    <n v="1500"/>
    <n v="0"/>
    <s v="Mon"/>
  </r>
  <r>
    <x v="11"/>
    <x v="28"/>
    <x v="0"/>
    <n v="0"/>
    <n v="1800"/>
    <n v="0"/>
    <s v="Mon"/>
  </r>
  <r>
    <x v="11"/>
    <x v="29"/>
    <x v="0"/>
    <n v="0"/>
    <n v="1477"/>
    <n v="0"/>
    <s v="Mon"/>
  </r>
  <r>
    <x v="11"/>
    <x v="0"/>
    <x v="1"/>
    <n v="23"/>
    <n v="210"/>
    <n v="4830"/>
    <s v="Mon"/>
  </r>
  <r>
    <x v="11"/>
    <x v="1"/>
    <x v="1"/>
    <n v="10"/>
    <n v="199"/>
    <n v="1990"/>
    <s v="Mon"/>
  </r>
  <r>
    <x v="11"/>
    <x v="2"/>
    <x v="1"/>
    <n v="8"/>
    <n v="322"/>
    <n v="2576"/>
    <s v="Mon"/>
  </r>
  <r>
    <x v="11"/>
    <x v="3"/>
    <x v="1"/>
    <n v="5"/>
    <n v="161"/>
    <n v="805"/>
    <s v="Mon"/>
  </r>
  <r>
    <x v="11"/>
    <x v="4"/>
    <x v="1"/>
    <n v="3"/>
    <n v="109"/>
    <n v="327"/>
    <s v="Mon"/>
  </r>
  <r>
    <x v="11"/>
    <x v="5"/>
    <x v="1"/>
    <n v="1"/>
    <n v="122"/>
    <n v="122"/>
    <s v="Mon"/>
  </r>
  <r>
    <x v="11"/>
    <x v="6"/>
    <x v="1"/>
    <n v="3"/>
    <n v="96"/>
    <n v="288"/>
    <s v="Mon"/>
  </r>
  <r>
    <x v="11"/>
    <x v="7"/>
    <x v="1"/>
    <n v="0"/>
    <n v="73"/>
    <n v="0"/>
    <s v="Mon"/>
  </r>
  <r>
    <x v="11"/>
    <x v="8"/>
    <x v="1"/>
    <n v="1"/>
    <n v="225"/>
    <n v="225"/>
    <s v="Mon"/>
  </r>
  <r>
    <x v="11"/>
    <x v="9"/>
    <x v="1"/>
    <n v="1"/>
    <n v="559"/>
    <n v="559"/>
    <s v="Mon"/>
  </r>
  <r>
    <x v="11"/>
    <x v="10"/>
    <x v="1"/>
    <n v="23"/>
    <n v="3199"/>
    <n v="73577"/>
    <s v="Mon"/>
  </r>
  <r>
    <x v="11"/>
    <x v="11"/>
    <x v="1"/>
    <n v="10"/>
    <n v="371"/>
    <n v="3710"/>
    <s v="Mon"/>
  </r>
  <r>
    <x v="11"/>
    <x v="12"/>
    <x v="1"/>
    <n v="9"/>
    <n v="2300"/>
    <n v="20700"/>
    <s v="Mon"/>
  </r>
  <r>
    <x v="11"/>
    <x v="13"/>
    <x v="1"/>
    <n v="0"/>
    <n v="499"/>
    <n v="0"/>
    <s v="Mon"/>
  </r>
  <r>
    <x v="11"/>
    <x v="14"/>
    <x v="1"/>
    <n v="4"/>
    <n v="299"/>
    <n v="1196"/>
    <s v="Mon"/>
  </r>
  <r>
    <x v="11"/>
    <x v="15"/>
    <x v="1"/>
    <n v="4"/>
    <n v="901"/>
    <n v="3604"/>
    <s v="Mon"/>
  </r>
  <r>
    <x v="11"/>
    <x v="16"/>
    <x v="1"/>
    <n v="0"/>
    <n v="929"/>
    <n v="0"/>
    <s v="Mon"/>
  </r>
  <r>
    <x v="11"/>
    <x v="17"/>
    <x v="1"/>
    <n v="1"/>
    <n v="1030"/>
    <n v="1030"/>
    <s v="Mon"/>
  </r>
  <r>
    <x v="11"/>
    <x v="18"/>
    <x v="1"/>
    <n v="0"/>
    <n v="1222"/>
    <n v="0"/>
    <s v="Mon"/>
  </r>
  <r>
    <x v="11"/>
    <x v="19"/>
    <x v="1"/>
    <n v="0"/>
    <n v="649"/>
    <n v="0"/>
    <s v="Mon"/>
  </r>
  <r>
    <x v="11"/>
    <x v="20"/>
    <x v="1"/>
    <n v="19"/>
    <n v="1800"/>
    <n v="34200"/>
    <s v="Mon"/>
  </r>
  <r>
    <x v="11"/>
    <x v="21"/>
    <x v="1"/>
    <n v="8"/>
    <n v="345"/>
    <n v="2760"/>
    <s v="Mon"/>
  </r>
  <r>
    <x v="11"/>
    <x v="22"/>
    <x v="1"/>
    <n v="8"/>
    <n v="350"/>
    <n v="2800"/>
    <s v="Mon"/>
  </r>
  <r>
    <x v="11"/>
    <x v="23"/>
    <x v="1"/>
    <n v="7"/>
    <n v="1575"/>
    <n v="11025"/>
    <s v="Mon"/>
  </r>
  <r>
    <x v="11"/>
    <x v="24"/>
    <x v="1"/>
    <n v="2"/>
    <n v="1045"/>
    <n v="2090"/>
    <s v="Mon"/>
  </r>
  <r>
    <x v="11"/>
    <x v="25"/>
    <x v="1"/>
    <n v="1"/>
    <n v="1186"/>
    <n v="1186"/>
    <s v="Mon"/>
  </r>
  <r>
    <x v="11"/>
    <x v="26"/>
    <x v="1"/>
    <n v="1"/>
    <n v="374"/>
    <n v="374"/>
    <s v="Mon"/>
  </r>
  <r>
    <x v="11"/>
    <x v="27"/>
    <x v="1"/>
    <n v="0"/>
    <n v="1500"/>
    <n v="0"/>
    <s v="Mon"/>
  </r>
  <r>
    <x v="11"/>
    <x v="28"/>
    <x v="1"/>
    <n v="0"/>
    <n v="1800"/>
    <n v="0"/>
    <s v="Mon"/>
  </r>
  <r>
    <x v="11"/>
    <x v="29"/>
    <x v="1"/>
    <n v="0"/>
    <n v="1477"/>
    <n v="0"/>
    <s v="Mon"/>
  </r>
  <r>
    <x v="11"/>
    <x v="0"/>
    <x v="2"/>
    <n v="3"/>
    <n v="210"/>
    <n v="630"/>
    <s v="Mon"/>
  </r>
  <r>
    <x v="11"/>
    <x v="1"/>
    <x v="2"/>
    <n v="6"/>
    <n v="199"/>
    <n v="1194"/>
    <s v="Mon"/>
  </r>
  <r>
    <x v="11"/>
    <x v="2"/>
    <x v="2"/>
    <n v="2"/>
    <n v="322"/>
    <n v="644"/>
    <s v="Mon"/>
  </r>
  <r>
    <x v="11"/>
    <x v="3"/>
    <x v="2"/>
    <n v="5"/>
    <n v="161"/>
    <n v="805"/>
    <s v="Mon"/>
  </r>
  <r>
    <x v="11"/>
    <x v="4"/>
    <x v="2"/>
    <n v="3"/>
    <n v="109"/>
    <n v="327"/>
    <s v="Mon"/>
  </r>
  <r>
    <x v="11"/>
    <x v="5"/>
    <x v="2"/>
    <n v="2"/>
    <n v="122"/>
    <n v="244"/>
    <s v="Mon"/>
  </r>
  <r>
    <x v="11"/>
    <x v="6"/>
    <x v="2"/>
    <n v="1"/>
    <n v="96"/>
    <n v="96"/>
    <s v="Mon"/>
  </r>
  <r>
    <x v="11"/>
    <x v="7"/>
    <x v="2"/>
    <n v="0"/>
    <n v="73"/>
    <n v="0"/>
    <s v="Mon"/>
  </r>
  <r>
    <x v="11"/>
    <x v="8"/>
    <x v="2"/>
    <n v="2"/>
    <n v="225"/>
    <n v="450"/>
    <s v="Mon"/>
  </r>
  <r>
    <x v="11"/>
    <x v="9"/>
    <x v="2"/>
    <n v="2"/>
    <n v="559"/>
    <n v="1118"/>
    <s v="Mon"/>
  </r>
  <r>
    <x v="11"/>
    <x v="10"/>
    <x v="2"/>
    <n v="14"/>
    <n v="3199"/>
    <n v="44786"/>
    <s v="Mon"/>
  </r>
  <r>
    <x v="11"/>
    <x v="11"/>
    <x v="2"/>
    <n v="6"/>
    <n v="371"/>
    <n v="2226"/>
    <s v="Mon"/>
  </r>
  <r>
    <x v="11"/>
    <x v="12"/>
    <x v="2"/>
    <n v="2"/>
    <n v="2300"/>
    <n v="4600"/>
    <s v="Mon"/>
  </r>
  <r>
    <x v="11"/>
    <x v="13"/>
    <x v="2"/>
    <n v="7"/>
    <n v="499"/>
    <n v="3493"/>
    <s v="Mon"/>
  </r>
  <r>
    <x v="11"/>
    <x v="14"/>
    <x v="2"/>
    <n v="4"/>
    <n v="299"/>
    <n v="1196"/>
    <s v="Mon"/>
  </r>
  <r>
    <x v="11"/>
    <x v="15"/>
    <x v="2"/>
    <n v="2"/>
    <n v="901"/>
    <n v="1802"/>
    <s v="Mon"/>
  </r>
  <r>
    <x v="11"/>
    <x v="16"/>
    <x v="2"/>
    <n v="3"/>
    <n v="929"/>
    <n v="2787"/>
    <s v="Mon"/>
  </r>
  <r>
    <x v="11"/>
    <x v="17"/>
    <x v="2"/>
    <n v="2"/>
    <n v="1030"/>
    <n v="2060"/>
    <s v="Mon"/>
  </r>
  <r>
    <x v="11"/>
    <x v="18"/>
    <x v="2"/>
    <n v="2"/>
    <n v="1222"/>
    <n v="2444"/>
    <s v="Mon"/>
  </r>
  <r>
    <x v="11"/>
    <x v="19"/>
    <x v="2"/>
    <n v="3"/>
    <n v="649"/>
    <n v="1947"/>
    <s v="Mon"/>
  </r>
  <r>
    <x v="11"/>
    <x v="20"/>
    <x v="2"/>
    <n v="11"/>
    <n v="1800"/>
    <n v="19800"/>
    <s v="Mon"/>
  </r>
  <r>
    <x v="11"/>
    <x v="21"/>
    <x v="2"/>
    <n v="7"/>
    <n v="345"/>
    <n v="2415"/>
    <s v="Mon"/>
  </r>
  <r>
    <x v="11"/>
    <x v="22"/>
    <x v="2"/>
    <n v="1"/>
    <n v="350"/>
    <n v="350"/>
    <s v="Mon"/>
  </r>
  <r>
    <x v="11"/>
    <x v="23"/>
    <x v="2"/>
    <n v="3"/>
    <n v="1575"/>
    <n v="4725"/>
    <s v="Mon"/>
  </r>
  <r>
    <x v="11"/>
    <x v="24"/>
    <x v="2"/>
    <n v="5"/>
    <n v="1045"/>
    <n v="5225"/>
    <s v="Mon"/>
  </r>
  <r>
    <x v="11"/>
    <x v="25"/>
    <x v="2"/>
    <n v="3"/>
    <n v="1186"/>
    <n v="3558"/>
    <s v="Mon"/>
  </r>
  <r>
    <x v="11"/>
    <x v="26"/>
    <x v="2"/>
    <n v="3"/>
    <n v="374"/>
    <n v="1122"/>
    <s v="Mon"/>
  </r>
  <r>
    <x v="11"/>
    <x v="27"/>
    <x v="2"/>
    <n v="0"/>
    <n v="1500"/>
    <n v="0"/>
    <s v="Mon"/>
  </r>
  <r>
    <x v="11"/>
    <x v="28"/>
    <x v="2"/>
    <n v="1"/>
    <n v="1800"/>
    <n v="1800"/>
    <s v="Mon"/>
  </r>
  <r>
    <x v="11"/>
    <x v="29"/>
    <x v="2"/>
    <n v="0"/>
    <n v="1477"/>
    <n v="0"/>
    <s v="Mon"/>
  </r>
  <r>
    <x v="12"/>
    <x v="0"/>
    <x v="0"/>
    <n v="32"/>
    <n v="210"/>
    <n v="6720"/>
    <s v="Tue"/>
  </r>
  <r>
    <x v="12"/>
    <x v="1"/>
    <x v="0"/>
    <n v="15"/>
    <n v="199"/>
    <n v="2985"/>
    <s v="Tue"/>
  </r>
  <r>
    <x v="12"/>
    <x v="2"/>
    <x v="0"/>
    <n v="10"/>
    <n v="322"/>
    <n v="3220"/>
    <s v="Tue"/>
  </r>
  <r>
    <x v="12"/>
    <x v="3"/>
    <x v="0"/>
    <n v="8"/>
    <n v="161"/>
    <n v="1288"/>
    <s v="Tue"/>
  </r>
  <r>
    <x v="12"/>
    <x v="4"/>
    <x v="0"/>
    <n v="4"/>
    <n v="109"/>
    <n v="436"/>
    <s v="Tue"/>
  </r>
  <r>
    <x v="12"/>
    <x v="5"/>
    <x v="0"/>
    <n v="4"/>
    <n v="122"/>
    <n v="488"/>
    <s v="Tue"/>
  </r>
  <r>
    <x v="12"/>
    <x v="6"/>
    <x v="0"/>
    <n v="3"/>
    <n v="96"/>
    <n v="288"/>
    <s v="Tue"/>
  </r>
  <r>
    <x v="12"/>
    <x v="7"/>
    <x v="0"/>
    <n v="0"/>
    <n v="73"/>
    <n v="0"/>
    <s v="Tue"/>
  </r>
  <r>
    <x v="12"/>
    <x v="8"/>
    <x v="0"/>
    <n v="0"/>
    <n v="225"/>
    <n v="0"/>
    <s v="Tue"/>
  </r>
  <r>
    <x v="12"/>
    <x v="9"/>
    <x v="0"/>
    <n v="2"/>
    <n v="559"/>
    <n v="1118"/>
    <s v="Tue"/>
  </r>
  <r>
    <x v="12"/>
    <x v="10"/>
    <x v="0"/>
    <n v="26"/>
    <n v="3199"/>
    <n v="83174"/>
    <s v="Tue"/>
  </r>
  <r>
    <x v="12"/>
    <x v="11"/>
    <x v="0"/>
    <n v="17"/>
    <n v="371"/>
    <n v="6307"/>
    <s v="Tue"/>
  </r>
  <r>
    <x v="12"/>
    <x v="12"/>
    <x v="0"/>
    <n v="12"/>
    <n v="2300"/>
    <n v="27600"/>
    <s v="Tue"/>
  </r>
  <r>
    <x v="12"/>
    <x v="13"/>
    <x v="0"/>
    <n v="8"/>
    <n v="499"/>
    <n v="3992"/>
    <s v="Tue"/>
  </r>
  <r>
    <x v="12"/>
    <x v="14"/>
    <x v="0"/>
    <n v="6"/>
    <n v="299"/>
    <n v="1794"/>
    <s v="Tue"/>
  </r>
  <r>
    <x v="12"/>
    <x v="15"/>
    <x v="0"/>
    <n v="2"/>
    <n v="901"/>
    <n v="1802"/>
    <s v="Tue"/>
  </r>
  <r>
    <x v="12"/>
    <x v="16"/>
    <x v="0"/>
    <n v="3"/>
    <n v="929"/>
    <n v="2787"/>
    <s v="Tue"/>
  </r>
  <r>
    <x v="12"/>
    <x v="17"/>
    <x v="0"/>
    <n v="0"/>
    <n v="1030"/>
    <n v="0"/>
    <s v="Tue"/>
  </r>
  <r>
    <x v="12"/>
    <x v="18"/>
    <x v="0"/>
    <n v="2"/>
    <n v="1222"/>
    <n v="2444"/>
    <s v="Tue"/>
  </r>
  <r>
    <x v="12"/>
    <x v="19"/>
    <x v="0"/>
    <n v="0"/>
    <n v="649"/>
    <n v="0"/>
    <s v="Tue"/>
  </r>
  <r>
    <x v="12"/>
    <x v="20"/>
    <x v="0"/>
    <n v="34"/>
    <n v="1800"/>
    <n v="61200"/>
    <s v="Tue"/>
  </r>
  <r>
    <x v="12"/>
    <x v="21"/>
    <x v="0"/>
    <n v="14"/>
    <n v="345"/>
    <n v="4830"/>
    <s v="Tue"/>
  </r>
  <r>
    <x v="12"/>
    <x v="22"/>
    <x v="0"/>
    <n v="9"/>
    <n v="350"/>
    <n v="3150"/>
    <s v="Tue"/>
  </r>
  <r>
    <x v="12"/>
    <x v="23"/>
    <x v="0"/>
    <n v="7"/>
    <n v="1575"/>
    <n v="11025"/>
    <s v="Tue"/>
  </r>
  <r>
    <x v="12"/>
    <x v="24"/>
    <x v="0"/>
    <n v="7"/>
    <n v="1045"/>
    <n v="7315"/>
    <s v="Tue"/>
  </r>
  <r>
    <x v="12"/>
    <x v="25"/>
    <x v="0"/>
    <n v="5"/>
    <n v="1186"/>
    <n v="5930"/>
    <s v="Tue"/>
  </r>
  <r>
    <x v="12"/>
    <x v="26"/>
    <x v="0"/>
    <n v="4"/>
    <n v="374"/>
    <n v="1496"/>
    <s v="Tue"/>
  </r>
  <r>
    <x v="12"/>
    <x v="27"/>
    <x v="0"/>
    <n v="2"/>
    <n v="1500"/>
    <n v="3000"/>
    <s v="Tue"/>
  </r>
  <r>
    <x v="12"/>
    <x v="28"/>
    <x v="0"/>
    <n v="1"/>
    <n v="1800"/>
    <n v="1800"/>
    <s v="Tue"/>
  </r>
  <r>
    <x v="12"/>
    <x v="29"/>
    <x v="0"/>
    <n v="0"/>
    <n v="1477"/>
    <n v="0"/>
    <s v="Tue"/>
  </r>
  <r>
    <x v="12"/>
    <x v="0"/>
    <x v="1"/>
    <n v="24"/>
    <n v="210"/>
    <n v="5040"/>
    <s v="Tue"/>
  </r>
  <r>
    <x v="12"/>
    <x v="1"/>
    <x v="1"/>
    <n v="9"/>
    <n v="199"/>
    <n v="1791"/>
    <s v="Tue"/>
  </r>
  <r>
    <x v="12"/>
    <x v="2"/>
    <x v="1"/>
    <n v="6"/>
    <n v="322"/>
    <n v="1932"/>
    <s v="Tue"/>
  </r>
  <r>
    <x v="12"/>
    <x v="3"/>
    <x v="1"/>
    <n v="6"/>
    <n v="161"/>
    <n v="966"/>
    <s v="Tue"/>
  </r>
  <r>
    <x v="12"/>
    <x v="4"/>
    <x v="1"/>
    <n v="4"/>
    <n v="109"/>
    <n v="436"/>
    <s v="Tue"/>
  </r>
  <r>
    <x v="12"/>
    <x v="5"/>
    <x v="1"/>
    <n v="3"/>
    <n v="122"/>
    <n v="366"/>
    <s v="Tue"/>
  </r>
  <r>
    <x v="12"/>
    <x v="6"/>
    <x v="1"/>
    <n v="2"/>
    <n v="96"/>
    <n v="192"/>
    <s v="Tue"/>
  </r>
  <r>
    <x v="12"/>
    <x v="7"/>
    <x v="1"/>
    <n v="0"/>
    <n v="73"/>
    <n v="0"/>
    <s v="Tue"/>
  </r>
  <r>
    <x v="12"/>
    <x v="8"/>
    <x v="1"/>
    <n v="0"/>
    <n v="225"/>
    <n v="0"/>
    <s v="Tue"/>
  </r>
  <r>
    <x v="12"/>
    <x v="9"/>
    <x v="1"/>
    <n v="1"/>
    <n v="559"/>
    <n v="559"/>
    <s v="Tue"/>
  </r>
  <r>
    <x v="12"/>
    <x v="10"/>
    <x v="1"/>
    <n v="25"/>
    <n v="3199"/>
    <n v="79975"/>
    <s v="Tue"/>
  </r>
  <r>
    <x v="12"/>
    <x v="11"/>
    <x v="1"/>
    <n v="3"/>
    <n v="371"/>
    <n v="1113"/>
    <s v="Tue"/>
  </r>
  <r>
    <x v="12"/>
    <x v="12"/>
    <x v="1"/>
    <n v="11"/>
    <n v="2300"/>
    <n v="25300"/>
    <s v="Tue"/>
  </r>
  <r>
    <x v="12"/>
    <x v="13"/>
    <x v="1"/>
    <n v="5"/>
    <n v="499"/>
    <n v="2495"/>
    <s v="Tue"/>
  </r>
  <r>
    <x v="12"/>
    <x v="14"/>
    <x v="1"/>
    <n v="0"/>
    <n v="299"/>
    <n v="0"/>
    <s v="Tue"/>
  </r>
  <r>
    <x v="12"/>
    <x v="15"/>
    <x v="1"/>
    <n v="1"/>
    <n v="901"/>
    <n v="901"/>
    <s v="Tue"/>
  </r>
  <r>
    <x v="12"/>
    <x v="16"/>
    <x v="1"/>
    <n v="1"/>
    <n v="929"/>
    <n v="929"/>
    <s v="Tue"/>
  </r>
  <r>
    <x v="12"/>
    <x v="17"/>
    <x v="1"/>
    <n v="0"/>
    <n v="1030"/>
    <n v="0"/>
    <s v="Tue"/>
  </r>
  <r>
    <x v="12"/>
    <x v="18"/>
    <x v="1"/>
    <n v="0"/>
    <n v="1222"/>
    <n v="0"/>
    <s v="Tue"/>
  </r>
  <r>
    <x v="12"/>
    <x v="19"/>
    <x v="1"/>
    <n v="0"/>
    <n v="649"/>
    <n v="0"/>
    <s v="Tue"/>
  </r>
  <r>
    <x v="12"/>
    <x v="20"/>
    <x v="1"/>
    <n v="24"/>
    <n v="1800"/>
    <n v="43200"/>
    <s v="Tue"/>
  </r>
  <r>
    <x v="12"/>
    <x v="21"/>
    <x v="1"/>
    <n v="9"/>
    <n v="345"/>
    <n v="3105"/>
    <s v="Tue"/>
  </r>
  <r>
    <x v="12"/>
    <x v="22"/>
    <x v="1"/>
    <n v="7"/>
    <n v="350"/>
    <n v="2450"/>
    <s v="Tue"/>
  </r>
  <r>
    <x v="12"/>
    <x v="23"/>
    <x v="1"/>
    <n v="6"/>
    <n v="1575"/>
    <n v="9450"/>
    <s v="Tue"/>
  </r>
  <r>
    <x v="12"/>
    <x v="24"/>
    <x v="1"/>
    <n v="3"/>
    <n v="1045"/>
    <n v="3135"/>
    <s v="Tue"/>
  </r>
  <r>
    <x v="12"/>
    <x v="25"/>
    <x v="1"/>
    <n v="2"/>
    <n v="1186"/>
    <n v="2372"/>
    <s v="Tue"/>
  </r>
  <r>
    <x v="12"/>
    <x v="26"/>
    <x v="1"/>
    <n v="1"/>
    <n v="374"/>
    <n v="374"/>
    <s v="Tue"/>
  </r>
  <r>
    <x v="12"/>
    <x v="27"/>
    <x v="1"/>
    <n v="0"/>
    <n v="1500"/>
    <n v="0"/>
    <s v="Tue"/>
  </r>
  <r>
    <x v="12"/>
    <x v="28"/>
    <x v="1"/>
    <n v="0"/>
    <n v="1800"/>
    <n v="0"/>
    <s v="Tue"/>
  </r>
  <r>
    <x v="12"/>
    <x v="29"/>
    <x v="1"/>
    <n v="0"/>
    <n v="1477"/>
    <n v="0"/>
    <s v="Tue"/>
  </r>
  <r>
    <x v="12"/>
    <x v="0"/>
    <x v="2"/>
    <n v="8"/>
    <n v="210"/>
    <n v="1680"/>
    <s v="Tue"/>
  </r>
  <r>
    <x v="12"/>
    <x v="1"/>
    <x v="2"/>
    <n v="5"/>
    <n v="199"/>
    <n v="995"/>
    <s v="Tue"/>
  </r>
  <r>
    <x v="12"/>
    <x v="2"/>
    <x v="2"/>
    <n v="6"/>
    <n v="322"/>
    <n v="1932"/>
    <s v="Tue"/>
  </r>
  <r>
    <x v="12"/>
    <x v="3"/>
    <x v="2"/>
    <n v="6"/>
    <n v="161"/>
    <n v="966"/>
    <s v="Tue"/>
  </r>
  <r>
    <x v="12"/>
    <x v="4"/>
    <x v="2"/>
    <n v="4"/>
    <n v="109"/>
    <n v="436"/>
    <s v="Tue"/>
  </r>
  <r>
    <x v="12"/>
    <x v="5"/>
    <x v="2"/>
    <n v="2"/>
    <n v="122"/>
    <n v="244"/>
    <s v="Tue"/>
  </r>
  <r>
    <x v="12"/>
    <x v="6"/>
    <x v="2"/>
    <n v="2"/>
    <n v="96"/>
    <n v="192"/>
    <s v="Tue"/>
  </r>
  <r>
    <x v="12"/>
    <x v="7"/>
    <x v="2"/>
    <n v="0"/>
    <n v="73"/>
    <n v="0"/>
    <s v="Tue"/>
  </r>
  <r>
    <x v="12"/>
    <x v="8"/>
    <x v="2"/>
    <n v="1"/>
    <n v="225"/>
    <n v="225"/>
    <s v="Tue"/>
  </r>
  <r>
    <x v="12"/>
    <x v="9"/>
    <x v="2"/>
    <n v="1"/>
    <n v="559"/>
    <n v="559"/>
    <s v="Tue"/>
  </r>
  <r>
    <x v="12"/>
    <x v="10"/>
    <x v="2"/>
    <n v="13"/>
    <n v="3199"/>
    <n v="41587"/>
    <s v="Tue"/>
  </r>
  <r>
    <x v="12"/>
    <x v="11"/>
    <x v="2"/>
    <n v="13"/>
    <n v="371"/>
    <n v="4823"/>
    <s v="Tue"/>
  </r>
  <r>
    <x v="12"/>
    <x v="12"/>
    <x v="2"/>
    <n v="2"/>
    <n v="2300"/>
    <n v="4600"/>
    <s v="Tue"/>
  </r>
  <r>
    <x v="12"/>
    <x v="13"/>
    <x v="2"/>
    <n v="6"/>
    <n v="499"/>
    <n v="2994"/>
    <s v="Tue"/>
  </r>
  <r>
    <x v="12"/>
    <x v="14"/>
    <x v="2"/>
    <n v="6"/>
    <n v="299"/>
    <n v="1794"/>
    <s v="Tue"/>
  </r>
  <r>
    <x v="12"/>
    <x v="15"/>
    <x v="2"/>
    <n v="4"/>
    <n v="901"/>
    <n v="3604"/>
    <s v="Tue"/>
  </r>
  <r>
    <x v="12"/>
    <x v="16"/>
    <x v="2"/>
    <n v="3"/>
    <n v="929"/>
    <n v="2787"/>
    <s v="Tue"/>
  </r>
  <r>
    <x v="12"/>
    <x v="17"/>
    <x v="2"/>
    <n v="1"/>
    <n v="1030"/>
    <n v="1030"/>
    <s v="Tue"/>
  </r>
  <r>
    <x v="12"/>
    <x v="18"/>
    <x v="2"/>
    <n v="2"/>
    <n v="1222"/>
    <n v="2444"/>
    <s v="Tue"/>
  </r>
  <r>
    <x v="12"/>
    <x v="19"/>
    <x v="2"/>
    <n v="2"/>
    <n v="649"/>
    <n v="1298"/>
    <s v="Tue"/>
  </r>
  <r>
    <x v="12"/>
    <x v="20"/>
    <x v="2"/>
    <n v="3"/>
    <n v="1800"/>
    <n v="5400"/>
    <s v="Tue"/>
  </r>
  <r>
    <x v="12"/>
    <x v="21"/>
    <x v="2"/>
    <n v="5"/>
    <n v="345"/>
    <n v="1725"/>
    <s v="Tue"/>
  </r>
  <r>
    <x v="12"/>
    <x v="22"/>
    <x v="2"/>
    <n v="5"/>
    <n v="350"/>
    <n v="1750"/>
    <s v="Tue"/>
  </r>
  <r>
    <x v="12"/>
    <x v="23"/>
    <x v="2"/>
    <n v="2"/>
    <n v="1575"/>
    <n v="3150"/>
    <s v="Tue"/>
  </r>
  <r>
    <x v="12"/>
    <x v="24"/>
    <x v="2"/>
    <n v="4"/>
    <n v="1045"/>
    <n v="4180"/>
    <s v="Tue"/>
  </r>
  <r>
    <x v="12"/>
    <x v="25"/>
    <x v="2"/>
    <n v="2"/>
    <n v="1186"/>
    <n v="2372"/>
    <s v="Tue"/>
  </r>
  <r>
    <x v="12"/>
    <x v="26"/>
    <x v="2"/>
    <n v="3"/>
    <n v="374"/>
    <n v="1122"/>
    <s v="Tue"/>
  </r>
  <r>
    <x v="12"/>
    <x v="27"/>
    <x v="2"/>
    <n v="3"/>
    <n v="1500"/>
    <n v="4500"/>
    <s v="Tue"/>
  </r>
  <r>
    <x v="12"/>
    <x v="28"/>
    <x v="2"/>
    <n v="2"/>
    <n v="1800"/>
    <n v="3600"/>
    <s v="Tue"/>
  </r>
  <r>
    <x v="12"/>
    <x v="29"/>
    <x v="2"/>
    <n v="2"/>
    <n v="1477"/>
    <n v="2954"/>
    <s v="Tue"/>
  </r>
  <r>
    <x v="13"/>
    <x v="0"/>
    <x v="0"/>
    <n v="31"/>
    <n v="210"/>
    <n v="6510"/>
    <s v="Wed"/>
  </r>
  <r>
    <x v="13"/>
    <x v="1"/>
    <x v="0"/>
    <n v="15"/>
    <n v="199"/>
    <n v="2985"/>
    <s v="Wed"/>
  </r>
  <r>
    <x v="13"/>
    <x v="2"/>
    <x v="0"/>
    <n v="9"/>
    <n v="322"/>
    <n v="2898"/>
    <s v="Wed"/>
  </r>
  <r>
    <x v="13"/>
    <x v="3"/>
    <x v="0"/>
    <n v="10"/>
    <n v="161"/>
    <n v="1610"/>
    <s v="Wed"/>
  </r>
  <r>
    <x v="13"/>
    <x v="4"/>
    <x v="0"/>
    <n v="7"/>
    <n v="109"/>
    <n v="763"/>
    <s v="Wed"/>
  </r>
  <r>
    <x v="13"/>
    <x v="5"/>
    <x v="0"/>
    <n v="4"/>
    <n v="122"/>
    <n v="488"/>
    <s v="Wed"/>
  </r>
  <r>
    <x v="13"/>
    <x v="6"/>
    <x v="0"/>
    <n v="3"/>
    <n v="96"/>
    <n v="288"/>
    <s v="Wed"/>
  </r>
  <r>
    <x v="13"/>
    <x v="7"/>
    <x v="0"/>
    <n v="0"/>
    <n v="73"/>
    <n v="0"/>
    <s v="Wed"/>
  </r>
  <r>
    <x v="13"/>
    <x v="8"/>
    <x v="0"/>
    <n v="1"/>
    <n v="225"/>
    <n v="225"/>
    <s v="Wed"/>
  </r>
  <r>
    <x v="13"/>
    <x v="9"/>
    <x v="0"/>
    <n v="0"/>
    <n v="559"/>
    <n v="0"/>
    <s v="Wed"/>
  </r>
  <r>
    <x v="13"/>
    <x v="10"/>
    <x v="0"/>
    <n v="30"/>
    <n v="3199"/>
    <n v="95970"/>
    <s v="Wed"/>
  </r>
  <r>
    <x v="13"/>
    <x v="11"/>
    <x v="0"/>
    <n v="14"/>
    <n v="371"/>
    <n v="5194"/>
    <s v="Wed"/>
  </r>
  <r>
    <x v="13"/>
    <x v="12"/>
    <x v="0"/>
    <n v="8"/>
    <n v="2300"/>
    <n v="18400"/>
    <s v="Wed"/>
  </r>
  <r>
    <x v="13"/>
    <x v="13"/>
    <x v="0"/>
    <n v="11"/>
    <n v="499"/>
    <n v="5489"/>
    <s v="Wed"/>
  </r>
  <r>
    <x v="13"/>
    <x v="14"/>
    <x v="0"/>
    <n v="7"/>
    <n v="299"/>
    <n v="2093"/>
    <s v="Wed"/>
  </r>
  <r>
    <x v="13"/>
    <x v="15"/>
    <x v="0"/>
    <n v="5"/>
    <n v="901"/>
    <n v="4505"/>
    <s v="Wed"/>
  </r>
  <r>
    <x v="13"/>
    <x v="16"/>
    <x v="0"/>
    <n v="5"/>
    <n v="929"/>
    <n v="4645"/>
    <s v="Wed"/>
  </r>
  <r>
    <x v="13"/>
    <x v="17"/>
    <x v="0"/>
    <n v="0"/>
    <n v="1030"/>
    <n v="0"/>
    <s v="Wed"/>
  </r>
  <r>
    <x v="13"/>
    <x v="18"/>
    <x v="0"/>
    <n v="1"/>
    <n v="1222"/>
    <n v="1222"/>
    <s v="Wed"/>
  </r>
  <r>
    <x v="13"/>
    <x v="19"/>
    <x v="0"/>
    <n v="1"/>
    <n v="649"/>
    <n v="649"/>
    <s v="Wed"/>
  </r>
  <r>
    <x v="13"/>
    <x v="20"/>
    <x v="0"/>
    <n v="28"/>
    <n v="1800"/>
    <n v="50400"/>
    <s v="Wed"/>
  </r>
  <r>
    <x v="13"/>
    <x v="21"/>
    <x v="0"/>
    <n v="12"/>
    <n v="345"/>
    <n v="4140"/>
    <s v="Wed"/>
  </r>
  <r>
    <x v="13"/>
    <x v="22"/>
    <x v="0"/>
    <n v="10"/>
    <n v="350"/>
    <n v="3500"/>
    <s v="Wed"/>
  </r>
  <r>
    <x v="13"/>
    <x v="23"/>
    <x v="0"/>
    <n v="8"/>
    <n v="1575"/>
    <n v="12600"/>
    <s v="Wed"/>
  </r>
  <r>
    <x v="13"/>
    <x v="24"/>
    <x v="0"/>
    <n v="7"/>
    <n v="1045"/>
    <n v="7315"/>
    <s v="Wed"/>
  </r>
  <r>
    <x v="13"/>
    <x v="25"/>
    <x v="0"/>
    <n v="4"/>
    <n v="1186"/>
    <n v="4744"/>
    <s v="Wed"/>
  </r>
  <r>
    <x v="13"/>
    <x v="26"/>
    <x v="0"/>
    <n v="2"/>
    <n v="374"/>
    <n v="748"/>
    <s v="Wed"/>
  </r>
  <r>
    <x v="13"/>
    <x v="27"/>
    <x v="0"/>
    <n v="1"/>
    <n v="1500"/>
    <n v="1500"/>
    <s v="Wed"/>
  </r>
  <r>
    <x v="13"/>
    <x v="28"/>
    <x v="0"/>
    <n v="0"/>
    <n v="1800"/>
    <n v="0"/>
    <s v="Wed"/>
  </r>
  <r>
    <x v="13"/>
    <x v="29"/>
    <x v="0"/>
    <n v="0"/>
    <n v="1477"/>
    <n v="0"/>
    <s v="Wed"/>
  </r>
  <r>
    <x v="13"/>
    <x v="0"/>
    <x v="1"/>
    <n v="22"/>
    <n v="210"/>
    <n v="4620"/>
    <s v="Wed"/>
  </r>
  <r>
    <x v="13"/>
    <x v="1"/>
    <x v="1"/>
    <n v="12"/>
    <n v="199"/>
    <n v="2388"/>
    <s v="Wed"/>
  </r>
  <r>
    <x v="13"/>
    <x v="2"/>
    <x v="1"/>
    <n v="6"/>
    <n v="322"/>
    <n v="1932"/>
    <s v="Wed"/>
  </r>
  <r>
    <x v="13"/>
    <x v="3"/>
    <x v="1"/>
    <n v="6"/>
    <n v="161"/>
    <n v="966"/>
    <s v="Wed"/>
  </r>
  <r>
    <x v="13"/>
    <x v="4"/>
    <x v="1"/>
    <n v="4"/>
    <n v="109"/>
    <n v="436"/>
    <s v="Wed"/>
  </r>
  <r>
    <x v="13"/>
    <x v="5"/>
    <x v="1"/>
    <n v="2"/>
    <n v="122"/>
    <n v="244"/>
    <s v="Wed"/>
  </r>
  <r>
    <x v="13"/>
    <x v="6"/>
    <x v="1"/>
    <n v="3"/>
    <n v="96"/>
    <n v="288"/>
    <s v="Wed"/>
  </r>
  <r>
    <x v="13"/>
    <x v="7"/>
    <x v="1"/>
    <n v="0"/>
    <n v="73"/>
    <n v="0"/>
    <s v="Wed"/>
  </r>
  <r>
    <x v="13"/>
    <x v="8"/>
    <x v="1"/>
    <n v="0"/>
    <n v="225"/>
    <n v="0"/>
    <s v="Wed"/>
  </r>
  <r>
    <x v="13"/>
    <x v="9"/>
    <x v="1"/>
    <n v="0"/>
    <n v="559"/>
    <n v="0"/>
    <s v="Wed"/>
  </r>
  <r>
    <x v="13"/>
    <x v="10"/>
    <x v="1"/>
    <n v="2"/>
    <n v="3199"/>
    <n v="6398"/>
    <s v="Wed"/>
  </r>
  <r>
    <x v="13"/>
    <x v="11"/>
    <x v="1"/>
    <n v="10"/>
    <n v="371"/>
    <n v="3710"/>
    <s v="Wed"/>
  </r>
  <r>
    <x v="13"/>
    <x v="12"/>
    <x v="1"/>
    <n v="10"/>
    <n v="2300"/>
    <n v="23000"/>
    <s v="Wed"/>
  </r>
  <r>
    <x v="13"/>
    <x v="13"/>
    <x v="1"/>
    <n v="6"/>
    <n v="499"/>
    <n v="2994"/>
    <s v="Wed"/>
  </r>
  <r>
    <x v="13"/>
    <x v="14"/>
    <x v="1"/>
    <n v="0"/>
    <n v="299"/>
    <n v="0"/>
    <s v="Wed"/>
  </r>
  <r>
    <x v="13"/>
    <x v="15"/>
    <x v="1"/>
    <n v="0"/>
    <n v="901"/>
    <n v="0"/>
    <s v="Wed"/>
  </r>
  <r>
    <x v="13"/>
    <x v="16"/>
    <x v="1"/>
    <n v="1"/>
    <n v="929"/>
    <n v="929"/>
    <s v="Wed"/>
  </r>
  <r>
    <x v="13"/>
    <x v="17"/>
    <x v="1"/>
    <n v="1"/>
    <n v="1030"/>
    <n v="1030"/>
    <s v="Wed"/>
  </r>
  <r>
    <x v="13"/>
    <x v="18"/>
    <x v="1"/>
    <n v="0"/>
    <n v="1222"/>
    <n v="0"/>
    <s v="Wed"/>
  </r>
  <r>
    <x v="13"/>
    <x v="19"/>
    <x v="1"/>
    <n v="0"/>
    <n v="649"/>
    <n v="0"/>
    <s v="Wed"/>
  </r>
  <r>
    <x v="13"/>
    <x v="20"/>
    <x v="1"/>
    <n v="19"/>
    <n v="1800"/>
    <n v="34200"/>
    <s v="Wed"/>
  </r>
  <r>
    <x v="13"/>
    <x v="21"/>
    <x v="1"/>
    <n v="10"/>
    <n v="345"/>
    <n v="3450"/>
    <s v="Wed"/>
  </r>
  <r>
    <x v="13"/>
    <x v="22"/>
    <x v="1"/>
    <n v="6"/>
    <n v="350"/>
    <n v="2100"/>
    <s v="Wed"/>
  </r>
  <r>
    <x v="13"/>
    <x v="23"/>
    <x v="1"/>
    <n v="5"/>
    <n v="1575"/>
    <n v="7875"/>
    <s v="Wed"/>
  </r>
  <r>
    <x v="13"/>
    <x v="24"/>
    <x v="1"/>
    <n v="2"/>
    <n v="1045"/>
    <n v="2090"/>
    <s v="Wed"/>
  </r>
  <r>
    <x v="13"/>
    <x v="25"/>
    <x v="1"/>
    <n v="4"/>
    <n v="1186"/>
    <n v="4744"/>
    <s v="Wed"/>
  </r>
  <r>
    <x v="13"/>
    <x v="26"/>
    <x v="1"/>
    <n v="1"/>
    <n v="374"/>
    <n v="374"/>
    <s v="Wed"/>
  </r>
  <r>
    <x v="13"/>
    <x v="27"/>
    <x v="1"/>
    <n v="1"/>
    <n v="1500"/>
    <n v="1500"/>
    <s v="Wed"/>
  </r>
  <r>
    <x v="13"/>
    <x v="28"/>
    <x v="1"/>
    <n v="0"/>
    <n v="1800"/>
    <n v="0"/>
    <s v="Wed"/>
  </r>
  <r>
    <x v="13"/>
    <x v="29"/>
    <x v="1"/>
    <n v="0"/>
    <n v="1477"/>
    <n v="0"/>
    <s v="Wed"/>
  </r>
  <r>
    <x v="13"/>
    <x v="0"/>
    <x v="2"/>
    <n v="10"/>
    <n v="210"/>
    <n v="2100"/>
    <s v="Wed"/>
  </r>
  <r>
    <x v="13"/>
    <x v="1"/>
    <x v="2"/>
    <n v="6"/>
    <n v="199"/>
    <n v="1194"/>
    <s v="Wed"/>
  </r>
  <r>
    <x v="13"/>
    <x v="2"/>
    <x v="2"/>
    <n v="5"/>
    <n v="322"/>
    <n v="1610"/>
    <s v="Wed"/>
  </r>
  <r>
    <x v="13"/>
    <x v="3"/>
    <x v="2"/>
    <n v="2"/>
    <n v="161"/>
    <n v="322"/>
    <s v="Wed"/>
  </r>
  <r>
    <x v="13"/>
    <x v="4"/>
    <x v="2"/>
    <n v="3"/>
    <n v="109"/>
    <n v="327"/>
    <s v="Wed"/>
  </r>
  <r>
    <x v="13"/>
    <x v="5"/>
    <x v="2"/>
    <n v="2"/>
    <n v="122"/>
    <n v="244"/>
    <s v="Wed"/>
  </r>
  <r>
    <x v="13"/>
    <x v="6"/>
    <x v="2"/>
    <n v="2"/>
    <n v="96"/>
    <n v="192"/>
    <s v="Wed"/>
  </r>
  <r>
    <x v="13"/>
    <x v="7"/>
    <x v="2"/>
    <n v="1"/>
    <n v="73"/>
    <n v="73"/>
    <s v="Wed"/>
  </r>
  <r>
    <x v="13"/>
    <x v="8"/>
    <x v="2"/>
    <n v="1"/>
    <n v="225"/>
    <n v="225"/>
    <s v="Wed"/>
  </r>
  <r>
    <x v="13"/>
    <x v="9"/>
    <x v="2"/>
    <n v="1"/>
    <n v="559"/>
    <n v="559"/>
    <s v="Wed"/>
  </r>
  <r>
    <x v="13"/>
    <x v="10"/>
    <x v="2"/>
    <n v="28"/>
    <n v="3199"/>
    <n v="89572"/>
    <s v="Wed"/>
  </r>
  <r>
    <x v="13"/>
    <x v="11"/>
    <x v="2"/>
    <n v="1"/>
    <n v="371"/>
    <n v="371"/>
    <s v="Wed"/>
  </r>
  <r>
    <x v="13"/>
    <x v="12"/>
    <x v="2"/>
    <n v="4"/>
    <n v="2300"/>
    <n v="9200"/>
    <s v="Wed"/>
  </r>
  <r>
    <x v="13"/>
    <x v="13"/>
    <x v="2"/>
    <n v="3"/>
    <n v="499"/>
    <n v="1497"/>
    <s v="Wed"/>
  </r>
  <r>
    <x v="13"/>
    <x v="14"/>
    <x v="2"/>
    <n v="6"/>
    <n v="299"/>
    <n v="1794"/>
    <s v="Wed"/>
  </r>
  <r>
    <x v="13"/>
    <x v="15"/>
    <x v="2"/>
    <n v="5"/>
    <n v="901"/>
    <n v="4505"/>
    <s v="Wed"/>
  </r>
  <r>
    <x v="13"/>
    <x v="16"/>
    <x v="2"/>
    <n v="3"/>
    <n v="929"/>
    <n v="2787"/>
    <s v="Wed"/>
  </r>
  <r>
    <x v="13"/>
    <x v="17"/>
    <x v="2"/>
    <n v="1"/>
    <n v="1030"/>
    <n v="1030"/>
    <s v="Wed"/>
  </r>
  <r>
    <x v="13"/>
    <x v="18"/>
    <x v="2"/>
    <n v="2"/>
    <n v="1222"/>
    <n v="2444"/>
    <s v="Wed"/>
  </r>
  <r>
    <x v="13"/>
    <x v="19"/>
    <x v="2"/>
    <n v="2"/>
    <n v="649"/>
    <n v="1298"/>
    <s v="Wed"/>
  </r>
  <r>
    <x v="13"/>
    <x v="20"/>
    <x v="2"/>
    <n v="14"/>
    <n v="1800"/>
    <n v="25200"/>
    <s v="Wed"/>
  </r>
  <r>
    <x v="13"/>
    <x v="21"/>
    <x v="2"/>
    <n v="6"/>
    <n v="345"/>
    <n v="2070"/>
    <s v="Wed"/>
  </r>
  <r>
    <x v="13"/>
    <x v="22"/>
    <x v="2"/>
    <n v="5"/>
    <n v="350"/>
    <n v="1750"/>
    <s v="Wed"/>
  </r>
  <r>
    <x v="13"/>
    <x v="23"/>
    <x v="2"/>
    <n v="4"/>
    <n v="1575"/>
    <n v="6300"/>
    <s v="Wed"/>
  </r>
  <r>
    <x v="13"/>
    <x v="24"/>
    <x v="2"/>
    <n v="5"/>
    <n v="1045"/>
    <n v="5225"/>
    <s v="Wed"/>
  </r>
  <r>
    <x v="13"/>
    <x v="25"/>
    <x v="2"/>
    <n v="2"/>
    <n v="1186"/>
    <n v="2372"/>
    <s v="Wed"/>
  </r>
  <r>
    <x v="13"/>
    <x v="26"/>
    <x v="2"/>
    <n v="3"/>
    <n v="374"/>
    <n v="1122"/>
    <s v="Wed"/>
  </r>
  <r>
    <x v="13"/>
    <x v="27"/>
    <x v="2"/>
    <n v="2"/>
    <n v="1500"/>
    <n v="3000"/>
    <s v="Wed"/>
  </r>
  <r>
    <x v="13"/>
    <x v="28"/>
    <x v="2"/>
    <n v="1"/>
    <n v="1800"/>
    <n v="1800"/>
    <s v="Wed"/>
  </r>
  <r>
    <x v="13"/>
    <x v="29"/>
    <x v="2"/>
    <n v="1"/>
    <n v="1477"/>
    <n v="1477"/>
    <s v="Wed"/>
  </r>
  <r>
    <x v="14"/>
    <x v="0"/>
    <x v="0"/>
    <n v="27"/>
    <n v="210"/>
    <n v="5670"/>
    <s v="Thu"/>
  </r>
  <r>
    <x v="14"/>
    <x v="1"/>
    <x v="0"/>
    <n v="16"/>
    <n v="199"/>
    <n v="3184"/>
    <s v="Thu"/>
  </r>
  <r>
    <x v="14"/>
    <x v="2"/>
    <x v="0"/>
    <n v="11"/>
    <n v="322"/>
    <n v="3542"/>
    <s v="Thu"/>
  </r>
  <r>
    <x v="14"/>
    <x v="3"/>
    <x v="0"/>
    <n v="8"/>
    <n v="161"/>
    <n v="1288"/>
    <s v="Thu"/>
  </r>
  <r>
    <x v="14"/>
    <x v="4"/>
    <x v="0"/>
    <n v="6"/>
    <n v="109"/>
    <n v="654"/>
    <s v="Thu"/>
  </r>
  <r>
    <x v="14"/>
    <x v="5"/>
    <x v="0"/>
    <n v="2"/>
    <n v="122"/>
    <n v="244"/>
    <s v="Thu"/>
  </r>
  <r>
    <x v="14"/>
    <x v="6"/>
    <x v="0"/>
    <n v="3"/>
    <n v="96"/>
    <n v="288"/>
    <s v="Thu"/>
  </r>
  <r>
    <x v="14"/>
    <x v="7"/>
    <x v="0"/>
    <n v="0"/>
    <n v="73"/>
    <n v="0"/>
    <s v="Thu"/>
  </r>
  <r>
    <x v="14"/>
    <x v="8"/>
    <x v="0"/>
    <n v="2"/>
    <n v="225"/>
    <n v="450"/>
    <s v="Thu"/>
  </r>
  <r>
    <x v="14"/>
    <x v="9"/>
    <x v="0"/>
    <n v="1"/>
    <n v="559"/>
    <n v="559"/>
    <s v="Thu"/>
  </r>
  <r>
    <x v="14"/>
    <x v="10"/>
    <x v="0"/>
    <n v="30"/>
    <n v="3199"/>
    <n v="95970"/>
    <s v="Thu"/>
  </r>
  <r>
    <x v="14"/>
    <x v="11"/>
    <x v="0"/>
    <n v="16"/>
    <n v="371"/>
    <n v="5936"/>
    <s v="Thu"/>
  </r>
  <r>
    <x v="14"/>
    <x v="12"/>
    <x v="0"/>
    <n v="8"/>
    <n v="2300"/>
    <n v="18400"/>
    <s v="Thu"/>
  </r>
  <r>
    <x v="14"/>
    <x v="13"/>
    <x v="0"/>
    <n v="7"/>
    <n v="499"/>
    <n v="3493"/>
    <s v="Thu"/>
  </r>
  <r>
    <x v="14"/>
    <x v="14"/>
    <x v="0"/>
    <n v="7"/>
    <n v="299"/>
    <n v="2093"/>
    <s v="Thu"/>
  </r>
  <r>
    <x v="14"/>
    <x v="15"/>
    <x v="0"/>
    <n v="2"/>
    <n v="901"/>
    <n v="1802"/>
    <s v="Thu"/>
  </r>
  <r>
    <x v="14"/>
    <x v="16"/>
    <x v="0"/>
    <n v="3"/>
    <n v="929"/>
    <n v="2787"/>
    <s v="Thu"/>
  </r>
  <r>
    <x v="14"/>
    <x v="17"/>
    <x v="0"/>
    <n v="1"/>
    <n v="1030"/>
    <n v="1030"/>
    <s v="Thu"/>
  </r>
  <r>
    <x v="14"/>
    <x v="18"/>
    <x v="0"/>
    <n v="0"/>
    <n v="1222"/>
    <n v="0"/>
    <s v="Thu"/>
  </r>
  <r>
    <x v="14"/>
    <x v="19"/>
    <x v="0"/>
    <n v="2"/>
    <n v="649"/>
    <n v="1298"/>
    <s v="Thu"/>
  </r>
  <r>
    <x v="14"/>
    <x v="20"/>
    <x v="0"/>
    <n v="30"/>
    <n v="1800"/>
    <n v="54000"/>
    <s v="Thu"/>
  </r>
  <r>
    <x v="14"/>
    <x v="21"/>
    <x v="0"/>
    <n v="18"/>
    <n v="345"/>
    <n v="6210"/>
    <s v="Thu"/>
  </r>
  <r>
    <x v="14"/>
    <x v="22"/>
    <x v="0"/>
    <n v="10"/>
    <n v="350"/>
    <n v="3500"/>
    <s v="Thu"/>
  </r>
  <r>
    <x v="14"/>
    <x v="23"/>
    <x v="0"/>
    <n v="11"/>
    <n v="1575"/>
    <n v="17325"/>
    <s v="Thu"/>
  </r>
  <r>
    <x v="14"/>
    <x v="24"/>
    <x v="0"/>
    <n v="7"/>
    <n v="1045"/>
    <n v="7315"/>
    <s v="Thu"/>
  </r>
  <r>
    <x v="14"/>
    <x v="25"/>
    <x v="0"/>
    <n v="4"/>
    <n v="1186"/>
    <n v="4744"/>
    <s v="Thu"/>
  </r>
  <r>
    <x v="14"/>
    <x v="26"/>
    <x v="0"/>
    <n v="2"/>
    <n v="374"/>
    <n v="748"/>
    <s v="Thu"/>
  </r>
  <r>
    <x v="14"/>
    <x v="27"/>
    <x v="0"/>
    <n v="1"/>
    <n v="1500"/>
    <n v="1500"/>
    <s v="Thu"/>
  </r>
  <r>
    <x v="14"/>
    <x v="28"/>
    <x v="0"/>
    <n v="1"/>
    <n v="1800"/>
    <n v="1800"/>
    <s v="Thu"/>
  </r>
  <r>
    <x v="14"/>
    <x v="29"/>
    <x v="0"/>
    <n v="0"/>
    <n v="1477"/>
    <n v="0"/>
    <s v="Thu"/>
  </r>
  <r>
    <x v="14"/>
    <x v="0"/>
    <x v="1"/>
    <n v="19"/>
    <n v="210"/>
    <n v="3990"/>
    <s v="Thu"/>
  </r>
  <r>
    <x v="14"/>
    <x v="1"/>
    <x v="1"/>
    <n v="11"/>
    <n v="199"/>
    <n v="2189"/>
    <s v="Thu"/>
  </r>
  <r>
    <x v="14"/>
    <x v="2"/>
    <x v="1"/>
    <n v="8"/>
    <n v="322"/>
    <n v="2576"/>
    <s v="Thu"/>
  </r>
  <r>
    <x v="14"/>
    <x v="3"/>
    <x v="1"/>
    <n v="6"/>
    <n v="161"/>
    <n v="966"/>
    <s v="Thu"/>
  </r>
  <r>
    <x v="14"/>
    <x v="4"/>
    <x v="1"/>
    <n v="3"/>
    <n v="109"/>
    <n v="327"/>
    <s v="Thu"/>
  </r>
  <r>
    <x v="14"/>
    <x v="5"/>
    <x v="1"/>
    <n v="1"/>
    <n v="122"/>
    <n v="122"/>
    <s v="Thu"/>
  </r>
  <r>
    <x v="14"/>
    <x v="6"/>
    <x v="1"/>
    <n v="2"/>
    <n v="96"/>
    <n v="192"/>
    <s v="Thu"/>
  </r>
  <r>
    <x v="14"/>
    <x v="7"/>
    <x v="1"/>
    <n v="0"/>
    <n v="73"/>
    <n v="0"/>
    <s v="Thu"/>
  </r>
  <r>
    <x v="14"/>
    <x v="8"/>
    <x v="1"/>
    <n v="1"/>
    <n v="225"/>
    <n v="225"/>
    <s v="Thu"/>
  </r>
  <r>
    <x v="14"/>
    <x v="9"/>
    <x v="1"/>
    <n v="0"/>
    <n v="559"/>
    <n v="0"/>
    <s v="Thu"/>
  </r>
  <r>
    <x v="14"/>
    <x v="10"/>
    <x v="1"/>
    <n v="26"/>
    <n v="3199"/>
    <n v="83174"/>
    <s v="Thu"/>
  </r>
  <r>
    <x v="14"/>
    <x v="11"/>
    <x v="1"/>
    <n v="3"/>
    <n v="371"/>
    <n v="1113"/>
    <s v="Thu"/>
  </r>
  <r>
    <x v="14"/>
    <x v="12"/>
    <x v="1"/>
    <n v="9"/>
    <n v="2300"/>
    <n v="20700"/>
    <s v="Thu"/>
  </r>
  <r>
    <x v="14"/>
    <x v="13"/>
    <x v="1"/>
    <n v="8"/>
    <n v="499"/>
    <n v="3992"/>
    <s v="Thu"/>
  </r>
  <r>
    <x v="14"/>
    <x v="14"/>
    <x v="1"/>
    <n v="0"/>
    <n v="299"/>
    <n v="0"/>
    <s v="Thu"/>
  </r>
  <r>
    <x v="14"/>
    <x v="15"/>
    <x v="1"/>
    <n v="0"/>
    <n v="901"/>
    <n v="0"/>
    <s v="Thu"/>
  </r>
  <r>
    <x v="14"/>
    <x v="16"/>
    <x v="1"/>
    <n v="2"/>
    <n v="929"/>
    <n v="1858"/>
    <s v="Thu"/>
  </r>
  <r>
    <x v="14"/>
    <x v="17"/>
    <x v="1"/>
    <n v="0"/>
    <n v="1030"/>
    <n v="0"/>
    <s v="Thu"/>
  </r>
  <r>
    <x v="14"/>
    <x v="18"/>
    <x v="1"/>
    <n v="0"/>
    <n v="1222"/>
    <n v="0"/>
    <s v="Thu"/>
  </r>
  <r>
    <x v="14"/>
    <x v="19"/>
    <x v="1"/>
    <n v="0"/>
    <n v="649"/>
    <n v="0"/>
    <s v="Thu"/>
  </r>
  <r>
    <x v="14"/>
    <x v="20"/>
    <x v="1"/>
    <n v="18"/>
    <n v="1800"/>
    <n v="32400"/>
    <s v="Thu"/>
  </r>
  <r>
    <x v="14"/>
    <x v="21"/>
    <x v="1"/>
    <n v="13"/>
    <n v="345"/>
    <n v="4485"/>
    <s v="Thu"/>
  </r>
  <r>
    <x v="14"/>
    <x v="22"/>
    <x v="1"/>
    <n v="8"/>
    <n v="350"/>
    <n v="2800"/>
    <s v="Thu"/>
  </r>
  <r>
    <x v="14"/>
    <x v="23"/>
    <x v="1"/>
    <n v="7"/>
    <n v="1575"/>
    <n v="11025"/>
    <s v="Thu"/>
  </r>
  <r>
    <x v="14"/>
    <x v="24"/>
    <x v="1"/>
    <n v="3"/>
    <n v="1045"/>
    <n v="3135"/>
    <s v="Thu"/>
  </r>
  <r>
    <x v="14"/>
    <x v="25"/>
    <x v="1"/>
    <n v="5"/>
    <n v="1186"/>
    <n v="5930"/>
    <s v="Thu"/>
  </r>
  <r>
    <x v="14"/>
    <x v="26"/>
    <x v="1"/>
    <n v="0"/>
    <n v="374"/>
    <n v="0"/>
    <s v="Thu"/>
  </r>
  <r>
    <x v="14"/>
    <x v="27"/>
    <x v="1"/>
    <n v="1"/>
    <n v="1500"/>
    <n v="1500"/>
    <s v="Thu"/>
  </r>
  <r>
    <x v="14"/>
    <x v="28"/>
    <x v="1"/>
    <n v="0"/>
    <n v="1800"/>
    <n v="0"/>
    <s v="Thu"/>
  </r>
  <r>
    <x v="14"/>
    <x v="29"/>
    <x v="1"/>
    <n v="0"/>
    <n v="1477"/>
    <n v="0"/>
    <s v="Thu"/>
  </r>
  <r>
    <x v="14"/>
    <x v="0"/>
    <x v="2"/>
    <n v="12"/>
    <n v="210"/>
    <n v="2520"/>
    <s v="Thu"/>
  </r>
  <r>
    <x v="14"/>
    <x v="1"/>
    <x v="2"/>
    <n v="5"/>
    <n v="199"/>
    <n v="995"/>
    <s v="Thu"/>
  </r>
  <r>
    <x v="14"/>
    <x v="2"/>
    <x v="2"/>
    <n v="3"/>
    <n v="322"/>
    <n v="966"/>
    <s v="Thu"/>
  </r>
  <r>
    <x v="14"/>
    <x v="3"/>
    <x v="2"/>
    <n v="4"/>
    <n v="161"/>
    <n v="644"/>
    <s v="Thu"/>
  </r>
  <r>
    <x v="14"/>
    <x v="4"/>
    <x v="2"/>
    <n v="2"/>
    <n v="109"/>
    <n v="218"/>
    <s v="Thu"/>
  </r>
  <r>
    <x v="14"/>
    <x v="5"/>
    <x v="2"/>
    <n v="2"/>
    <n v="122"/>
    <n v="244"/>
    <s v="Thu"/>
  </r>
  <r>
    <x v="14"/>
    <x v="6"/>
    <x v="2"/>
    <n v="2"/>
    <n v="96"/>
    <n v="192"/>
    <s v="Thu"/>
  </r>
  <r>
    <x v="14"/>
    <x v="7"/>
    <x v="2"/>
    <n v="0"/>
    <n v="73"/>
    <n v="0"/>
    <s v="Thu"/>
  </r>
  <r>
    <x v="14"/>
    <x v="8"/>
    <x v="2"/>
    <n v="2"/>
    <n v="225"/>
    <n v="450"/>
    <s v="Thu"/>
  </r>
  <r>
    <x v="14"/>
    <x v="9"/>
    <x v="2"/>
    <n v="1"/>
    <n v="559"/>
    <n v="559"/>
    <s v="Thu"/>
  </r>
  <r>
    <x v="14"/>
    <x v="10"/>
    <x v="2"/>
    <n v="1"/>
    <n v="3199"/>
    <n v="3199"/>
    <s v="Thu"/>
  </r>
  <r>
    <x v="14"/>
    <x v="11"/>
    <x v="2"/>
    <n v="16"/>
    <n v="371"/>
    <n v="5936"/>
    <s v="Thu"/>
  </r>
  <r>
    <x v="14"/>
    <x v="12"/>
    <x v="2"/>
    <n v="3"/>
    <n v="2300"/>
    <n v="6900"/>
    <s v="Thu"/>
  </r>
  <r>
    <x v="14"/>
    <x v="13"/>
    <x v="2"/>
    <n v="4"/>
    <n v="499"/>
    <n v="1996"/>
    <s v="Thu"/>
  </r>
  <r>
    <x v="14"/>
    <x v="14"/>
    <x v="2"/>
    <n v="6"/>
    <n v="299"/>
    <n v="1794"/>
    <s v="Thu"/>
  </r>
  <r>
    <x v="14"/>
    <x v="15"/>
    <x v="2"/>
    <n v="3"/>
    <n v="901"/>
    <n v="2703"/>
    <s v="Thu"/>
  </r>
  <r>
    <x v="14"/>
    <x v="16"/>
    <x v="2"/>
    <n v="2"/>
    <n v="929"/>
    <n v="1858"/>
    <s v="Thu"/>
  </r>
  <r>
    <x v="14"/>
    <x v="17"/>
    <x v="2"/>
    <n v="2"/>
    <n v="1030"/>
    <n v="2060"/>
    <s v="Thu"/>
  </r>
  <r>
    <x v="14"/>
    <x v="18"/>
    <x v="2"/>
    <n v="1"/>
    <n v="1222"/>
    <n v="1222"/>
    <s v="Thu"/>
  </r>
  <r>
    <x v="14"/>
    <x v="19"/>
    <x v="2"/>
    <n v="3"/>
    <n v="649"/>
    <n v="1947"/>
    <s v="Thu"/>
  </r>
  <r>
    <x v="14"/>
    <x v="20"/>
    <x v="2"/>
    <n v="9"/>
    <n v="1800"/>
    <n v="16200"/>
    <s v="Thu"/>
  </r>
  <r>
    <x v="14"/>
    <x v="21"/>
    <x v="2"/>
    <n v="2"/>
    <n v="345"/>
    <n v="690"/>
    <s v="Thu"/>
  </r>
  <r>
    <x v="14"/>
    <x v="22"/>
    <x v="2"/>
    <n v="6"/>
    <n v="350"/>
    <n v="2100"/>
    <s v="Thu"/>
  </r>
  <r>
    <x v="14"/>
    <x v="23"/>
    <x v="2"/>
    <n v="2"/>
    <n v="1575"/>
    <n v="3150"/>
    <s v="Thu"/>
  </r>
  <r>
    <x v="14"/>
    <x v="24"/>
    <x v="2"/>
    <n v="5"/>
    <n v="1045"/>
    <n v="5225"/>
    <s v="Thu"/>
  </r>
  <r>
    <x v="14"/>
    <x v="25"/>
    <x v="2"/>
    <n v="1"/>
    <n v="1186"/>
    <n v="1186"/>
    <s v="Thu"/>
  </r>
  <r>
    <x v="14"/>
    <x v="26"/>
    <x v="2"/>
    <n v="5"/>
    <n v="374"/>
    <n v="1870"/>
    <s v="Thu"/>
  </r>
  <r>
    <x v="14"/>
    <x v="27"/>
    <x v="2"/>
    <n v="1"/>
    <n v="1500"/>
    <n v="1500"/>
    <s v="Thu"/>
  </r>
  <r>
    <x v="14"/>
    <x v="28"/>
    <x v="2"/>
    <n v="2"/>
    <n v="1800"/>
    <n v="3600"/>
    <s v="Thu"/>
  </r>
  <r>
    <x v="14"/>
    <x v="29"/>
    <x v="2"/>
    <n v="0"/>
    <n v="1477"/>
    <n v="0"/>
    <s v="Thu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B20" firstHeaderRow="1" firstDataRow="1" firstDataCol="1" rowPageCount="2" colPageCount="1"/>
  <pivotFields count="6">
    <pivotField axis="axisRow"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Page" multipleItemSelectionAllowed="1" showAll="0">
      <items count="31"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t="default"/>
      </items>
    </pivotField>
    <pivotField axis="axisPage" showAll="0">
      <items count="4">
        <item x="2"/>
        <item x="0"/>
        <item x="1"/>
        <item t="default"/>
      </items>
    </pivotField>
    <pivotField dataField="1" showAll="0"/>
    <pivotField showAll="0"/>
    <pivotField numFmtId="44"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2">
    <pageField fld="1" hier="-1"/>
    <pageField fld="2" item="2" hier="-1"/>
  </pageFields>
  <dataFields count="1">
    <dataField name="Sum of Sales" fld="3" baseField="0" baseItem="0"/>
  </dataFields>
  <formats count="7">
    <format dxfId="25">
      <pivotArea type="all" dataOnly="0" outline="0" fieldPosition="0"/>
    </format>
    <format dxfId="26">
      <pivotArea outline="0" collapsedLevelsAreSubtotals="1" fieldPosition="0"/>
    </format>
    <format dxfId="27">
      <pivotArea field="0" type="button" dataOnly="0" labelOnly="1" outline="0" axis="axisRow" fieldPosition="0"/>
    </format>
    <format dxfId="28">
      <pivotArea dataOnly="0" labelOnly="1" outline="0" axis="axisValues" fieldPosition="0"/>
    </format>
    <format dxfId="29">
      <pivotArea dataOnly="0" labelOnly="1" fieldPosition="0">
        <references count="1">
          <reference field="0" count="0"/>
        </references>
      </pivotArea>
    </format>
    <format dxfId="30">
      <pivotArea dataOnly="0" labelOnly="1" grandRow="1" outline="0" fieldPosition="0"/>
    </format>
    <format dxfId="3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Q35" firstHeaderRow="1" firstDataRow="2" firstDataCol="1" rowPageCount="1" colPageCount="1"/>
  <pivotFields count="6">
    <pivotField axis="axisCol"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>
      <items count="31"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Page" showAll="0">
      <items count="4">
        <item x="2"/>
        <item x="0"/>
        <item x="1"/>
        <item t="default"/>
      </items>
    </pivotField>
    <pivotField dataField="1" showAll="0"/>
    <pivotField showAll="0"/>
    <pivotField numFmtId="44"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0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pageFields count="1">
    <pageField fld="2" item="2" hier="-1"/>
  </pageField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34" firstHeaderRow="1" firstDataRow="1" firstDataCol="1"/>
  <pivotFields count="5">
    <pivotField axis="axisRow" showAll="0">
      <items count="31"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dataField="1" numFmtId="44" showAl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Revenue" fld="4" baseField="0" baseItem="0" numFmtId="44"/>
  </dataFields>
  <formats count="10">
    <format dxfId="24">
      <pivotArea outline="0" collapsedLevelsAreSubtotals="1" fieldPosition="0"/>
    </format>
    <format dxfId="23">
      <pivotArea dataOnly="0" labelOnly="1" outline="0" axis="axisValues" fieldPosition="0"/>
    </format>
    <format dxfId="22">
      <pivotArea dataOnly="0" labelOnly="1" outline="0" axis="axisValues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0" type="button" dataOnly="0" labelOnly="1" outline="0" axis="axisRow" fieldPosition="0"/>
    </format>
    <format dxfId="18">
      <pivotArea dataOnly="0" labelOnly="1" outline="0" axis="axisValues" fieldPosition="0"/>
    </format>
    <format dxfId="17">
      <pivotArea dataOnly="0" labelOnly="1" fieldPosition="0">
        <references count="1">
          <reference field="0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2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34" firstHeaderRow="1" firstDataRow="1" firstDataCol="1"/>
  <pivotFields count="7">
    <pivotField numFmtId="14" showAll="0"/>
    <pivotField axis="axisRow" showAll="0">
      <items count="31"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dataField="1" showAll="0"/>
    <pivotField showAll="0"/>
    <pivotField numFmtId="44" showAll="0"/>
    <pivotField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Sales" fld="3" baseField="0" baseItem="0"/>
  </dataFields>
  <formats count="7"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1" type="button" dataOnly="0" labelOnly="1" outline="0" axis="axisRow" fieldPosition="0"/>
    </format>
    <format dxfId="11">
      <pivotArea dataOnly="0" labelOnly="1" outline="0" axis="axisValues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2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34" firstHeaderRow="0" firstDataRow="1" firstDataCol="1" rowPageCount="1" colPageCount="1"/>
  <pivotFields count="7">
    <pivotField numFmtId="14" showAll="0"/>
    <pivotField axis="axisRow" showAll="0">
      <items count="31"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Page" showAll="0">
      <items count="4">
        <item x="2"/>
        <item x="0"/>
        <item x="1"/>
        <item t="default"/>
      </items>
    </pivotField>
    <pivotField dataField="1" showAll="0"/>
    <pivotField showAll="0"/>
    <pivotField dataField="1" numFmtId="44" showAll="0"/>
    <pivotField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pageFields count="1">
    <pageField fld="2" item="2" hier="-1"/>
  </pageFields>
  <dataFields count="2">
    <dataField name="Sum of Sales" fld="3" baseField="0" baseItem="0"/>
    <dataField name="Sum of Revenue" fld="5" baseField="0" baseItem="0"/>
  </dataFields>
  <formats count="1">
    <format dxfId="7">
      <pivotArea dataOnly="0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8" cacheId="2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9" firstHeaderRow="1" firstDataRow="1" firstDataCol="1"/>
  <pivotFields count="7">
    <pivotField axis="axisRow"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dataField="1" numFmtId="44"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Revenue" fld="5" baseField="0" baseItem="0" numFmtId="44"/>
  </dataFields>
  <formats count="7">
    <format dxfId="6">
      <pivotArea dataOnly="0" labelOnly="1" outline="0" axis="axisValues" fieldPosition="0"/>
    </format>
    <format dxfId="5">
      <pivotArea dataOnly="0" labelOnly="1" outline="0" axis="axisValues" fieldPosition="0"/>
    </format>
    <format dxfId="4">
      <pivotArea dataOnly="0" labelOnly="1" outline="0" axis="axisValues" fieldPosition="0"/>
    </format>
    <format dxfId="3">
      <pivotArea dataOnly="0" labelOnly="1" outline="0" axis="axisValues" fieldPosition="0"/>
    </format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1" cacheId="2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Q35" firstHeaderRow="1" firstDataRow="2" firstDataCol="1" rowPageCount="1" colPageCount="1"/>
  <pivotFields count="7">
    <pivotField axis="axisCol"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>
      <items count="31"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Page" showAll="0">
      <items count="4">
        <item x="2"/>
        <item x="0"/>
        <item x="1"/>
        <item t="default"/>
      </items>
    </pivotField>
    <pivotField dataField="1" showAll="0"/>
    <pivotField showAll="0"/>
    <pivotField numFmtId="44" showAll="0"/>
    <pivotField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0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pageFields count="1">
    <pageField fld="2" item="0" hier="-1"/>
  </pageField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1"/>
  <sheetViews>
    <sheetView tabSelected="1" workbookViewId="0">
      <selection activeCell="H15" sqref="H15"/>
    </sheetView>
  </sheetViews>
  <sheetFormatPr defaultColWidth="12.6640625" defaultRowHeight="15.75" customHeight="1" x14ac:dyDescent="0.25"/>
  <cols>
    <col min="3" max="3" width="15" customWidth="1"/>
    <col min="4" max="4" width="27.6640625" customWidth="1"/>
  </cols>
  <sheetData>
    <row r="1" spans="1:5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3">
        <v>210</v>
      </c>
    </row>
    <row r="3" spans="1:5" ht="15.75" customHeight="1" x14ac:dyDescent="0.3">
      <c r="A3" s="2" t="s">
        <v>5</v>
      </c>
      <c r="B3" s="2" t="s">
        <v>9</v>
      </c>
      <c r="C3" s="2" t="s">
        <v>10</v>
      </c>
      <c r="D3" s="2" t="s">
        <v>11</v>
      </c>
      <c r="E3" s="3">
        <v>199</v>
      </c>
    </row>
    <row r="4" spans="1:5" ht="15.75" customHeight="1" x14ac:dyDescent="0.3">
      <c r="A4" s="2" t="s">
        <v>5</v>
      </c>
      <c r="B4" s="2" t="s">
        <v>12</v>
      </c>
      <c r="C4" s="2" t="s">
        <v>13</v>
      </c>
      <c r="D4" s="2" t="s">
        <v>14</v>
      </c>
      <c r="E4" s="3">
        <v>322</v>
      </c>
    </row>
    <row r="5" spans="1:5" ht="15.75" customHeight="1" x14ac:dyDescent="0.3">
      <c r="A5" s="2" t="s">
        <v>5</v>
      </c>
      <c r="B5" s="2" t="s">
        <v>15</v>
      </c>
      <c r="C5" s="2" t="s">
        <v>7</v>
      </c>
      <c r="D5" s="2" t="s">
        <v>16</v>
      </c>
      <c r="E5" s="3">
        <v>161</v>
      </c>
    </row>
    <row r="6" spans="1:5" ht="15.75" customHeight="1" x14ac:dyDescent="0.3">
      <c r="A6" s="2" t="s">
        <v>5</v>
      </c>
      <c r="B6" s="2" t="s">
        <v>17</v>
      </c>
      <c r="C6" s="2" t="s">
        <v>18</v>
      </c>
      <c r="D6" s="2" t="s">
        <v>19</v>
      </c>
      <c r="E6" s="3">
        <v>109</v>
      </c>
    </row>
    <row r="7" spans="1:5" ht="15.75" customHeight="1" x14ac:dyDescent="0.3">
      <c r="A7" s="2" t="s">
        <v>5</v>
      </c>
      <c r="B7" s="2" t="s">
        <v>20</v>
      </c>
      <c r="C7" s="2" t="s">
        <v>21</v>
      </c>
      <c r="D7" s="2" t="s">
        <v>22</v>
      </c>
      <c r="E7" s="3">
        <v>122</v>
      </c>
    </row>
    <row r="8" spans="1:5" ht="15.75" customHeight="1" x14ac:dyDescent="0.3">
      <c r="A8" s="2" t="s">
        <v>5</v>
      </c>
      <c r="B8" s="2" t="s">
        <v>23</v>
      </c>
      <c r="C8" s="2" t="s">
        <v>24</v>
      </c>
      <c r="D8" s="2" t="s">
        <v>25</v>
      </c>
      <c r="E8" s="3">
        <v>96</v>
      </c>
    </row>
    <row r="9" spans="1:5" ht="15.75" customHeight="1" x14ac:dyDescent="0.3">
      <c r="A9" s="2" t="s">
        <v>5</v>
      </c>
      <c r="B9" s="2" t="s">
        <v>26</v>
      </c>
      <c r="C9" s="2" t="s">
        <v>27</v>
      </c>
      <c r="D9" s="2" t="s">
        <v>28</v>
      </c>
      <c r="E9" s="3">
        <v>73</v>
      </c>
    </row>
    <row r="10" spans="1:5" ht="15.75" customHeight="1" x14ac:dyDescent="0.3">
      <c r="A10" s="2" t="s">
        <v>5</v>
      </c>
      <c r="B10" s="2" t="s">
        <v>29</v>
      </c>
      <c r="C10" s="2" t="s">
        <v>30</v>
      </c>
      <c r="D10" s="2" t="s">
        <v>31</v>
      </c>
      <c r="E10" s="3">
        <v>225</v>
      </c>
    </row>
    <row r="11" spans="1:5" ht="15.75" customHeight="1" x14ac:dyDescent="0.3">
      <c r="A11" s="2" t="s">
        <v>5</v>
      </c>
      <c r="B11" s="2" t="s">
        <v>32</v>
      </c>
      <c r="C11" s="2" t="s">
        <v>33</v>
      </c>
      <c r="D11" s="2" t="s">
        <v>34</v>
      </c>
      <c r="E11" s="3">
        <v>559</v>
      </c>
    </row>
    <row r="12" spans="1:5" ht="15.75" customHeight="1" x14ac:dyDescent="0.3">
      <c r="A12" s="2" t="s">
        <v>35</v>
      </c>
      <c r="B12" s="2" t="s">
        <v>36</v>
      </c>
      <c r="C12" s="2" t="s">
        <v>37</v>
      </c>
      <c r="D12" s="2" t="s">
        <v>38</v>
      </c>
      <c r="E12" s="3">
        <v>3199</v>
      </c>
    </row>
    <row r="13" spans="1:5" ht="15.75" customHeight="1" x14ac:dyDescent="0.3">
      <c r="A13" s="2" t="s">
        <v>35</v>
      </c>
      <c r="B13" s="2" t="s">
        <v>39</v>
      </c>
      <c r="C13" s="2" t="s">
        <v>40</v>
      </c>
      <c r="D13" s="2" t="s">
        <v>41</v>
      </c>
      <c r="E13" s="3">
        <v>371</v>
      </c>
    </row>
    <row r="14" spans="1:5" ht="15.75" customHeight="1" x14ac:dyDescent="0.3">
      <c r="A14" s="2" t="s">
        <v>35</v>
      </c>
      <c r="B14" s="2" t="s">
        <v>42</v>
      </c>
      <c r="C14" s="2" t="s">
        <v>43</v>
      </c>
      <c r="D14" s="2" t="s">
        <v>44</v>
      </c>
      <c r="E14" s="3">
        <v>2300</v>
      </c>
    </row>
    <row r="15" spans="1:5" ht="15.75" customHeight="1" x14ac:dyDescent="0.3">
      <c r="A15" s="2" t="s">
        <v>35</v>
      </c>
      <c r="B15" s="2" t="s">
        <v>45</v>
      </c>
      <c r="C15" s="2" t="s">
        <v>46</v>
      </c>
      <c r="D15" s="2" t="s">
        <v>47</v>
      </c>
      <c r="E15" s="3">
        <v>499</v>
      </c>
    </row>
    <row r="16" spans="1:5" ht="15.75" customHeight="1" x14ac:dyDescent="0.3">
      <c r="A16" s="2" t="s">
        <v>35</v>
      </c>
      <c r="B16" s="2" t="s">
        <v>48</v>
      </c>
      <c r="C16" s="2" t="s">
        <v>49</v>
      </c>
      <c r="D16" s="2" t="s">
        <v>50</v>
      </c>
      <c r="E16" s="3">
        <v>299</v>
      </c>
    </row>
    <row r="17" spans="1:5" ht="15.75" customHeight="1" x14ac:dyDescent="0.3">
      <c r="A17" s="2" t="s">
        <v>35</v>
      </c>
      <c r="B17" s="2" t="s">
        <v>51</v>
      </c>
      <c r="C17" s="2" t="s">
        <v>52</v>
      </c>
      <c r="D17" s="2" t="s">
        <v>53</v>
      </c>
      <c r="E17" s="3">
        <v>901</v>
      </c>
    </row>
    <row r="18" spans="1:5" ht="15.75" customHeight="1" x14ac:dyDescent="0.3">
      <c r="A18" s="2" t="s">
        <v>35</v>
      </c>
      <c r="B18" s="2" t="s">
        <v>54</v>
      </c>
      <c r="C18" s="2" t="s">
        <v>55</v>
      </c>
      <c r="D18" s="2" t="s">
        <v>56</v>
      </c>
      <c r="E18" s="3">
        <v>929</v>
      </c>
    </row>
    <row r="19" spans="1:5" ht="15.75" customHeight="1" x14ac:dyDescent="0.3">
      <c r="A19" s="2" t="s">
        <v>35</v>
      </c>
      <c r="B19" s="2" t="s">
        <v>57</v>
      </c>
      <c r="C19" s="2" t="s">
        <v>58</v>
      </c>
      <c r="D19" s="2" t="s">
        <v>59</v>
      </c>
      <c r="E19" s="3">
        <v>1030</v>
      </c>
    </row>
    <row r="20" spans="1:5" ht="15.75" customHeight="1" x14ac:dyDescent="0.3">
      <c r="A20" s="2" t="s">
        <v>35</v>
      </c>
      <c r="B20" s="2" t="s">
        <v>60</v>
      </c>
      <c r="C20" s="2" t="s">
        <v>61</v>
      </c>
      <c r="D20" s="2" t="s">
        <v>62</v>
      </c>
      <c r="E20" s="3">
        <v>1222</v>
      </c>
    </row>
    <row r="21" spans="1:5" ht="15.75" customHeight="1" x14ac:dyDescent="0.3">
      <c r="A21" s="2" t="s">
        <v>35</v>
      </c>
      <c r="B21" s="2" t="s">
        <v>63</v>
      </c>
      <c r="C21" s="2" t="s">
        <v>64</v>
      </c>
      <c r="D21" s="2" t="s">
        <v>65</v>
      </c>
      <c r="E21" s="3">
        <v>649</v>
      </c>
    </row>
    <row r="22" spans="1:5" ht="15.75" customHeight="1" x14ac:dyDescent="0.3">
      <c r="A22" s="2" t="s">
        <v>66</v>
      </c>
      <c r="B22" s="2" t="s">
        <v>67</v>
      </c>
      <c r="C22" s="2" t="s">
        <v>68</v>
      </c>
      <c r="D22" s="2" t="s">
        <v>69</v>
      </c>
      <c r="E22" s="3">
        <v>1800</v>
      </c>
    </row>
    <row r="23" spans="1:5" ht="15.75" customHeight="1" x14ac:dyDescent="0.3">
      <c r="A23" s="2" t="s">
        <v>66</v>
      </c>
      <c r="B23" s="2" t="s">
        <v>70</v>
      </c>
      <c r="C23" s="2" t="s">
        <v>71</v>
      </c>
      <c r="D23" s="2" t="s">
        <v>72</v>
      </c>
      <c r="E23" s="3">
        <v>345</v>
      </c>
    </row>
    <row r="24" spans="1:5" ht="15.75" customHeight="1" x14ac:dyDescent="0.3">
      <c r="A24" s="2" t="s">
        <v>66</v>
      </c>
      <c r="B24" s="2" t="s">
        <v>73</v>
      </c>
      <c r="C24" s="2" t="s">
        <v>74</v>
      </c>
      <c r="D24" s="2" t="s">
        <v>75</v>
      </c>
      <c r="E24" s="3">
        <v>350</v>
      </c>
    </row>
    <row r="25" spans="1:5" ht="15.75" customHeight="1" x14ac:dyDescent="0.3">
      <c r="A25" s="2" t="s">
        <v>66</v>
      </c>
      <c r="B25" s="2" t="s">
        <v>76</v>
      </c>
      <c r="C25" s="2" t="s">
        <v>74</v>
      </c>
      <c r="D25" s="2" t="s">
        <v>77</v>
      </c>
      <c r="E25" s="3">
        <v>1575</v>
      </c>
    </row>
    <row r="26" spans="1:5" ht="15.75" customHeight="1" x14ac:dyDescent="0.3">
      <c r="A26" s="2" t="s">
        <v>66</v>
      </c>
      <c r="B26" s="2" t="s">
        <v>78</v>
      </c>
      <c r="C26" s="2" t="s">
        <v>79</v>
      </c>
      <c r="D26" s="2" t="s">
        <v>80</v>
      </c>
      <c r="E26" s="3">
        <v>1045</v>
      </c>
    </row>
    <row r="27" spans="1:5" ht="15.75" customHeight="1" x14ac:dyDescent="0.3">
      <c r="A27" s="2" t="s">
        <v>66</v>
      </c>
      <c r="B27" s="2" t="s">
        <v>81</v>
      </c>
      <c r="C27" s="2" t="s">
        <v>82</v>
      </c>
      <c r="D27" s="2" t="s">
        <v>83</v>
      </c>
      <c r="E27" s="3">
        <v>1186</v>
      </c>
    </row>
    <row r="28" spans="1:5" ht="15.75" customHeight="1" x14ac:dyDescent="0.3">
      <c r="A28" s="2" t="s">
        <v>66</v>
      </c>
      <c r="B28" s="2" t="s">
        <v>84</v>
      </c>
      <c r="C28" s="2" t="s">
        <v>85</v>
      </c>
      <c r="D28" s="2" t="s">
        <v>86</v>
      </c>
      <c r="E28" s="3">
        <v>374</v>
      </c>
    </row>
    <row r="29" spans="1:5" ht="15.75" customHeight="1" x14ac:dyDescent="0.3">
      <c r="A29" s="2" t="s">
        <v>66</v>
      </c>
      <c r="B29" s="2" t="s">
        <v>87</v>
      </c>
      <c r="C29" s="2" t="s">
        <v>88</v>
      </c>
      <c r="D29" s="2" t="s">
        <v>89</v>
      </c>
      <c r="E29" s="3">
        <v>1500</v>
      </c>
    </row>
    <row r="30" spans="1:5" ht="15.75" customHeight="1" x14ac:dyDescent="0.3">
      <c r="A30" s="2" t="s">
        <v>66</v>
      </c>
      <c r="B30" s="2" t="s">
        <v>90</v>
      </c>
      <c r="C30" s="2" t="s">
        <v>91</v>
      </c>
      <c r="D30" s="2" t="s">
        <v>92</v>
      </c>
      <c r="E30" s="3">
        <v>1800</v>
      </c>
    </row>
    <row r="31" spans="1:5" ht="14.4" x14ac:dyDescent="0.3">
      <c r="A31" s="2" t="s">
        <v>66</v>
      </c>
      <c r="B31" s="2" t="s">
        <v>93</v>
      </c>
      <c r="C31" s="2" t="s">
        <v>94</v>
      </c>
      <c r="D31" s="2" t="s">
        <v>95</v>
      </c>
      <c r="E31" s="3">
        <v>1477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1"/>
  <sheetViews>
    <sheetView workbookViewId="0">
      <pane ySplit="1" topLeftCell="A2" activePane="bottomLeft" state="frozen"/>
      <selection pane="bottomLeft"/>
    </sheetView>
  </sheetViews>
  <sheetFormatPr defaultColWidth="12.6640625" defaultRowHeight="15.75" customHeight="1" x14ac:dyDescent="0.3"/>
  <cols>
    <col min="6" max="16384" width="12.6640625" style="17"/>
  </cols>
  <sheetData>
    <row r="1" spans="1:5" ht="15.75" customHeight="1" x14ac:dyDescent="0.3">
      <c r="A1" s="1" t="s">
        <v>1</v>
      </c>
      <c r="B1" s="1" t="s">
        <v>96</v>
      </c>
      <c r="C1" s="1" t="s">
        <v>97</v>
      </c>
      <c r="D1" s="1" t="s">
        <v>98</v>
      </c>
      <c r="E1" s="1" t="s">
        <v>104</v>
      </c>
    </row>
    <row r="2" spans="1:5" ht="15.75" customHeight="1" x14ac:dyDescent="0.3">
      <c r="A2" s="2" t="s">
        <v>36</v>
      </c>
      <c r="B2" s="3">
        <v>378</v>
      </c>
      <c r="C2" s="3">
        <v>75</v>
      </c>
      <c r="D2" s="3">
        <v>44</v>
      </c>
      <c r="E2">
        <f>SUM(B2:D2)</f>
        <v>497</v>
      </c>
    </row>
    <row r="3" spans="1:5" ht="15.75" customHeight="1" x14ac:dyDescent="0.3">
      <c r="A3" s="2" t="s">
        <v>39</v>
      </c>
      <c r="B3" s="3">
        <v>187</v>
      </c>
      <c r="C3" s="3">
        <v>40</v>
      </c>
      <c r="D3" s="3">
        <v>24</v>
      </c>
      <c r="E3">
        <f t="shared" ref="E3:E31" si="0">SUM(B3:D3)</f>
        <v>251</v>
      </c>
    </row>
    <row r="4" spans="1:5" ht="15.75" customHeight="1" x14ac:dyDescent="0.3">
      <c r="A4" s="2" t="s">
        <v>42</v>
      </c>
      <c r="B4" s="3">
        <v>63</v>
      </c>
      <c r="C4" s="3">
        <v>34</v>
      </c>
      <c r="D4" s="3">
        <v>12</v>
      </c>
      <c r="E4">
        <f t="shared" si="0"/>
        <v>109</v>
      </c>
    </row>
    <row r="5" spans="1:5" ht="15.75" customHeight="1" x14ac:dyDescent="0.3">
      <c r="A5" s="2" t="s">
        <v>45</v>
      </c>
      <c r="B5" s="3">
        <v>83</v>
      </c>
      <c r="C5" s="3">
        <v>21</v>
      </c>
      <c r="D5" s="3">
        <v>14</v>
      </c>
      <c r="E5">
        <f t="shared" si="0"/>
        <v>118</v>
      </c>
    </row>
    <row r="6" spans="1:5" ht="15.75" customHeight="1" x14ac:dyDescent="0.3">
      <c r="A6" s="2" t="s">
        <v>48</v>
      </c>
      <c r="B6" s="3">
        <v>86</v>
      </c>
      <c r="C6" s="3">
        <v>24</v>
      </c>
      <c r="D6" s="3">
        <v>13</v>
      </c>
      <c r="E6">
        <f t="shared" si="0"/>
        <v>123</v>
      </c>
    </row>
    <row r="7" spans="1:5" ht="15.75" customHeight="1" x14ac:dyDescent="0.3">
      <c r="A7" s="2" t="s">
        <v>51</v>
      </c>
      <c r="B7" s="3">
        <v>49</v>
      </c>
      <c r="C7" s="3">
        <v>14</v>
      </c>
      <c r="D7" s="3">
        <v>6</v>
      </c>
      <c r="E7">
        <f t="shared" si="0"/>
        <v>69</v>
      </c>
    </row>
    <row r="8" spans="1:5" ht="15.75" customHeight="1" x14ac:dyDescent="0.3">
      <c r="A8" s="2" t="s">
        <v>54</v>
      </c>
      <c r="B8" s="3">
        <v>55</v>
      </c>
      <c r="C8" s="3">
        <v>9</v>
      </c>
      <c r="D8" s="3">
        <v>10</v>
      </c>
      <c r="E8">
        <f t="shared" si="0"/>
        <v>74</v>
      </c>
    </row>
    <row r="9" spans="1:5" ht="15.75" customHeight="1" x14ac:dyDescent="0.3">
      <c r="A9" s="2" t="s">
        <v>57</v>
      </c>
      <c r="B9" s="3">
        <v>23</v>
      </c>
      <c r="C9" s="3">
        <v>4</v>
      </c>
      <c r="D9" s="3">
        <v>2</v>
      </c>
      <c r="E9">
        <f t="shared" si="0"/>
        <v>29</v>
      </c>
    </row>
    <row r="10" spans="1:5" ht="15.75" customHeight="1" x14ac:dyDescent="0.3">
      <c r="A10" s="2" t="s">
        <v>60</v>
      </c>
      <c r="B10" s="3">
        <v>15</v>
      </c>
      <c r="C10" s="3">
        <v>5</v>
      </c>
      <c r="D10" s="3">
        <v>2</v>
      </c>
      <c r="E10">
        <f t="shared" si="0"/>
        <v>22</v>
      </c>
    </row>
    <row r="11" spans="1:5" ht="15.75" customHeight="1" x14ac:dyDescent="0.3">
      <c r="A11" s="2" t="s">
        <v>63</v>
      </c>
      <c r="B11" s="3">
        <v>16</v>
      </c>
      <c r="C11" s="3">
        <v>8</v>
      </c>
      <c r="D11" s="3">
        <v>2</v>
      </c>
      <c r="E11">
        <f t="shared" si="0"/>
        <v>26</v>
      </c>
    </row>
    <row r="12" spans="1:5" ht="15.75" customHeight="1" x14ac:dyDescent="0.3">
      <c r="A12" s="2" t="s">
        <v>67</v>
      </c>
      <c r="B12" s="3">
        <v>234</v>
      </c>
      <c r="C12" s="3">
        <v>58</v>
      </c>
      <c r="D12" s="3">
        <v>63</v>
      </c>
      <c r="E12">
        <f t="shared" si="0"/>
        <v>355</v>
      </c>
    </row>
    <row r="13" spans="1:5" ht="15.75" customHeight="1" x14ac:dyDescent="0.3">
      <c r="A13" s="2" t="s">
        <v>70</v>
      </c>
      <c r="B13" s="3">
        <v>234</v>
      </c>
      <c r="C13" s="3">
        <v>32</v>
      </c>
      <c r="D13" s="3">
        <v>49</v>
      </c>
      <c r="E13">
        <f t="shared" si="0"/>
        <v>315</v>
      </c>
    </row>
    <row r="14" spans="1:5" ht="15.75" customHeight="1" x14ac:dyDescent="0.3">
      <c r="A14" s="2" t="s">
        <v>73</v>
      </c>
      <c r="B14" s="3">
        <v>128</v>
      </c>
      <c r="C14" s="3">
        <v>14</v>
      </c>
      <c r="D14" s="3">
        <v>23</v>
      </c>
      <c r="E14">
        <f t="shared" si="0"/>
        <v>165</v>
      </c>
    </row>
    <row r="15" spans="1:5" ht="15.75" customHeight="1" x14ac:dyDescent="0.3">
      <c r="A15" s="2" t="s">
        <v>76</v>
      </c>
      <c r="B15" s="3">
        <v>85</v>
      </c>
      <c r="C15" s="3">
        <v>12</v>
      </c>
      <c r="D15" s="3">
        <v>23</v>
      </c>
      <c r="E15">
        <f t="shared" si="0"/>
        <v>120</v>
      </c>
    </row>
    <row r="16" spans="1:5" ht="15.75" customHeight="1" x14ac:dyDescent="0.3">
      <c r="A16" s="2" t="s">
        <v>78</v>
      </c>
      <c r="B16" s="3">
        <v>94</v>
      </c>
      <c r="C16" s="3">
        <v>14</v>
      </c>
      <c r="D16" s="3">
        <v>13</v>
      </c>
      <c r="E16">
        <f t="shared" si="0"/>
        <v>121</v>
      </c>
    </row>
    <row r="17" spans="1:5" ht="15.75" customHeight="1" x14ac:dyDescent="0.3">
      <c r="A17" s="2" t="s">
        <v>81</v>
      </c>
      <c r="B17" s="3">
        <v>109</v>
      </c>
      <c r="C17" s="3">
        <v>10</v>
      </c>
      <c r="D17" s="3">
        <v>6</v>
      </c>
      <c r="E17">
        <f t="shared" si="0"/>
        <v>125</v>
      </c>
    </row>
    <row r="18" spans="1:5" ht="15.75" customHeight="1" x14ac:dyDescent="0.3">
      <c r="A18" s="2" t="s">
        <v>84</v>
      </c>
      <c r="B18" s="3">
        <v>129</v>
      </c>
      <c r="C18" s="3">
        <v>12</v>
      </c>
      <c r="D18" s="3">
        <v>3</v>
      </c>
      <c r="E18">
        <f t="shared" si="0"/>
        <v>144</v>
      </c>
    </row>
    <row r="19" spans="1:5" ht="15.75" customHeight="1" x14ac:dyDescent="0.3">
      <c r="A19" s="2" t="s">
        <v>87</v>
      </c>
      <c r="B19" s="3">
        <v>44</v>
      </c>
      <c r="C19" s="3">
        <v>6</v>
      </c>
      <c r="D19" s="3">
        <v>2</v>
      </c>
      <c r="E19">
        <f t="shared" si="0"/>
        <v>52</v>
      </c>
    </row>
    <row r="20" spans="1:5" ht="15.75" customHeight="1" x14ac:dyDescent="0.3">
      <c r="A20" s="2" t="s">
        <v>90</v>
      </c>
      <c r="B20" s="3">
        <v>47</v>
      </c>
      <c r="C20" s="3">
        <v>5</v>
      </c>
      <c r="D20" s="3">
        <v>1</v>
      </c>
      <c r="E20">
        <f t="shared" si="0"/>
        <v>53</v>
      </c>
    </row>
    <row r="21" spans="1:5" ht="15.75" customHeight="1" x14ac:dyDescent="0.3">
      <c r="A21" s="2" t="s">
        <v>93</v>
      </c>
      <c r="B21" s="3">
        <v>26</v>
      </c>
      <c r="C21" s="3">
        <v>1</v>
      </c>
      <c r="D21" s="3">
        <v>2</v>
      </c>
      <c r="E21">
        <f t="shared" si="0"/>
        <v>29</v>
      </c>
    </row>
    <row r="22" spans="1:5" ht="15.75" customHeight="1" x14ac:dyDescent="0.3">
      <c r="A22" s="2" t="s">
        <v>6</v>
      </c>
      <c r="B22" s="3">
        <v>120</v>
      </c>
      <c r="C22" s="3">
        <v>27</v>
      </c>
      <c r="D22" s="3">
        <v>60</v>
      </c>
      <c r="E22">
        <f t="shared" si="0"/>
        <v>207</v>
      </c>
    </row>
    <row r="23" spans="1:5" ht="15.75" customHeight="1" x14ac:dyDescent="0.3">
      <c r="A23" s="2" t="s">
        <v>9</v>
      </c>
      <c r="B23" s="3">
        <v>71</v>
      </c>
      <c r="C23" s="3">
        <v>18</v>
      </c>
      <c r="D23" s="3">
        <v>33</v>
      </c>
      <c r="E23">
        <f t="shared" si="0"/>
        <v>122</v>
      </c>
    </row>
    <row r="24" spans="1:5" ht="15.75" customHeight="1" x14ac:dyDescent="0.3">
      <c r="A24" s="2" t="s">
        <v>12</v>
      </c>
      <c r="B24" s="3">
        <v>69</v>
      </c>
      <c r="C24" s="3">
        <v>11</v>
      </c>
      <c r="D24" s="3">
        <v>18</v>
      </c>
      <c r="E24">
        <f t="shared" si="0"/>
        <v>98</v>
      </c>
    </row>
    <row r="25" spans="1:5" ht="15.75" customHeight="1" x14ac:dyDescent="0.3">
      <c r="A25" s="2" t="s">
        <v>15</v>
      </c>
      <c r="B25" s="3">
        <v>48</v>
      </c>
      <c r="C25" s="3">
        <v>8</v>
      </c>
      <c r="D25" s="3">
        <v>14</v>
      </c>
      <c r="E25">
        <f t="shared" si="0"/>
        <v>70</v>
      </c>
    </row>
    <row r="26" spans="1:5" ht="15.75" customHeight="1" x14ac:dyDescent="0.3">
      <c r="A26" s="2" t="s">
        <v>17</v>
      </c>
      <c r="B26" s="3">
        <v>45</v>
      </c>
      <c r="C26" s="3">
        <v>5</v>
      </c>
      <c r="D26" s="3">
        <v>9</v>
      </c>
      <c r="E26">
        <f t="shared" si="0"/>
        <v>59</v>
      </c>
    </row>
    <row r="27" spans="1:5" ht="15.75" customHeight="1" x14ac:dyDescent="0.3">
      <c r="A27" s="2" t="s">
        <v>20</v>
      </c>
      <c r="B27" s="3">
        <v>18</v>
      </c>
      <c r="C27" s="3">
        <v>3</v>
      </c>
      <c r="D27" s="3">
        <v>7</v>
      </c>
      <c r="E27">
        <f t="shared" si="0"/>
        <v>28</v>
      </c>
    </row>
    <row r="28" spans="1:5" ht="15.75" customHeight="1" x14ac:dyDescent="0.3">
      <c r="A28" s="2" t="s">
        <v>23</v>
      </c>
      <c r="B28" s="3">
        <v>10</v>
      </c>
      <c r="C28" s="3">
        <v>4</v>
      </c>
      <c r="D28" s="3">
        <v>9</v>
      </c>
      <c r="E28">
        <f t="shared" si="0"/>
        <v>23</v>
      </c>
    </row>
    <row r="29" spans="1:5" ht="15.75" customHeight="1" x14ac:dyDescent="0.3">
      <c r="A29" s="2" t="s">
        <v>26</v>
      </c>
      <c r="B29" s="3">
        <v>3</v>
      </c>
      <c r="C29" s="3">
        <v>1</v>
      </c>
      <c r="D29" s="3">
        <v>1</v>
      </c>
      <c r="E29">
        <f t="shared" si="0"/>
        <v>5</v>
      </c>
    </row>
    <row r="30" spans="1:5" ht="15.75" customHeight="1" x14ac:dyDescent="0.3">
      <c r="A30" s="2" t="s">
        <v>29</v>
      </c>
      <c r="B30" s="3">
        <v>18</v>
      </c>
      <c r="C30" s="3">
        <v>2</v>
      </c>
      <c r="D30" s="3">
        <v>2</v>
      </c>
      <c r="E30">
        <f t="shared" si="0"/>
        <v>22</v>
      </c>
    </row>
    <row r="31" spans="1:5" ht="15.75" customHeight="1" x14ac:dyDescent="0.3">
      <c r="A31" s="2" t="s">
        <v>32</v>
      </c>
      <c r="B31" s="3">
        <v>9</v>
      </c>
      <c r="C31" s="3">
        <v>3</v>
      </c>
      <c r="D31" s="3">
        <v>1</v>
      </c>
      <c r="E31">
        <f t="shared" si="0"/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activeCell="D2" sqref="D2:D31"/>
    </sheetView>
  </sheetViews>
  <sheetFormatPr defaultRowHeight="13.8" x14ac:dyDescent="0.3"/>
  <cols>
    <col min="1" max="4" width="8.88671875" style="17"/>
    <col min="5" max="5" width="10.88671875" style="17" bestFit="1" customWidth="1"/>
    <col min="6" max="16384" width="8.88671875" style="17"/>
  </cols>
  <sheetData>
    <row r="1" spans="1:5" x14ac:dyDescent="0.3">
      <c r="A1" s="18" t="s">
        <v>1</v>
      </c>
      <c r="B1" s="18" t="s">
        <v>96</v>
      </c>
      <c r="C1" s="18" t="s">
        <v>97</v>
      </c>
      <c r="D1" s="18" t="s">
        <v>98</v>
      </c>
      <c r="E1" s="18" t="s">
        <v>104</v>
      </c>
    </row>
    <row r="2" spans="1:5" x14ac:dyDescent="0.3">
      <c r="A2" s="17" t="s">
        <v>36</v>
      </c>
      <c r="B2" s="17">
        <v>378</v>
      </c>
      <c r="C2" s="17">
        <v>75</v>
      </c>
      <c r="D2" s="17">
        <v>44</v>
      </c>
      <c r="E2" s="17">
        <v>497</v>
      </c>
    </row>
    <row r="3" spans="1:5" x14ac:dyDescent="0.3">
      <c r="A3" s="17" t="s">
        <v>39</v>
      </c>
      <c r="B3" s="17">
        <v>187</v>
      </c>
      <c r="C3" s="17">
        <v>40</v>
      </c>
      <c r="D3" s="17">
        <v>24</v>
      </c>
      <c r="E3" s="17">
        <v>251</v>
      </c>
    </row>
    <row r="4" spans="1:5" x14ac:dyDescent="0.3">
      <c r="A4" s="17" t="s">
        <v>42</v>
      </c>
      <c r="B4" s="17">
        <v>63</v>
      </c>
      <c r="C4" s="17">
        <v>34</v>
      </c>
      <c r="D4" s="17">
        <v>12</v>
      </c>
      <c r="E4" s="17">
        <v>109</v>
      </c>
    </row>
    <row r="5" spans="1:5" x14ac:dyDescent="0.3">
      <c r="A5" s="17" t="s">
        <v>45</v>
      </c>
      <c r="B5" s="17">
        <v>83</v>
      </c>
      <c r="C5" s="17">
        <v>21</v>
      </c>
      <c r="D5" s="17">
        <v>14</v>
      </c>
      <c r="E5" s="17">
        <v>118</v>
      </c>
    </row>
    <row r="6" spans="1:5" x14ac:dyDescent="0.3">
      <c r="A6" s="17" t="s">
        <v>48</v>
      </c>
      <c r="B6" s="17">
        <v>86</v>
      </c>
      <c r="C6" s="17">
        <v>24</v>
      </c>
      <c r="D6" s="17">
        <v>13</v>
      </c>
      <c r="E6" s="17">
        <v>123</v>
      </c>
    </row>
    <row r="7" spans="1:5" x14ac:dyDescent="0.3">
      <c r="A7" s="17" t="s">
        <v>51</v>
      </c>
      <c r="B7" s="17">
        <v>49</v>
      </c>
      <c r="C7" s="17">
        <v>14</v>
      </c>
      <c r="D7" s="17">
        <v>6</v>
      </c>
      <c r="E7" s="17">
        <v>69</v>
      </c>
    </row>
    <row r="8" spans="1:5" x14ac:dyDescent="0.3">
      <c r="A8" s="17" t="s">
        <v>54</v>
      </c>
      <c r="B8" s="17">
        <v>55</v>
      </c>
      <c r="C8" s="17">
        <v>9</v>
      </c>
      <c r="D8" s="17">
        <v>10</v>
      </c>
      <c r="E8" s="17">
        <v>74</v>
      </c>
    </row>
    <row r="9" spans="1:5" x14ac:dyDescent="0.3">
      <c r="A9" s="17" t="s">
        <v>57</v>
      </c>
      <c r="B9" s="17">
        <v>23</v>
      </c>
      <c r="C9" s="17">
        <v>4</v>
      </c>
      <c r="D9" s="17">
        <v>2</v>
      </c>
      <c r="E9" s="17">
        <v>29</v>
      </c>
    </row>
    <row r="10" spans="1:5" x14ac:dyDescent="0.3">
      <c r="A10" s="17" t="s">
        <v>60</v>
      </c>
      <c r="B10" s="17">
        <v>15</v>
      </c>
      <c r="C10" s="17">
        <v>5</v>
      </c>
      <c r="D10" s="17">
        <v>2</v>
      </c>
      <c r="E10" s="17">
        <v>22</v>
      </c>
    </row>
    <row r="11" spans="1:5" x14ac:dyDescent="0.3">
      <c r="A11" s="17" t="s">
        <v>63</v>
      </c>
      <c r="B11" s="17">
        <v>16</v>
      </c>
      <c r="C11" s="17">
        <v>8</v>
      </c>
      <c r="D11" s="17">
        <v>2</v>
      </c>
      <c r="E11" s="17">
        <v>26</v>
      </c>
    </row>
    <row r="12" spans="1:5" x14ac:dyDescent="0.3">
      <c r="A12" s="17" t="s">
        <v>67</v>
      </c>
      <c r="B12" s="17">
        <v>234</v>
      </c>
      <c r="C12" s="17">
        <v>58</v>
      </c>
      <c r="D12" s="17">
        <v>63</v>
      </c>
      <c r="E12" s="17">
        <v>355</v>
      </c>
    </row>
    <row r="13" spans="1:5" x14ac:dyDescent="0.3">
      <c r="A13" s="17" t="s">
        <v>70</v>
      </c>
      <c r="B13" s="17">
        <v>234</v>
      </c>
      <c r="C13" s="17">
        <v>32</v>
      </c>
      <c r="D13" s="17">
        <v>49</v>
      </c>
      <c r="E13" s="17">
        <v>315</v>
      </c>
    </row>
    <row r="14" spans="1:5" x14ac:dyDescent="0.3">
      <c r="A14" s="17" t="s">
        <v>73</v>
      </c>
      <c r="B14" s="17">
        <v>128</v>
      </c>
      <c r="C14" s="17">
        <v>14</v>
      </c>
      <c r="D14" s="17">
        <v>23</v>
      </c>
      <c r="E14" s="17">
        <v>165</v>
      </c>
    </row>
    <row r="15" spans="1:5" x14ac:dyDescent="0.3">
      <c r="A15" s="17" t="s">
        <v>76</v>
      </c>
      <c r="B15" s="17">
        <v>85</v>
      </c>
      <c r="C15" s="17">
        <v>12</v>
      </c>
      <c r="D15" s="17">
        <v>23</v>
      </c>
      <c r="E15" s="17">
        <v>120</v>
      </c>
    </row>
    <row r="16" spans="1:5" x14ac:dyDescent="0.3">
      <c r="A16" s="17" t="s">
        <v>78</v>
      </c>
      <c r="B16" s="17">
        <v>94</v>
      </c>
      <c r="C16" s="17">
        <v>14</v>
      </c>
      <c r="D16" s="17">
        <v>13</v>
      </c>
      <c r="E16" s="17">
        <v>121</v>
      </c>
    </row>
    <row r="17" spans="1:5" x14ac:dyDescent="0.3">
      <c r="A17" s="17" t="s">
        <v>81</v>
      </c>
      <c r="B17" s="17">
        <v>109</v>
      </c>
      <c r="C17" s="17">
        <v>10</v>
      </c>
      <c r="D17" s="17">
        <v>6</v>
      </c>
      <c r="E17" s="17">
        <v>125</v>
      </c>
    </row>
    <row r="18" spans="1:5" x14ac:dyDescent="0.3">
      <c r="A18" s="17" t="s">
        <v>84</v>
      </c>
      <c r="B18" s="17">
        <v>129</v>
      </c>
      <c r="C18" s="17">
        <v>12</v>
      </c>
      <c r="D18" s="17">
        <v>3</v>
      </c>
      <c r="E18" s="17">
        <v>144</v>
      </c>
    </row>
    <row r="19" spans="1:5" x14ac:dyDescent="0.3">
      <c r="A19" s="17" t="s">
        <v>87</v>
      </c>
      <c r="B19" s="17">
        <v>44</v>
      </c>
      <c r="C19" s="17">
        <v>6</v>
      </c>
      <c r="D19" s="17">
        <v>2</v>
      </c>
      <c r="E19" s="17">
        <v>52</v>
      </c>
    </row>
    <row r="20" spans="1:5" x14ac:dyDescent="0.3">
      <c r="A20" s="17" t="s">
        <v>90</v>
      </c>
      <c r="B20" s="17">
        <v>47</v>
      </c>
      <c r="C20" s="17">
        <v>5</v>
      </c>
      <c r="D20" s="17">
        <v>1</v>
      </c>
      <c r="E20" s="17">
        <v>53</v>
      </c>
    </row>
    <row r="21" spans="1:5" x14ac:dyDescent="0.3">
      <c r="A21" s="17" t="s">
        <v>93</v>
      </c>
      <c r="B21" s="17">
        <v>26</v>
      </c>
      <c r="C21" s="17">
        <v>1</v>
      </c>
      <c r="D21" s="17">
        <v>2</v>
      </c>
      <c r="E21" s="17">
        <v>29</v>
      </c>
    </row>
    <row r="22" spans="1:5" x14ac:dyDescent="0.3">
      <c r="A22" s="17" t="s">
        <v>6</v>
      </c>
      <c r="B22" s="17">
        <v>120</v>
      </c>
      <c r="C22" s="17">
        <v>27</v>
      </c>
      <c r="D22" s="17">
        <v>60</v>
      </c>
      <c r="E22" s="17">
        <v>207</v>
      </c>
    </row>
    <row r="23" spans="1:5" x14ac:dyDescent="0.3">
      <c r="A23" s="17" t="s">
        <v>9</v>
      </c>
      <c r="B23" s="17">
        <v>71</v>
      </c>
      <c r="C23" s="17">
        <v>18</v>
      </c>
      <c r="D23" s="17">
        <v>33</v>
      </c>
      <c r="E23" s="17">
        <v>122</v>
      </c>
    </row>
    <row r="24" spans="1:5" x14ac:dyDescent="0.3">
      <c r="A24" s="17" t="s">
        <v>12</v>
      </c>
      <c r="B24" s="17">
        <v>69</v>
      </c>
      <c r="C24" s="17">
        <v>11</v>
      </c>
      <c r="D24" s="17">
        <v>18</v>
      </c>
      <c r="E24" s="17">
        <v>98</v>
      </c>
    </row>
    <row r="25" spans="1:5" x14ac:dyDescent="0.3">
      <c r="A25" s="17" t="s">
        <v>15</v>
      </c>
      <c r="B25" s="17">
        <v>48</v>
      </c>
      <c r="C25" s="17">
        <v>8</v>
      </c>
      <c r="D25" s="17">
        <v>14</v>
      </c>
      <c r="E25" s="17">
        <v>70</v>
      </c>
    </row>
    <row r="26" spans="1:5" x14ac:dyDescent="0.3">
      <c r="A26" s="17" t="s">
        <v>17</v>
      </c>
      <c r="B26" s="17">
        <v>45</v>
      </c>
      <c r="C26" s="17">
        <v>5</v>
      </c>
      <c r="D26" s="17">
        <v>9</v>
      </c>
      <c r="E26" s="17">
        <v>59</v>
      </c>
    </row>
    <row r="27" spans="1:5" x14ac:dyDescent="0.3">
      <c r="A27" s="17" t="s">
        <v>20</v>
      </c>
      <c r="B27" s="17">
        <v>18</v>
      </c>
      <c r="C27" s="17">
        <v>3</v>
      </c>
      <c r="D27" s="17">
        <v>7</v>
      </c>
      <c r="E27" s="17">
        <v>28</v>
      </c>
    </row>
    <row r="28" spans="1:5" x14ac:dyDescent="0.3">
      <c r="A28" s="17" t="s">
        <v>23</v>
      </c>
      <c r="B28" s="17">
        <v>10</v>
      </c>
      <c r="C28" s="17">
        <v>4</v>
      </c>
      <c r="D28" s="17">
        <v>9</v>
      </c>
      <c r="E28" s="17">
        <v>23</v>
      </c>
    </row>
    <row r="29" spans="1:5" x14ac:dyDescent="0.3">
      <c r="A29" s="17" t="s">
        <v>26</v>
      </c>
      <c r="B29" s="17">
        <v>3</v>
      </c>
      <c r="C29" s="17">
        <v>1</v>
      </c>
      <c r="D29" s="17">
        <v>1</v>
      </c>
      <c r="E29" s="17">
        <v>5</v>
      </c>
    </row>
    <row r="30" spans="1:5" x14ac:dyDescent="0.3">
      <c r="A30" s="17" t="s">
        <v>29</v>
      </c>
      <c r="B30" s="17">
        <v>18</v>
      </c>
      <c r="C30" s="17">
        <v>2</v>
      </c>
      <c r="D30" s="17">
        <v>2</v>
      </c>
      <c r="E30" s="17">
        <v>22</v>
      </c>
    </row>
    <row r="31" spans="1:5" x14ac:dyDescent="0.3">
      <c r="A31" s="17" t="s">
        <v>32</v>
      </c>
      <c r="B31" s="17">
        <v>9</v>
      </c>
      <c r="C31" s="17">
        <v>3</v>
      </c>
      <c r="D31" s="17">
        <v>1</v>
      </c>
      <c r="E31" s="17">
        <v>13</v>
      </c>
    </row>
  </sheetData>
  <autoFilter ref="A1:E31">
    <sortState ref="A2:E31">
      <sortCondition ref="A1:A31"/>
    </sortState>
  </autoFilter>
  <sortState ref="A2:E31">
    <sortCondition descending="1" ref="E2:E31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3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6640625" defaultRowHeight="15.75" customHeight="1" x14ac:dyDescent="0.25"/>
  <sheetData>
    <row r="1" spans="1:31" ht="15.75" customHeight="1" x14ac:dyDescent="0.3">
      <c r="A1" s="4" t="s">
        <v>99</v>
      </c>
      <c r="B1" s="8" t="s">
        <v>97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8" t="s">
        <v>98</v>
      </c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spans="1:31" ht="15.75" customHeight="1" x14ac:dyDescent="0.3">
      <c r="A2" s="5" t="s">
        <v>1</v>
      </c>
      <c r="B2" s="6">
        <v>44287</v>
      </c>
      <c r="C2" s="6">
        <v>44288</v>
      </c>
      <c r="D2" s="6">
        <v>44289</v>
      </c>
      <c r="E2" s="6">
        <v>44290</v>
      </c>
      <c r="F2" s="6">
        <v>44291</v>
      </c>
      <c r="G2" s="6">
        <v>44292</v>
      </c>
      <c r="H2" s="6">
        <v>44293</v>
      </c>
      <c r="I2" s="6">
        <v>44294</v>
      </c>
      <c r="J2" s="6">
        <v>44295</v>
      </c>
      <c r="K2" s="6">
        <v>44296</v>
      </c>
      <c r="L2" s="6">
        <v>44297</v>
      </c>
      <c r="M2" s="6">
        <v>44298</v>
      </c>
      <c r="N2" s="6">
        <v>44299</v>
      </c>
      <c r="O2" s="6">
        <v>44300</v>
      </c>
      <c r="P2" s="6">
        <v>44301</v>
      </c>
      <c r="Q2" s="6">
        <v>44287</v>
      </c>
      <c r="R2" s="6">
        <v>44288</v>
      </c>
      <c r="S2" s="6">
        <v>44289</v>
      </c>
      <c r="T2" s="6">
        <v>44290</v>
      </c>
      <c r="U2" s="6">
        <v>44291</v>
      </c>
      <c r="V2" s="6">
        <v>44292</v>
      </c>
      <c r="W2" s="6">
        <v>44293</v>
      </c>
      <c r="X2" s="6">
        <v>44294</v>
      </c>
      <c r="Y2" s="6">
        <v>44295</v>
      </c>
      <c r="Z2" s="6">
        <v>44296</v>
      </c>
      <c r="AA2" s="6">
        <v>44297</v>
      </c>
      <c r="AB2" s="6">
        <v>44298</v>
      </c>
      <c r="AC2" s="6">
        <v>44299</v>
      </c>
      <c r="AD2" s="6">
        <v>44300</v>
      </c>
      <c r="AE2" s="6">
        <v>44301</v>
      </c>
    </row>
    <row r="3" spans="1:31" ht="15.75" customHeight="1" x14ac:dyDescent="0.3">
      <c r="A3" s="4" t="s">
        <v>36</v>
      </c>
      <c r="B3" s="7">
        <v>11</v>
      </c>
      <c r="C3" s="7">
        <v>22</v>
      </c>
      <c r="D3" s="7">
        <v>16</v>
      </c>
      <c r="E3" s="7">
        <v>18</v>
      </c>
      <c r="F3" s="7">
        <v>14</v>
      </c>
      <c r="G3" s="7">
        <v>20</v>
      </c>
      <c r="H3" s="7">
        <v>16</v>
      </c>
      <c r="I3" s="7">
        <v>13</v>
      </c>
      <c r="J3" s="7">
        <v>17</v>
      </c>
      <c r="K3" s="7">
        <v>16</v>
      </c>
      <c r="L3" s="7">
        <v>14</v>
      </c>
      <c r="M3" s="7">
        <v>9</v>
      </c>
      <c r="N3" s="7">
        <v>14</v>
      </c>
      <c r="O3" s="7">
        <v>12</v>
      </c>
      <c r="P3" s="7">
        <v>20</v>
      </c>
      <c r="Q3" s="7">
        <v>8</v>
      </c>
      <c r="R3" s="7">
        <v>10</v>
      </c>
      <c r="S3" s="7">
        <v>15</v>
      </c>
      <c r="T3" s="7">
        <v>8</v>
      </c>
      <c r="U3" s="7">
        <v>13</v>
      </c>
      <c r="V3" s="7">
        <v>7</v>
      </c>
      <c r="W3" s="7">
        <v>14</v>
      </c>
      <c r="X3" s="7">
        <v>11</v>
      </c>
      <c r="Y3" s="7">
        <v>17</v>
      </c>
      <c r="Z3" s="7">
        <v>14</v>
      </c>
      <c r="AA3" s="7">
        <v>19</v>
      </c>
      <c r="AB3" s="7">
        <v>11</v>
      </c>
      <c r="AC3" s="7">
        <v>13</v>
      </c>
      <c r="AD3" s="7">
        <v>12</v>
      </c>
      <c r="AE3" s="7">
        <v>12</v>
      </c>
    </row>
    <row r="4" spans="1:31" ht="15.75" customHeight="1" x14ac:dyDescent="0.3">
      <c r="A4" s="4" t="s">
        <v>39</v>
      </c>
      <c r="B4" s="7">
        <v>6</v>
      </c>
      <c r="C4" s="7">
        <v>8</v>
      </c>
      <c r="D4" s="7">
        <v>7</v>
      </c>
      <c r="E4" s="7">
        <v>10</v>
      </c>
      <c r="F4" s="7">
        <v>8</v>
      </c>
      <c r="G4" s="7">
        <v>9</v>
      </c>
      <c r="H4" s="7">
        <v>8</v>
      </c>
      <c r="I4" s="7">
        <v>7</v>
      </c>
      <c r="J4" s="7">
        <v>8</v>
      </c>
      <c r="K4" s="7">
        <v>10</v>
      </c>
      <c r="L4" s="7">
        <v>6</v>
      </c>
      <c r="M4" s="7">
        <v>10</v>
      </c>
      <c r="N4" s="7">
        <v>7</v>
      </c>
      <c r="O4" s="7">
        <v>11</v>
      </c>
      <c r="P4" s="7">
        <v>7</v>
      </c>
      <c r="Q4" s="7">
        <v>5</v>
      </c>
      <c r="R4" s="7">
        <v>5</v>
      </c>
      <c r="S4" s="7">
        <v>8</v>
      </c>
      <c r="T4" s="7">
        <v>7</v>
      </c>
      <c r="U4" s="7">
        <v>6</v>
      </c>
      <c r="V4" s="7">
        <v>7</v>
      </c>
      <c r="W4" s="7">
        <v>4</v>
      </c>
      <c r="X4" s="7">
        <v>6</v>
      </c>
      <c r="Y4" s="7">
        <v>7</v>
      </c>
      <c r="Z4" s="7">
        <v>5</v>
      </c>
      <c r="AA4" s="7">
        <v>5</v>
      </c>
      <c r="AB4" s="7">
        <v>7</v>
      </c>
      <c r="AC4" s="7">
        <v>4</v>
      </c>
      <c r="AD4" s="7">
        <v>6</v>
      </c>
      <c r="AE4" s="7">
        <v>8</v>
      </c>
    </row>
    <row r="5" spans="1:31" ht="15.75" customHeight="1" x14ac:dyDescent="0.3">
      <c r="A5" s="4" t="s">
        <v>42</v>
      </c>
      <c r="B5" s="7">
        <v>9</v>
      </c>
      <c r="C5" s="7">
        <v>7</v>
      </c>
      <c r="D5" s="7">
        <v>8</v>
      </c>
      <c r="E5" s="7">
        <v>6</v>
      </c>
      <c r="F5" s="7">
        <v>6</v>
      </c>
      <c r="G5" s="7">
        <v>8</v>
      </c>
      <c r="H5" s="7">
        <v>5</v>
      </c>
      <c r="I5" s="7">
        <v>6</v>
      </c>
      <c r="J5" s="7">
        <v>6</v>
      </c>
      <c r="K5" s="7">
        <v>7</v>
      </c>
      <c r="L5" s="7">
        <v>5</v>
      </c>
      <c r="M5" s="7">
        <v>8</v>
      </c>
      <c r="N5" s="7">
        <v>7</v>
      </c>
      <c r="O5" s="7">
        <v>7</v>
      </c>
      <c r="P5" s="7">
        <v>5</v>
      </c>
      <c r="Q5" s="7">
        <v>6</v>
      </c>
      <c r="R5" s="7">
        <v>5</v>
      </c>
      <c r="S5" s="7">
        <v>4</v>
      </c>
      <c r="T5" s="7">
        <v>4</v>
      </c>
      <c r="U5" s="7">
        <v>6</v>
      </c>
      <c r="V5" s="7">
        <v>6</v>
      </c>
      <c r="W5" s="7">
        <v>5</v>
      </c>
      <c r="X5" s="7">
        <v>7</v>
      </c>
      <c r="Y5" s="7">
        <v>6</v>
      </c>
      <c r="Z5" s="7">
        <v>8</v>
      </c>
      <c r="AA5" s="7">
        <v>7</v>
      </c>
      <c r="AB5" s="7">
        <v>4</v>
      </c>
      <c r="AC5" s="7">
        <v>8</v>
      </c>
      <c r="AD5" s="7">
        <v>5</v>
      </c>
      <c r="AE5" s="7">
        <v>7</v>
      </c>
    </row>
    <row r="6" spans="1:31" ht="15.75" customHeight="1" x14ac:dyDescent="0.3">
      <c r="A6" s="4" t="s">
        <v>45</v>
      </c>
      <c r="B6" s="7">
        <v>7</v>
      </c>
      <c r="C6" s="7">
        <v>7</v>
      </c>
      <c r="D6" s="7">
        <v>7</v>
      </c>
      <c r="E6" s="7">
        <v>5</v>
      </c>
      <c r="F6" s="7">
        <v>7</v>
      </c>
      <c r="G6" s="7">
        <v>5</v>
      </c>
      <c r="H6" s="7">
        <v>7</v>
      </c>
      <c r="I6" s="7">
        <v>5</v>
      </c>
      <c r="J6" s="7">
        <v>4</v>
      </c>
      <c r="K6" s="7">
        <v>6</v>
      </c>
      <c r="L6" s="7">
        <v>5</v>
      </c>
      <c r="M6" s="7">
        <v>5</v>
      </c>
      <c r="N6" s="7">
        <v>5</v>
      </c>
      <c r="O6" s="7">
        <v>5</v>
      </c>
      <c r="P6" s="7">
        <v>4</v>
      </c>
      <c r="Q6" s="7">
        <v>3</v>
      </c>
      <c r="R6" s="7">
        <v>4</v>
      </c>
      <c r="S6" s="7">
        <v>4</v>
      </c>
      <c r="T6" s="7">
        <v>3</v>
      </c>
      <c r="U6" s="7">
        <v>4</v>
      </c>
      <c r="V6" s="7">
        <v>4</v>
      </c>
      <c r="W6" s="7">
        <v>4</v>
      </c>
      <c r="X6" s="7">
        <v>5</v>
      </c>
      <c r="Y6" s="7">
        <v>4</v>
      </c>
      <c r="Z6" s="7">
        <v>4</v>
      </c>
      <c r="AA6" s="7">
        <v>6</v>
      </c>
      <c r="AB6" s="7">
        <v>5</v>
      </c>
      <c r="AC6" s="7">
        <v>7</v>
      </c>
      <c r="AD6" s="7">
        <v>5</v>
      </c>
      <c r="AE6" s="7">
        <v>7</v>
      </c>
    </row>
    <row r="7" spans="1:31" ht="15.75" customHeight="1" x14ac:dyDescent="0.3">
      <c r="A7" s="4" t="s">
        <v>48</v>
      </c>
      <c r="B7" s="7">
        <v>4</v>
      </c>
      <c r="C7" s="7">
        <v>6</v>
      </c>
      <c r="D7" s="7">
        <v>5</v>
      </c>
      <c r="E7" s="7">
        <v>5</v>
      </c>
      <c r="F7" s="7">
        <v>4</v>
      </c>
      <c r="G7" s="7">
        <v>3</v>
      </c>
      <c r="H7" s="7">
        <v>5</v>
      </c>
      <c r="I7" s="7">
        <v>5</v>
      </c>
      <c r="J7" s="7">
        <v>6</v>
      </c>
      <c r="K7" s="7">
        <v>6</v>
      </c>
      <c r="L7" s="7">
        <v>5</v>
      </c>
      <c r="M7" s="7">
        <v>5</v>
      </c>
      <c r="N7" s="7">
        <v>5</v>
      </c>
      <c r="O7" s="7">
        <v>4</v>
      </c>
      <c r="P7" s="7">
        <v>5</v>
      </c>
      <c r="Q7" s="7">
        <v>4</v>
      </c>
      <c r="R7" s="7">
        <v>4</v>
      </c>
      <c r="S7" s="7">
        <v>4</v>
      </c>
      <c r="T7" s="7">
        <v>3</v>
      </c>
      <c r="U7" s="7">
        <v>3</v>
      </c>
      <c r="V7" s="7">
        <v>3</v>
      </c>
      <c r="W7" s="7">
        <v>4</v>
      </c>
      <c r="X7" s="7">
        <v>3</v>
      </c>
      <c r="Y7" s="7">
        <v>3</v>
      </c>
      <c r="Z7" s="7">
        <v>2</v>
      </c>
      <c r="AA7" s="7">
        <v>3</v>
      </c>
      <c r="AB7" s="7">
        <v>2</v>
      </c>
      <c r="AC7" s="7">
        <v>2</v>
      </c>
      <c r="AD7" s="7">
        <v>3</v>
      </c>
      <c r="AE7" s="7">
        <v>3</v>
      </c>
    </row>
    <row r="8" spans="1:31" ht="15.75" customHeight="1" x14ac:dyDescent="0.3">
      <c r="A8" s="4" t="s">
        <v>51</v>
      </c>
      <c r="B8" s="7">
        <v>4</v>
      </c>
      <c r="C8" s="7">
        <v>5</v>
      </c>
      <c r="D8" s="7">
        <v>4</v>
      </c>
      <c r="E8" s="7">
        <v>4</v>
      </c>
      <c r="F8" s="7">
        <v>4</v>
      </c>
      <c r="G8" s="7">
        <v>3</v>
      </c>
      <c r="H8" s="7">
        <v>5</v>
      </c>
      <c r="I8" s="7">
        <v>3</v>
      </c>
      <c r="J8" s="7">
        <v>4</v>
      </c>
      <c r="K8" s="7">
        <v>4</v>
      </c>
      <c r="L8" s="7">
        <v>4</v>
      </c>
      <c r="M8" s="7">
        <v>3</v>
      </c>
      <c r="N8" s="7">
        <v>4</v>
      </c>
      <c r="O8" s="7">
        <v>4</v>
      </c>
      <c r="P8" s="7">
        <v>3</v>
      </c>
      <c r="Q8" s="7">
        <v>3</v>
      </c>
      <c r="R8" s="7">
        <v>3</v>
      </c>
      <c r="S8" s="7">
        <v>2</v>
      </c>
      <c r="T8" s="7">
        <v>3</v>
      </c>
      <c r="U8" s="7">
        <v>2</v>
      </c>
      <c r="V8" s="7">
        <v>3</v>
      </c>
      <c r="W8" s="7">
        <v>3</v>
      </c>
      <c r="X8" s="7">
        <v>3</v>
      </c>
      <c r="Y8" s="7">
        <v>3</v>
      </c>
      <c r="Z8" s="7">
        <v>2</v>
      </c>
      <c r="AA8" s="7">
        <v>3</v>
      </c>
      <c r="AB8" s="7">
        <v>3</v>
      </c>
      <c r="AC8" s="7">
        <v>2</v>
      </c>
      <c r="AD8" s="7">
        <v>3</v>
      </c>
      <c r="AE8" s="7">
        <v>2</v>
      </c>
    </row>
    <row r="9" spans="1:31" ht="15.75" customHeight="1" x14ac:dyDescent="0.3">
      <c r="A9" s="4" t="s">
        <v>54</v>
      </c>
      <c r="B9" s="7">
        <v>3</v>
      </c>
      <c r="C9" s="7">
        <v>3</v>
      </c>
      <c r="D9" s="7">
        <v>4</v>
      </c>
      <c r="E9" s="7">
        <v>3</v>
      </c>
      <c r="F9" s="7">
        <v>3</v>
      </c>
      <c r="G9" s="7">
        <v>3</v>
      </c>
      <c r="H9" s="7">
        <v>3</v>
      </c>
      <c r="I9" s="7">
        <v>3</v>
      </c>
      <c r="J9" s="7">
        <v>3</v>
      </c>
      <c r="K9" s="7">
        <v>4</v>
      </c>
      <c r="L9" s="7">
        <v>3</v>
      </c>
      <c r="M9" s="7">
        <v>4</v>
      </c>
      <c r="N9" s="7">
        <v>4</v>
      </c>
      <c r="O9" s="7">
        <v>3</v>
      </c>
      <c r="P9" s="7">
        <v>4</v>
      </c>
      <c r="Q9" s="7">
        <v>3</v>
      </c>
      <c r="R9" s="7">
        <v>3</v>
      </c>
      <c r="S9" s="7">
        <v>4</v>
      </c>
      <c r="T9" s="7">
        <v>3</v>
      </c>
      <c r="U9" s="7">
        <v>3</v>
      </c>
      <c r="V9" s="7">
        <v>3</v>
      </c>
      <c r="W9" s="7">
        <v>2</v>
      </c>
      <c r="X9" s="7">
        <v>3</v>
      </c>
      <c r="Y9" s="7">
        <v>3</v>
      </c>
      <c r="Z9" s="7">
        <v>2</v>
      </c>
      <c r="AA9" s="7">
        <v>2</v>
      </c>
      <c r="AB9" s="7">
        <v>3</v>
      </c>
      <c r="AC9" s="7">
        <v>3</v>
      </c>
      <c r="AD9" s="7">
        <v>2</v>
      </c>
      <c r="AE9" s="7">
        <v>2</v>
      </c>
    </row>
    <row r="10" spans="1:31" ht="15.75" customHeight="1" x14ac:dyDescent="0.3">
      <c r="A10" s="4" t="s">
        <v>57</v>
      </c>
      <c r="B10" s="7">
        <v>3</v>
      </c>
      <c r="C10" s="7">
        <v>2</v>
      </c>
      <c r="D10" s="7">
        <v>2</v>
      </c>
      <c r="E10" s="7">
        <v>2</v>
      </c>
      <c r="F10" s="7">
        <v>3</v>
      </c>
      <c r="G10" s="7">
        <v>2</v>
      </c>
      <c r="H10" s="7">
        <v>3</v>
      </c>
      <c r="I10" s="7">
        <v>3</v>
      </c>
      <c r="J10" s="7">
        <v>3</v>
      </c>
      <c r="K10" s="7">
        <v>3</v>
      </c>
      <c r="L10" s="7">
        <v>3</v>
      </c>
      <c r="M10" s="7">
        <v>3</v>
      </c>
      <c r="N10" s="7">
        <v>3</v>
      </c>
      <c r="O10" s="7">
        <v>3</v>
      </c>
      <c r="P10" s="7">
        <v>3</v>
      </c>
      <c r="Q10" s="7">
        <v>2</v>
      </c>
      <c r="R10" s="7">
        <v>2</v>
      </c>
      <c r="S10" s="7">
        <v>2</v>
      </c>
      <c r="T10" s="7">
        <v>2</v>
      </c>
      <c r="U10" s="7">
        <v>2</v>
      </c>
      <c r="V10" s="7">
        <v>2</v>
      </c>
      <c r="W10" s="7">
        <v>2</v>
      </c>
      <c r="X10" s="7">
        <v>2</v>
      </c>
      <c r="Y10" s="7">
        <v>2</v>
      </c>
      <c r="Z10" s="7">
        <v>2</v>
      </c>
      <c r="AA10" s="7">
        <v>2</v>
      </c>
      <c r="AB10" s="7">
        <v>2</v>
      </c>
      <c r="AC10" s="7">
        <v>2</v>
      </c>
      <c r="AD10" s="7">
        <v>2</v>
      </c>
      <c r="AE10" s="7">
        <v>2</v>
      </c>
    </row>
    <row r="11" spans="1:31" ht="15.75" customHeight="1" x14ac:dyDescent="0.3">
      <c r="A11" s="4" t="s">
        <v>60</v>
      </c>
      <c r="B11" s="7">
        <v>2</v>
      </c>
      <c r="C11" s="7">
        <v>3</v>
      </c>
      <c r="D11" s="7">
        <v>3</v>
      </c>
      <c r="E11" s="7">
        <v>3</v>
      </c>
      <c r="F11" s="7">
        <v>2</v>
      </c>
      <c r="G11" s="7">
        <v>2</v>
      </c>
      <c r="H11" s="7">
        <v>3</v>
      </c>
      <c r="I11" s="7">
        <v>3</v>
      </c>
      <c r="J11" s="7">
        <v>2</v>
      </c>
      <c r="K11" s="7">
        <v>3</v>
      </c>
      <c r="L11" s="7">
        <v>3</v>
      </c>
      <c r="M11" s="7">
        <v>3</v>
      </c>
      <c r="N11" s="7">
        <v>3</v>
      </c>
      <c r="O11" s="7">
        <v>3</v>
      </c>
      <c r="P11" s="7">
        <v>3</v>
      </c>
      <c r="Q11" s="7">
        <v>2</v>
      </c>
      <c r="R11" s="7">
        <v>2</v>
      </c>
      <c r="S11" s="7">
        <v>2</v>
      </c>
      <c r="T11" s="7">
        <v>2</v>
      </c>
      <c r="U11" s="7">
        <v>2</v>
      </c>
      <c r="V11" s="7">
        <v>2</v>
      </c>
      <c r="W11" s="7">
        <v>2</v>
      </c>
      <c r="X11" s="7">
        <v>2</v>
      </c>
      <c r="Y11" s="7">
        <v>2</v>
      </c>
      <c r="Z11" s="7">
        <v>2</v>
      </c>
      <c r="AA11" s="7">
        <v>2</v>
      </c>
      <c r="AB11" s="7">
        <v>2</v>
      </c>
      <c r="AC11" s="7">
        <v>2</v>
      </c>
      <c r="AD11" s="7">
        <v>2</v>
      </c>
      <c r="AE11" s="7">
        <v>2</v>
      </c>
    </row>
    <row r="12" spans="1:31" ht="15.75" customHeight="1" x14ac:dyDescent="0.3">
      <c r="A12" s="4" t="s">
        <v>63</v>
      </c>
      <c r="B12" s="7">
        <v>3</v>
      </c>
      <c r="C12" s="7">
        <v>3</v>
      </c>
      <c r="D12" s="7">
        <v>3</v>
      </c>
      <c r="E12" s="7">
        <v>3</v>
      </c>
      <c r="F12" s="7">
        <v>3</v>
      </c>
      <c r="G12" s="7">
        <v>3</v>
      </c>
      <c r="H12" s="7">
        <v>3</v>
      </c>
      <c r="I12" s="7">
        <v>2</v>
      </c>
      <c r="J12" s="7">
        <v>2</v>
      </c>
      <c r="K12" s="7">
        <v>2</v>
      </c>
      <c r="L12" s="7">
        <v>3</v>
      </c>
      <c r="M12" s="7">
        <v>4</v>
      </c>
      <c r="N12" s="7">
        <v>3</v>
      </c>
      <c r="O12" s="7">
        <v>4</v>
      </c>
      <c r="P12" s="7">
        <v>3</v>
      </c>
      <c r="Q12" s="7">
        <v>2</v>
      </c>
      <c r="R12" s="7">
        <v>2</v>
      </c>
      <c r="S12" s="7">
        <v>2</v>
      </c>
      <c r="T12" s="7">
        <v>2</v>
      </c>
      <c r="U12" s="7">
        <v>2</v>
      </c>
      <c r="V12" s="7">
        <v>2</v>
      </c>
      <c r="W12" s="7">
        <v>2</v>
      </c>
      <c r="X12" s="7">
        <v>2</v>
      </c>
      <c r="Y12" s="7">
        <v>2</v>
      </c>
      <c r="Z12" s="7">
        <v>2</v>
      </c>
      <c r="AA12" s="7">
        <v>2</v>
      </c>
      <c r="AB12" s="7">
        <v>2</v>
      </c>
      <c r="AC12" s="7">
        <v>2</v>
      </c>
      <c r="AD12" s="7">
        <v>2</v>
      </c>
      <c r="AE12" s="7">
        <v>2</v>
      </c>
    </row>
    <row r="13" spans="1:31" ht="15.75" customHeight="1" x14ac:dyDescent="0.3">
      <c r="A13" s="4" t="s">
        <v>67</v>
      </c>
      <c r="B13" s="7">
        <v>10</v>
      </c>
      <c r="C13" s="7">
        <v>8</v>
      </c>
      <c r="D13" s="7">
        <v>12</v>
      </c>
      <c r="E13" s="7">
        <v>7</v>
      </c>
      <c r="F13" s="7">
        <v>13</v>
      </c>
      <c r="G13" s="7">
        <v>7</v>
      </c>
      <c r="H13" s="7">
        <v>13</v>
      </c>
      <c r="I13" s="7">
        <v>11</v>
      </c>
      <c r="J13" s="7">
        <v>11</v>
      </c>
      <c r="K13" s="7">
        <v>11</v>
      </c>
      <c r="L13" s="7">
        <v>6</v>
      </c>
      <c r="M13" s="7">
        <v>11</v>
      </c>
      <c r="N13" s="7">
        <v>11</v>
      </c>
      <c r="O13" s="7">
        <v>8</v>
      </c>
      <c r="P13" s="7">
        <v>7</v>
      </c>
      <c r="Q13" s="7">
        <v>22</v>
      </c>
      <c r="R13" s="7">
        <v>13</v>
      </c>
      <c r="S13" s="7">
        <v>13</v>
      </c>
      <c r="T13" s="7">
        <v>21</v>
      </c>
      <c r="U13" s="7">
        <v>21</v>
      </c>
      <c r="V13" s="7">
        <v>21</v>
      </c>
      <c r="W13" s="7">
        <v>14</v>
      </c>
      <c r="X13" s="7">
        <v>13</v>
      </c>
      <c r="Y13" s="7">
        <v>22</v>
      </c>
      <c r="Z13" s="7">
        <v>17</v>
      </c>
      <c r="AA13" s="7">
        <v>22</v>
      </c>
      <c r="AB13" s="7">
        <v>14</v>
      </c>
      <c r="AC13" s="7">
        <v>15</v>
      </c>
      <c r="AD13" s="7">
        <v>18</v>
      </c>
      <c r="AE13" s="7">
        <v>16</v>
      </c>
    </row>
    <row r="14" spans="1:31" ht="15.75" customHeight="1" x14ac:dyDescent="0.3">
      <c r="A14" s="4" t="s">
        <v>70</v>
      </c>
      <c r="B14" s="7">
        <v>7</v>
      </c>
      <c r="C14" s="7">
        <v>5</v>
      </c>
      <c r="D14" s="7">
        <v>6</v>
      </c>
      <c r="E14" s="7">
        <v>5</v>
      </c>
      <c r="F14" s="7">
        <v>6</v>
      </c>
      <c r="G14" s="7">
        <v>6</v>
      </c>
      <c r="H14" s="7">
        <v>7</v>
      </c>
      <c r="I14" s="7">
        <v>5</v>
      </c>
      <c r="J14" s="7">
        <v>6</v>
      </c>
      <c r="K14" s="7">
        <v>5</v>
      </c>
      <c r="L14" s="7">
        <v>6</v>
      </c>
      <c r="M14" s="7">
        <v>4</v>
      </c>
      <c r="N14" s="7">
        <v>7</v>
      </c>
      <c r="O14" s="7">
        <v>5</v>
      </c>
      <c r="P14" s="7">
        <v>4</v>
      </c>
      <c r="Q14" s="7">
        <v>12</v>
      </c>
      <c r="R14" s="7">
        <v>11</v>
      </c>
      <c r="S14" s="7">
        <v>7</v>
      </c>
      <c r="T14" s="7">
        <v>9</v>
      </c>
      <c r="U14" s="7">
        <v>11</v>
      </c>
      <c r="V14" s="7">
        <v>10</v>
      </c>
      <c r="W14" s="7">
        <v>9</v>
      </c>
      <c r="X14" s="7">
        <v>12</v>
      </c>
      <c r="Y14" s="7">
        <v>6</v>
      </c>
      <c r="Z14" s="7">
        <v>8</v>
      </c>
      <c r="AA14" s="7">
        <v>9</v>
      </c>
      <c r="AB14" s="7">
        <v>9</v>
      </c>
      <c r="AC14" s="7">
        <v>8</v>
      </c>
      <c r="AD14" s="7">
        <v>7</v>
      </c>
      <c r="AE14" s="7">
        <v>11</v>
      </c>
    </row>
    <row r="15" spans="1:31" ht="15.75" customHeight="1" x14ac:dyDescent="0.3">
      <c r="A15" s="4" t="s">
        <v>73</v>
      </c>
      <c r="B15" s="7">
        <v>4</v>
      </c>
      <c r="C15" s="7">
        <v>4</v>
      </c>
      <c r="D15" s="7">
        <v>5</v>
      </c>
      <c r="E15" s="7">
        <v>4</v>
      </c>
      <c r="F15" s="7">
        <v>4</v>
      </c>
      <c r="G15" s="7">
        <v>5</v>
      </c>
      <c r="H15" s="7">
        <v>5</v>
      </c>
      <c r="I15" s="7">
        <v>4</v>
      </c>
      <c r="J15" s="7">
        <v>6</v>
      </c>
      <c r="K15" s="7">
        <v>5</v>
      </c>
      <c r="L15" s="7">
        <v>5</v>
      </c>
      <c r="M15" s="7">
        <v>4</v>
      </c>
      <c r="N15" s="7">
        <v>4</v>
      </c>
      <c r="O15" s="7">
        <v>4</v>
      </c>
      <c r="P15" s="7">
        <v>5</v>
      </c>
      <c r="Q15" s="7">
        <v>9</v>
      </c>
      <c r="R15" s="7">
        <v>8</v>
      </c>
      <c r="S15" s="7">
        <v>5</v>
      </c>
      <c r="T15" s="7">
        <v>6</v>
      </c>
      <c r="U15" s="7">
        <v>5</v>
      </c>
      <c r="V15" s="7">
        <v>5</v>
      </c>
      <c r="W15" s="7">
        <v>8</v>
      </c>
      <c r="X15" s="7">
        <v>7</v>
      </c>
      <c r="Y15" s="7">
        <v>7</v>
      </c>
      <c r="Z15" s="7">
        <v>5</v>
      </c>
      <c r="AA15" s="7">
        <v>9</v>
      </c>
      <c r="AB15" s="7">
        <v>9</v>
      </c>
      <c r="AC15" s="7">
        <v>5</v>
      </c>
      <c r="AD15" s="7">
        <v>6</v>
      </c>
      <c r="AE15" s="7">
        <v>7</v>
      </c>
    </row>
    <row r="16" spans="1:31" ht="15.75" customHeight="1" x14ac:dyDescent="0.3">
      <c r="A16" s="4" t="s">
        <v>76</v>
      </c>
      <c r="B16" s="7">
        <v>5</v>
      </c>
      <c r="C16" s="7">
        <v>5</v>
      </c>
      <c r="D16" s="7">
        <v>5</v>
      </c>
      <c r="E16" s="7">
        <v>5</v>
      </c>
      <c r="F16" s="7">
        <v>5</v>
      </c>
      <c r="G16" s="7">
        <v>4</v>
      </c>
      <c r="H16" s="7">
        <v>3</v>
      </c>
      <c r="I16" s="7">
        <v>4</v>
      </c>
      <c r="J16" s="7">
        <v>4</v>
      </c>
      <c r="K16" s="7">
        <v>3</v>
      </c>
      <c r="L16" s="7">
        <v>4</v>
      </c>
      <c r="M16" s="7">
        <v>3</v>
      </c>
      <c r="N16" s="7">
        <v>4</v>
      </c>
      <c r="O16" s="7">
        <v>3</v>
      </c>
      <c r="P16" s="7">
        <v>4</v>
      </c>
      <c r="Q16" s="7">
        <v>4</v>
      </c>
      <c r="R16" s="7">
        <v>6</v>
      </c>
      <c r="S16" s="7">
        <v>7</v>
      </c>
      <c r="T16" s="7">
        <v>7</v>
      </c>
      <c r="U16" s="7">
        <v>5</v>
      </c>
      <c r="V16" s="7">
        <v>4</v>
      </c>
      <c r="W16" s="7">
        <v>7</v>
      </c>
      <c r="X16" s="7">
        <v>5</v>
      </c>
      <c r="Y16" s="7">
        <v>6</v>
      </c>
      <c r="Z16" s="7">
        <v>6</v>
      </c>
      <c r="AA16" s="7">
        <v>4</v>
      </c>
      <c r="AB16" s="7">
        <v>7</v>
      </c>
      <c r="AC16" s="7">
        <v>7</v>
      </c>
      <c r="AD16" s="7">
        <v>7</v>
      </c>
      <c r="AE16" s="7">
        <v>6</v>
      </c>
    </row>
    <row r="17" spans="1:31" ht="15.75" customHeight="1" x14ac:dyDescent="0.3">
      <c r="A17" s="4" t="s">
        <v>78</v>
      </c>
      <c r="B17" s="7">
        <v>4</v>
      </c>
      <c r="C17" s="7">
        <v>5</v>
      </c>
      <c r="D17" s="7">
        <v>5</v>
      </c>
      <c r="E17" s="7">
        <v>5</v>
      </c>
      <c r="F17" s="7">
        <v>4</v>
      </c>
      <c r="G17" s="7">
        <v>5</v>
      </c>
      <c r="H17" s="7">
        <v>6</v>
      </c>
      <c r="I17" s="7">
        <v>4</v>
      </c>
      <c r="J17" s="7">
        <v>4</v>
      </c>
      <c r="K17" s="7">
        <v>4</v>
      </c>
      <c r="L17" s="7">
        <v>5</v>
      </c>
      <c r="M17" s="7">
        <v>5</v>
      </c>
      <c r="N17" s="7">
        <v>5</v>
      </c>
      <c r="O17" s="7">
        <v>6</v>
      </c>
      <c r="P17" s="7">
        <v>6</v>
      </c>
      <c r="Q17" s="7">
        <v>4</v>
      </c>
      <c r="R17" s="7">
        <v>4</v>
      </c>
      <c r="S17" s="7">
        <v>4</v>
      </c>
      <c r="T17" s="7">
        <v>5</v>
      </c>
      <c r="U17" s="7">
        <v>4</v>
      </c>
      <c r="V17" s="7">
        <v>4</v>
      </c>
      <c r="W17" s="7">
        <v>4</v>
      </c>
      <c r="X17" s="7">
        <v>3</v>
      </c>
      <c r="Y17" s="7">
        <v>4</v>
      </c>
      <c r="Z17" s="7">
        <v>4</v>
      </c>
      <c r="AA17" s="7">
        <v>3</v>
      </c>
      <c r="AB17" s="7">
        <v>4</v>
      </c>
      <c r="AC17" s="7">
        <v>4</v>
      </c>
      <c r="AD17" s="7">
        <v>3</v>
      </c>
      <c r="AE17" s="7">
        <v>3</v>
      </c>
    </row>
    <row r="18" spans="1:31" ht="15.75" customHeight="1" x14ac:dyDescent="0.3">
      <c r="A18" s="4" t="s">
        <v>81</v>
      </c>
      <c r="B18" s="7">
        <v>4</v>
      </c>
      <c r="C18" s="7">
        <v>4</v>
      </c>
      <c r="D18" s="7">
        <v>4</v>
      </c>
      <c r="E18" s="7">
        <v>4</v>
      </c>
      <c r="F18" s="7">
        <v>3</v>
      </c>
      <c r="G18" s="7">
        <v>5</v>
      </c>
      <c r="H18" s="7">
        <v>3</v>
      </c>
      <c r="I18" s="7">
        <v>4</v>
      </c>
      <c r="J18" s="7">
        <v>4</v>
      </c>
      <c r="K18" s="7">
        <v>4</v>
      </c>
      <c r="L18" s="7">
        <v>4</v>
      </c>
      <c r="M18" s="7">
        <v>4</v>
      </c>
      <c r="N18" s="7">
        <v>3</v>
      </c>
      <c r="O18" s="7">
        <v>3</v>
      </c>
      <c r="P18" s="7">
        <v>4</v>
      </c>
      <c r="Q18" s="7">
        <v>2</v>
      </c>
      <c r="R18" s="7">
        <v>2</v>
      </c>
      <c r="S18" s="7">
        <v>2</v>
      </c>
      <c r="T18" s="7">
        <v>2</v>
      </c>
      <c r="U18" s="7">
        <v>2</v>
      </c>
      <c r="V18" s="7">
        <v>2</v>
      </c>
      <c r="W18" s="7">
        <v>2</v>
      </c>
      <c r="X18" s="7">
        <v>3</v>
      </c>
      <c r="Y18" s="7">
        <v>3</v>
      </c>
      <c r="Z18" s="7">
        <v>3</v>
      </c>
      <c r="AA18" s="7">
        <v>3</v>
      </c>
      <c r="AB18" s="7">
        <v>3</v>
      </c>
      <c r="AC18" s="7">
        <v>3</v>
      </c>
      <c r="AD18" s="7">
        <v>2</v>
      </c>
      <c r="AE18" s="7">
        <v>3</v>
      </c>
    </row>
    <row r="19" spans="1:31" ht="15.75" customHeight="1" x14ac:dyDescent="0.3">
      <c r="A19" s="4" t="s">
        <v>84</v>
      </c>
      <c r="B19" s="7">
        <v>5</v>
      </c>
      <c r="C19" s="7">
        <v>5</v>
      </c>
      <c r="D19" s="7">
        <v>4</v>
      </c>
      <c r="E19" s="7">
        <v>3</v>
      </c>
      <c r="F19" s="7">
        <v>4</v>
      </c>
      <c r="G19" s="7">
        <v>4</v>
      </c>
      <c r="H19" s="7">
        <v>5</v>
      </c>
      <c r="I19" s="7">
        <v>4</v>
      </c>
      <c r="J19" s="7">
        <v>4</v>
      </c>
      <c r="K19" s="7">
        <v>4</v>
      </c>
      <c r="L19" s="7">
        <v>4</v>
      </c>
      <c r="M19" s="7">
        <v>5</v>
      </c>
      <c r="N19" s="7">
        <v>5</v>
      </c>
      <c r="O19" s="7">
        <v>4</v>
      </c>
      <c r="P19" s="7">
        <v>4</v>
      </c>
      <c r="Q19" s="7">
        <v>2</v>
      </c>
      <c r="R19" s="7">
        <v>2</v>
      </c>
      <c r="S19" s="7">
        <v>2</v>
      </c>
      <c r="T19" s="7">
        <v>2</v>
      </c>
      <c r="U19" s="7">
        <v>2</v>
      </c>
      <c r="V19" s="7">
        <v>2</v>
      </c>
      <c r="W19" s="7">
        <v>2</v>
      </c>
      <c r="X19" s="7">
        <v>2</v>
      </c>
      <c r="Y19" s="7">
        <v>2</v>
      </c>
      <c r="Z19" s="7">
        <v>2</v>
      </c>
      <c r="AA19" s="7">
        <v>2</v>
      </c>
      <c r="AB19" s="7">
        <v>2</v>
      </c>
      <c r="AC19" s="7">
        <v>2</v>
      </c>
      <c r="AD19" s="7">
        <v>2</v>
      </c>
      <c r="AE19" s="7">
        <v>2</v>
      </c>
    </row>
    <row r="20" spans="1:31" ht="15.75" customHeight="1" x14ac:dyDescent="0.3">
      <c r="A20" s="4" t="s">
        <v>87</v>
      </c>
      <c r="B20" s="7">
        <v>3</v>
      </c>
      <c r="C20" s="7">
        <v>3</v>
      </c>
      <c r="D20" s="7">
        <v>3</v>
      </c>
      <c r="E20" s="7">
        <v>3</v>
      </c>
      <c r="F20" s="7">
        <v>3</v>
      </c>
      <c r="G20" s="7">
        <v>3</v>
      </c>
      <c r="H20" s="7">
        <v>2</v>
      </c>
      <c r="I20" s="7">
        <v>2</v>
      </c>
      <c r="J20" s="7">
        <v>2</v>
      </c>
      <c r="K20" s="7">
        <v>3</v>
      </c>
      <c r="L20" s="7">
        <v>3</v>
      </c>
      <c r="M20" s="7">
        <v>2</v>
      </c>
      <c r="N20" s="7">
        <v>2</v>
      </c>
      <c r="O20" s="7">
        <v>2</v>
      </c>
      <c r="P20" s="7">
        <v>3</v>
      </c>
      <c r="Q20" s="7">
        <v>2</v>
      </c>
      <c r="R20" s="7">
        <v>2</v>
      </c>
      <c r="S20" s="7">
        <v>2</v>
      </c>
      <c r="T20" s="7">
        <v>2</v>
      </c>
      <c r="U20" s="7">
        <v>2</v>
      </c>
      <c r="V20" s="7">
        <v>2</v>
      </c>
      <c r="W20" s="7">
        <v>2</v>
      </c>
      <c r="X20" s="7">
        <v>2</v>
      </c>
      <c r="Y20" s="7">
        <v>2</v>
      </c>
      <c r="Z20" s="7">
        <v>2</v>
      </c>
      <c r="AA20" s="7">
        <v>2</v>
      </c>
      <c r="AB20" s="7">
        <v>2</v>
      </c>
      <c r="AC20" s="7">
        <v>2</v>
      </c>
      <c r="AD20" s="7">
        <v>2</v>
      </c>
      <c r="AE20" s="7">
        <v>2</v>
      </c>
    </row>
    <row r="21" spans="1:31" ht="15.75" customHeight="1" x14ac:dyDescent="0.3">
      <c r="A21" s="4" t="s">
        <v>90</v>
      </c>
      <c r="B21" s="7">
        <v>3</v>
      </c>
      <c r="C21" s="7">
        <v>2</v>
      </c>
      <c r="D21" s="7">
        <v>3</v>
      </c>
      <c r="E21" s="7">
        <v>3</v>
      </c>
      <c r="F21" s="7">
        <v>2</v>
      </c>
      <c r="G21" s="7">
        <v>2</v>
      </c>
      <c r="H21" s="7">
        <v>2</v>
      </c>
      <c r="I21" s="7">
        <v>3</v>
      </c>
      <c r="J21" s="7">
        <v>3</v>
      </c>
      <c r="K21" s="7">
        <v>2</v>
      </c>
      <c r="L21" s="7">
        <v>3</v>
      </c>
      <c r="M21" s="7">
        <v>3</v>
      </c>
      <c r="N21" s="7">
        <v>3</v>
      </c>
      <c r="O21" s="7">
        <v>3</v>
      </c>
      <c r="P21" s="7">
        <v>3</v>
      </c>
      <c r="Q21" s="7">
        <v>1</v>
      </c>
      <c r="R21" s="7">
        <v>1</v>
      </c>
      <c r="S21" s="7">
        <v>1</v>
      </c>
      <c r="T21" s="7">
        <v>1</v>
      </c>
      <c r="U21" s="7">
        <v>1</v>
      </c>
      <c r="V21" s="7">
        <v>1</v>
      </c>
      <c r="W21" s="7">
        <v>1</v>
      </c>
      <c r="X21" s="7">
        <v>2</v>
      </c>
      <c r="Y21" s="7">
        <v>2</v>
      </c>
      <c r="Z21" s="7">
        <v>2</v>
      </c>
      <c r="AA21" s="7">
        <v>2</v>
      </c>
      <c r="AB21" s="7">
        <v>2</v>
      </c>
      <c r="AC21" s="7">
        <v>2</v>
      </c>
      <c r="AD21" s="7">
        <v>2</v>
      </c>
      <c r="AE21" s="7">
        <v>2</v>
      </c>
    </row>
    <row r="22" spans="1:31" ht="15.75" customHeight="1" x14ac:dyDescent="0.3">
      <c r="A22" s="4" t="s">
        <v>93</v>
      </c>
      <c r="B22" s="7">
        <v>2</v>
      </c>
      <c r="C22" s="7">
        <v>2</v>
      </c>
      <c r="D22" s="7">
        <v>2</v>
      </c>
      <c r="E22" s="7">
        <v>2</v>
      </c>
      <c r="F22" s="7">
        <v>2</v>
      </c>
      <c r="G22" s="7">
        <v>2</v>
      </c>
      <c r="H22" s="7">
        <v>2</v>
      </c>
      <c r="I22" s="7">
        <v>2</v>
      </c>
      <c r="J22" s="7">
        <v>2</v>
      </c>
      <c r="K22" s="7">
        <v>2</v>
      </c>
      <c r="L22" s="7">
        <v>2</v>
      </c>
      <c r="M22" s="7">
        <v>2</v>
      </c>
      <c r="N22" s="7">
        <v>2</v>
      </c>
      <c r="O22" s="7">
        <v>2</v>
      </c>
      <c r="P22" s="7">
        <v>2</v>
      </c>
      <c r="Q22" s="7">
        <v>2</v>
      </c>
      <c r="R22" s="7">
        <v>2</v>
      </c>
      <c r="S22" s="7">
        <v>2</v>
      </c>
      <c r="T22" s="7">
        <v>2</v>
      </c>
      <c r="U22" s="7">
        <v>2</v>
      </c>
      <c r="V22" s="7">
        <v>2</v>
      </c>
      <c r="W22" s="7">
        <v>2</v>
      </c>
      <c r="X22" s="7">
        <v>2</v>
      </c>
      <c r="Y22" s="7">
        <v>2</v>
      </c>
      <c r="Z22" s="7">
        <v>2</v>
      </c>
      <c r="AA22" s="7">
        <v>2</v>
      </c>
      <c r="AB22" s="7">
        <v>2</v>
      </c>
      <c r="AC22" s="7">
        <v>2</v>
      </c>
      <c r="AD22" s="7">
        <v>2</v>
      </c>
      <c r="AE22" s="7">
        <v>2</v>
      </c>
    </row>
    <row r="23" spans="1:31" ht="15.75" customHeight="1" x14ac:dyDescent="0.3">
      <c r="A23" s="4" t="s">
        <v>6</v>
      </c>
      <c r="B23" s="7">
        <v>7</v>
      </c>
      <c r="C23" s="7">
        <v>9</v>
      </c>
      <c r="D23" s="7">
        <v>5</v>
      </c>
      <c r="E23" s="7">
        <v>8</v>
      </c>
      <c r="F23" s="7">
        <v>7</v>
      </c>
      <c r="G23" s="7">
        <v>9</v>
      </c>
      <c r="H23" s="7">
        <v>6</v>
      </c>
      <c r="I23" s="7">
        <v>11</v>
      </c>
      <c r="J23" s="7">
        <v>7</v>
      </c>
      <c r="K23" s="7">
        <v>9</v>
      </c>
      <c r="L23" s="7">
        <v>9</v>
      </c>
      <c r="M23" s="7">
        <v>8</v>
      </c>
      <c r="N23" s="7">
        <v>6</v>
      </c>
      <c r="O23" s="7">
        <v>9</v>
      </c>
      <c r="P23" s="7">
        <v>8</v>
      </c>
      <c r="Q23" s="7">
        <v>13</v>
      </c>
      <c r="R23" s="7">
        <v>16</v>
      </c>
      <c r="S23" s="7">
        <v>14</v>
      </c>
      <c r="T23" s="7">
        <v>15</v>
      </c>
      <c r="U23" s="7">
        <v>17</v>
      </c>
      <c r="V23" s="7">
        <v>22</v>
      </c>
      <c r="W23" s="7">
        <v>19</v>
      </c>
      <c r="X23" s="7">
        <v>19</v>
      </c>
      <c r="Y23" s="7">
        <v>13</v>
      </c>
      <c r="Z23" s="7">
        <v>17</v>
      </c>
      <c r="AA23" s="7">
        <v>14</v>
      </c>
      <c r="AB23" s="7">
        <v>23</v>
      </c>
      <c r="AC23" s="7">
        <v>23</v>
      </c>
      <c r="AD23" s="7">
        <v>23</v>
      </c>
      <c r="AE23" s="7">
        <v>22</v>
      </c>
    </row>
    <row r="24" spans="1:31" ht="15.75" customHeight="1" x14ac:dyDescent="0.3">
      <c r="A24" s="4" t="s">
        <v>9</v>
      </c>
      <c r="B24" s="7">
        <v>4</v>
      </c>
      <c r="C24" s="7">
        <v>7</v>
      </c>
      <c r="D24" s="7">
        <v>6</v>
      </c>
      <c r="E24" s="7">
        <v>5</v>
      </c>
      <c r="F24" s="7">
        <v>5</v>
      </c>
      <c r="G24" s="7">
        <v>7</v>
      </c>
      <c r="H24" s="7">
        <v>7</v>
      </c>
      <c r="I24" s="7">
        <v>5</v>
      </c>
      <c r="J24" s="7">
        <v>8</v>
      </c>
      <c r="K24" s="7">
        <v>6</v>
      </c>
      <c r="L24" s="7">
        <v>6</v>
      </c>
      <c r="M24" s="7">
        <v>7</v>
      </c>
      <c r="N24" s="7">
        <v>6</v>
      </c>
      <c r="O24" s="7">
        <v>5</v>
      </c>
      <c r="P24" s="7">
        <v>7</v>
      </c>
      <c r="Q24" s="7">
        <v>13</v>
      </c>
      <c r="R24" s="7">
        <v>10</v>
      </c>
      <c r="S24" s="7">
        <v>7</v>
      </c>
      <c r="T24" s="7">
        <v>7</v>
      </c>
      <c r="U24" s="7">
        <v>8</v>
      </c>
      <c r="V24" s="7">
        <v>13</v>
      </c>
      <c r="W24" s="7">
        <v>12</v>
      </c>
      <c r="X24" s="7">
        <v>12</v>
      </c>
      <c r="Y24" s="7">
        <v>8</v>
      </c>
      <c r="Z24" s="7">
        <v>7</v>
      </c>
      <c r="AA24" s="7">
        <v>7</v>
      </c>
      <c r="AB24" s="7">
        <v>10</v>
      </c>
      <c r="AC24" s="7">
        <v>8</v>
      </c>
      <c r="AD24" s="7">
        <v>8</v>
      </c>
      <c r="AE24" s="7">
        <v>12</v>
      </c>
    </row>
    <row r="25" spans="1:31" ht="15.75" customHeight="1" x14ac:dyDescent="0.3">
      <c r="A25" s="4" t="s">
        <v>12</v>
      </c>
      <c r="B25" s="7">
        <v>6</v>
      </c>
      <c r="C25" s="7">
        <v>4</v>
      </c>
      <c r="D25" s="7">
        <v>5</v>
      </c>
      <c r="E25" s="7">
        <v>5</v>
      </c>
      <c r="F25" s="7">
        <v>5</v>
      </c>
      <c r="G25" s="7">
        <v>6</v>
      </c>
      <c r="H25" s="7">
        <v>4</v>
      </c>
      <c r="I25" s="7">
        <v>5</v>
      </c>
      <c r="J25" s="7">
        <v>4</v>
      </c>
      <c r="K25" s="7">
        <v>4</v>
      </c>
      <c r="L25" s="7">
        <v>5</v>
      </c>
      <c r="M25" s="7">
        <v>5</v>
      </c>
      <c r="N25" s="7">
        <v>4</v>
      </c>
      <c r="O25" s="7">
        <v>6</v>
      </c>
      <c r="P25" s="7">
        <v>6</v>
      </c>
      <c r="Q25" s="7">
        <v>9</v>
      </c>
      <c r="R25" s="7">
        <v>8</v>
      </c>
      <c r="S25" s="7">
        <v>7</v>
      </c>
      <c r="T25" s="7">
        <v>7</v>
      </c>
      <c r="U25" s="7">
        <v>7</v>
      </c>
      <c r="V25" s="7">
        <v>10</v>
      </c>
      <c r="W25" s="7">
        <v>8</v>
      </c>
      <c r="X25" s="7">
        <v>8</v>
      </c>
      <c r="Y25" s="7">
        <v>8</v>
      </c>
      <c r="Z25" s="7">
        <v>9</v>
      </c>
      <c r="AA25" s="7">
        <v>7</v>
      </c>
      <c r="AB25" s="7">
        <v>7</v>
      </c>
      <c r="AC25" s="7">
        <v>8</v>
      </c>
      <c r="AD25" s="7">
        <v>6</v>
      </c>
      <c r="AE25" s="7">
        <v>7</v>
      </c>
    </row>
    <row r="26" spans="1:31" ht="15.75" customHeight="1" x14ac:dyDescent="0.3">
      <c r="A26" s="4" t="s">
        <v>15</v>
      </c>
      <c r="B26" s="7">
        <v>6</v>
      </c>
      <c r="C26" s="7">
        <v>5</v>
      </c>
      <c r="D26" s="7">
        <v>4</v>
      </c>
      <c r="E26" s="7">
        <v>5</v>
      </c>
      <c r="F26" s="7">
        <v>5</v>
      </c>
      <c r="G26" s="7">
        <v>5</v>
      </c>
      <c r="H26" s="7">
        <v>5</v>
      </c>
      <c r="I26" s="7">
        <v>4</v>
      </c>
      <c r="J26" s="7">
        <v>4</v>
      </c>
      <c r="K26" s="7">
        <v>4</v>
      </c>
      <c r="L26" s="7">
        <v>6</v>
      </c>
      <c r="M26" s="7">
        <v>6</v>
      </c>
      <c r="N26" s="7">
        <v>5</v>
      </c>
      <c r="O26" s="7">
        <v>4</v>
      </c>
      <c r="P26" s="7">
        <v>4</v>
      </c>
      <c r="Q26" s="7">
        <v>7</v>
      </c>
      <c r="R26" s="7">
        <v>6</v>
      </c>
      <c r="S26" s="7">
        <v>8</v>
      </c>
      <c r="T26" s="7">
        <v>5</v>
      </c>
      <c r="U26" s="7">
        <v>7</v>
      </c>
      <c r="V26" s="7">
        <v>5</v>
      </c>
      <c r="W26" s="7">
        <v>5</v>
      </c>
      <c r="X26" s="7">
        <v>6</v>
      </c>
      <c r="Y26" s="7">
        <v>5</v>
      </c>
      <c r="Z26" s="7">
        <v>7</v>
      </c>
      <c r="AA26" s="7">
        <v>7</v>
      </c>
      <c r="AB26" s="7">
        <v>7</v>
      </c>
      <c r="AC26" s="7">
        <v>6</v>
      </c>
      <c r="AD26" s="7">
        <v>5</v>
      </c>
      <c r="AE26" s="7">
        <v>7</v>
      </c>
    </row>
    <row r="27" spans="1:31" ht="15.75" customHeight="1" x14ac:dyDescent="0.3">
      <c r="A27" s="4" t="s">
        <v>17</v>
      </c>
      <c r="B27" s="7">
        <v>3</v>
      </c>
      <c r="C27" s="7">
        <v>3</v>
      </c>
      <c r="D27" s="7">
        <v>3</v>
      </c>
      <c r="E27" s="7">
        <v>3</v>
      </c>
      <c r="F27" s="7">
        <v>4</v>
      </c>
      <c r="G27" s="7">
        <v>4</v>
      </c>
      <c r="H27" s="7">
        <v>3</v>
      </c>
      <c r="I27" s="7">
        <v>5</v>
      </c>
      <c r="J27" s="7">
        <v>4</v>
      </c>
      <c r="K27" s="7">
        <v>5</v>
      </c>
      <c r="L27" s="7">
        <v>4</v>
      </c>
      <c r="M27" s="7">
        <v>4</v>
      </c>
      <c r="N27" s="7">
        <v>4</v>
      </c>
      <c r="O27" s="7">
        <v>4</v>
      </c>
      <c r="P27" s="7">
        <v>4</v>
      </c>
      <c r="Q27" s="7">
        <v>6</v>
      </c>
      <c r="R27" s="7">
        <v>5</v>
      </c>
      <c r="S27" s="7">
        <v>6</v>
      </c>
      <c r="T27" s="7">
        <v>6</v>
      </c>
      <c r="U27" s="7">
        <v>4</v>
      </c>
      <c r="V27" s="7">
        <v>6</v>
      </c>
      <c r="W27" s="7">
        <v>5</v>
      </c>
      <c r="X27" s="7">
        <v>4</v>
      </c>
      <c r="Y27" s="7">
        <v>4</v>
      </c>
      <c r="Z27" s="7">
        <v>3</v>
      </c>
      <c r="AA27" s="7">
        <v>3</v>
      </c>
      <c r="AB27" s="7">
        <v>4</v>
      </c>
      <c r="AC27" s="7">
        <v>5</v>
      </c>
      <c r="AD27" s="7">
        <v>4</v>
      </c>
      <c r="AE27" s="7">
        <v>5</v>
      </c>
    </row>
    <row r="28" spans="1:31" ht="15.75" customHeight="1" x14ac:dyDescent="0.3">
      <c r="A28" s="4" t="s">
        <v>20</v>
      </c>
      <c r="B28" s="7">
        <v>2</v>
      </c>
      <c r="C28" s="7">
        <v>3</v>
      </c>
      <c r="D28" s="7">
        <v>3</v>
      </c>
      <c r="E28" s="7">
        <v>3</v>
      </c>
      <c r="F28" s="7">
        <v>3</v>
      </c>
      <c r="G28" s="7">
        <v>3</v>
      </c>
      <c r="H28" s="7">
        <v>3</v>
      </c>
      <c r="I28" s="7">
        <v>3</v>
      </c>
      <c r="J28" s="7">
        <v>3</v>
      </c>
      <c r="K28" s="7">
        <v>3</v>
      </c>
      <c r="L28" s="7">
        <v>3</v>
      </c>
      <c r="M28" s="7">
        <v>3</v>
      </c>
      <c r="N28" s="7">
        <v>3</v>
      </c>
      <c r="O28" s="7">
        <v>3</v>
      </c>
      <c r="P28" s="7">
        <v>3</v>
      </c>
      <c r="Q28" s="7">
        <v>3</v>
      </c>
      <c r="R28" s="7">
        <v>4</v>
      </c>
      <c r="S28" s="7">
        <v>4</v>
      </c>
      <c r="T28" s="7">
        <v>3</v>
      </c>
      <c r="U28" s="7">
        <v>4</v>
      </c>
      <c r="V28" s="7">
        <v>3</v>
      </c>
      <c r="W28" s="7">
        <v>4</v>
      </c>
      <c r="X28" s="7">
        <v>3</v>
      </c>
      <c r="Y28" s="7">
        <v>4</v>
      </c>
      <c r="Z28" s="7">
        <v>3</v>
      </c>
      <c r="AA28" s="7">
        <v>4</v>
      </c>
      <c r="AB28" s="7">
        <v>3</v>
      </c>
      <c r="AC28" s="7">
        <v>4</v>
      </c>
      <c r="AD28" s="7">
        <v>3</v>
      </c>
      <c r="AE28" s="7">
        <v>4</v>
      </c>
    </row>
    <row r="29" spans="1:31" ht="15.75" customHeight="1" x14ac:dyDescent="0.3">
      <c r="A29" s="4" t="s">
        <v>23</v>
      </c>
      <c r="B29" s="7">
        <v>3</v>
      </c>
      <c r="C29" s="7">
        <v>3</v>
      </c>
      <c r="D29" s="7">
        <v>2</v>
      </c>
      <c r="E29" s="7">
        <v>3</v>
      </c>
      <c r="F29" s="7">
        <v>3</v>
      </c>
      <c r="G29" s="7">
        <v>3</v>
      </c>
      <c r="H29" s="7">
        <v>3</v>
      </c>
      <c r="I29" s="7">
        <v>2</v>
      </c>
      <c r="J29" s="7">
        <v>3</v>
      </c>
      <c r="K29" s="7">
        <v>3</v>
      </c>
      <c r="L29" s="7">
        <v>3</v>
      </c>
      <c r="M29" s="7">
        <v>3</v>
      </c>
      <c r="N29" s="7">
        <v>3</v>
      </c>
      <c r="O29" s="7">
        <v>3</v>
      </c>
      <c r="P29" s="7">
        <v>2</v>
      </c>
      <c r="Q29" s="7">
        <v>3</v>
      </c>
      <c r="R29" s="7">
        <v>3</v>
      </c>
      <c r="S29" s="7">
        <v>4</v>
      </c>
      <c r="T29" s="7">
        <v>3</v>
      </c>
      <c r="U29" s="7">
        <v>3</v>
      </c>
      <c r="V29" s="7">
        <v>3</v>
      </c>
      <c r="W29" s="7">
        <v>4</v>
      </c>
      <c r="X29" s="7">
        <v>3</v>
      </c>
      <c r="Y29" s="7">
        <v>3</v>
      </c>
      <c r="Z29" s="7">
        <v>4</v>
      </c>
      <c r="AA29" s="7">
        <v>3</v>
      </c>
      <c r="AB29" s="7">
        <v>3</v>
      </c>
      <c r="AC29" s="7">
        <v>3</v>
      </c>
      <c r="AD29" s="7">
        <v>3</v>
      </c>
      <c r="AE29" s="7">
        <v>3</v>
      </c>
    </row>
    <row r="30" spans="1:31" ht="15.75" customHeight="1" x14ac:dyDescent="0.3">
      <c r="A30" s="4" t="s">
        <v>26</v>
      </c>
      <c r="B30" s="7">
        <v>3</v>
      </c>
      <c r="C30" s="7">
        <v>2</v>
      </c>
      <c r="D30" s="7">
        <v>2</v>
      </c>
      <c r="E30" s="7">
        <v>3</v>
      </c>
      <c r="F30" s="7">
        <v>2</v>
      </c>
      <c r="G30" s="7">
        <v>2</v>
      </c>
      <c r="H30" s="7">
        <v>2</v>
      </c>
      <c r="I30" s="7">
        <v>2</v>
      </c>
      <c r="J30" s="7">
        <v>2</v>
      </c>
      <c r="K30" s="7">
        <v>2</v>
      </c>
      <c r="L30" s="7">
        <v>2</v>
      </c>
      <c r="M30" s="7">
        <v>2</v>
      </c>
      <c r="N30" s="7">
        <v>2</v>
      </c>
      <c r="O30" s="7">
        <v>2</v>
      </c>
      <c r="P30" s="7">
        <v>2</v>
      </c>
      <c r="Q30" s="7">
        <v>2</v>
      </c>
      <c r="R30" s="7">
        <v>2</v>
      </c>
      <c r="S30" s="7">
        <v>2</v>
      </c>
      <c r="T30" s="7">
        <v>2</v>
      </c>
      <c r="U30" s="7">
        <v>2</v>
      </c>
      <c r="V30" s="7">
        <v>2</v>
      </c>
      <c r="W30" s="7">
        <v>2</v>
      </c>
      <c r="X30" s="7">
        <v>2</v>
      </c>
      <c r="Y30" s="7">
        <v>2</v>
      </c>
      <c r="Z30" s="7">
        <v>2</v>
      </c>
      <c r="AA30" s="7">
        <v>2</v>
      </c>
      <c r="AB30" s="7">
        <v>2</v>
      </c>
      <c r="AC30" s="7">
        <v>2</v>
      </c>
      <c r="AD30" s="7">
        <v>2</v>
      </c>
      <c r="AE30" s="7">
        <v>2</v>
      </c>
    </row>
    <row r="31" spans="1:31" ht="15.75" customHeight="1" x14ac:dyDescent="0.3">
      <c r="A31" s="4" t="s">
        <v>29</v>
      </c>
      <c r="B31" s="7">
        <v>2</v>
      </c>
      <c r="C31" s="7">
        <v>2</v>
      </c>
      <c r="D31" s="7">
        <v>3</v>
      </c>
      <c r="E31" s="7">
        <v>2</v>
      </c>
      <c r="F31" s="7">
        <v>2</v>
      </c>
      <c r="G31" s="7">
        <v>2</v>
      </c>
      <c r="H31" s="7">
        <v>3</v>
      </c>
      <c r="I31" s="7">
        <v>3</v>
      </c>
      <c r="J31" s="7">
        <v>3</v>
      </c>
      <c r="K31" s="7">
        <v>3</v>
      </c>
      <c r="L31" s="7">
        <v>2</v>
      </c>
      <c r="M31" s="7">
        <v>3</v>
      </c>
      <c r="N31" s="7">
        <v>3</v>
      </c>
      <c r="O31" s="7">
        <v>3</v>
      </c>
      <c r="P31" s="7">
        <v>3</v>
      </c>
      <c r="Q31" s="7">
        <v>2</v>
      </c>
      <c r="R31" s="7">
        <v>2</v>
      </c>
      <c r="S31" s="7">
        <v>2</v>
      </c>
      <c r="T31" s="7">
        <v>2</v>
      </c>
      <c r="U31" s="7">
        <v>2</v>
      </c>
      <c r="V31" s="7">
        <v>2</v>
      </c>
      <c r="W31" s="7">
        <v>2</v>
      </c>
      <c r="X31" s="7">
        <v>2</v>
      </c>
      <c r="Y31" s="7">
        <v>2</v>
      </c>
      <c r="Z31" s="7">
        <v>2</v>
      </c>
      <c r="AA31" s="7">
        <v>2</v>
      </c>
      <c r="AB31" s="7">
        <v>2</v>
      </c>
      <c r="AC31" s="7">
        <v>2</v>
      </c>
      <c r="AD31" s="7">
        <v>2</v>
      </c>
      <c r="AE31" s="7">
        <v>2</v>
      </c>
    </row>
    <row r="32" spans="1:31" ht="15.75" customHeight="1" x14ac:dyDescent="0.3">
      <c r="A32" s="4" t="s">
        <v>32</v>
      </c>
      <c r="B32" s="7">
        <v>3</v>
      </c>
      <c r="C32" s="7">
        <v>3</v>
      </c>
      <c r="D32" s="7">
        <v>2</v>
      </c>
      <c r="E32" s="7">
        <v>2</v>
      </c>
      <c r="F32" s="7">
        <v>2</v>
      </c>
      <c r="G32" s="7">
        <v>2</v>
      </c>
      <c r="H32" s="7">
        <v>3</v>
      </c>
      <c r="I32" s="7">
        <v>2</v>
      </c>
      <c r="J32" s="7">
        <v>2</v>
      </c>
      <c r="K32" s="7">
        <v>3</v>
      </c>
      <c r="L32" s="7">
        <v>2</v>
      </c>
      <c r="M32" s="7">
        <v>2</v>
      </c>
      <c r="N32" s="7">
        <v>2</v>
      </c>
      <c r="O32" s="7">
        <v>2</v>
      </c>
      <c r="P32" s="7">
        <v>2</v>
      </c>
      <c r="Q32" s="7">
        <v>2</v>
      </c>
      <c r="R32" s="7">
        <v>2</v>
      </c>
      <c r="S32" s="7">
        <v>2</v>
      </c>
      <c r="T32" s="7">
        <v>2</v>
      </c>
      <c r="U32" s="7">
        <v>2</v>
      </c>
      <c r="V32" s="7">
        <v>2</v>
      </c>
      <c r="W32" s="7">
        <v>2</v>
      </c>
      <c r="X32" s="7">
        <v>2</v>
      </c>
      <c r="Y32" s="7">
        <v>2</v>
      </c>
      <c r="Z32" s="7">
        <v>2</v>
      </c>
      <c r="AA32" s="7">
        <v>2</v>
      </c>
      <c r="AB32" s="7">
        <v>2</v>
      </c>
      <c r="AC32" s="7">
        <v>2</v>
      </c>
      <c r="AD32" s="7">
        <v>2</v>
      </c>
      <c r="AE32" s="7">
        <v>2</v>
      </c>
    </row>
  </sheetData>
  <mergeCells count="2">
    <mergeCell ref="B1:P1"/>
    <mergeCell ref="Q1:A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>
      <selection activeCell="L8" sqref="L8"/>
    </sheetView>
  </sheetViews>
  <sheetFormatPr defaultRowHeight="13.8" x14ac:dyDescent="0.3"/>
  <cols>
    <col min="1" max="1" width="12.109375" style="17" customWidth="1"/>
    <col min="2" max="2" width="10.88671875" style="17" customWidth="1"/>
    <col min="3" max="5" width="8.88671875" style="17"/>
    <col min="6" max="6" width="19.109375" style="17" customWidth="1"/>
    <col min="7" max="7" width="9.5546875" style="17" bestFit="1" customWidth="1"/>
    <col min="8" max="8" width="10.5546875" style="17" bestFit="1" customWidth="1"/>
    <col min="9" max="9" width="8.88671875" style="17"/>
    <col min="10" max="10" width="11" style="17" customWidth="1"/>
    <col min="11" max="16384" width="8.88671875" style="17"/>
  </cols>
  <sheetData>
    <row r="1" spans="1:12" x14ac:dyDescent="0.3">
      <c r="A1" s="32" t="s">
        <v>1</v>
      </c>
      <c r="B1" s="33" t="s">
        <v>32</v>
      </c>
    </row>
    <row r="2" spans="1:12" x14ac:dyDescent="0.3">
      <c r="A2" s="32" t="s">
        <v>101</v>
      </c>
      <c r="B2" s="33" t="s">
        <v>98</v>
      </c>
    </row>
    <row r="3" spans="1:12" x14ac:dyDescent="0.3">
      <c r="F3" s="17" t="s">
        <v>109</v>
      </c>
      <c r="H3" s="17">
        <f>B22</f>
        <v>0.26666666666666666</v>
      </c>
    </row>
    <row r="4" spans="1:12" x14ac:dyDescent="0.3">
      <c r="A4" s="32" t="s">
        <v>107</v>
      </c>
      <c r="B4" s="33" t="s">
        <v>108</v>
      </c>
      <c r="F4" s="17" t="s">
        <v>111</v>
      </c>
      <c r="H4" s="17">
        <f>VLOOKUP(B1,'Open STK Sorted'!A1:E31,5,0)</f>
        <v>13</v>
      </c>
    </row>
    <row r="5" spans="1:12" x14ac:dyDescent="0.3">
      <c r="A5" s="34">
        <v>44287</v>
      </c>
      <c r="B5" s="35">
        <v>0</v>
      </c>
      <c r="F5" s="17" t="s">
        <v>116</v>
      </c>
      <c r="H5" s="21">
        <f>H4/H3</f>
        <v>48.75</v>
      </c>
    </row>
    <row r="6" spans="1:12" x14ac:dyDescent="0.3">
      <c r="A6" s="34">
        <v>44288</v>
      </c>
      <c r="B6" s="35">
        <v>0</v>
      </c>
    </row>
    <row r="7" spans="1:12" x14ac:dyDescent="0.3">
      <c r="A7" s="34">
        <v>44289</v>
      </c>
      <c r="B7" s="35">
        <v>0</v>
      </c>
      <c r="F7" s="18" t="s">
        <v>117</v>
      </c>
      <c r="G7" s="18" t="s">
        <v>118</v>
      </c>
      <c r="H7" s="18" t="s">
        <v>119</v>
      </c>
      <c r="I7" s="18" t="s">
        <v>120</v>
      </c>
      <c r="J7" s="18" t="s">
        <v>110</v>
      </c>
      <c r="L7" s="17" t="s">
        <v>121</v>
      </c>
    </row>
    <row r="8" spans="1:12" x14ac:dyDescent="0.3">
      <c r="A8" s="34">
        <v>44290</v>
      </c>
      <c r="B8" s="35">
        <v>0</v>
      </c>
      <c r="F8" s="17" t="s">
        <v>36</v>
      </c>
      <c r="G8" s="17">
        <v>44</v>
      </c>
      <c r="H8" s="17">
        <v>210</v>
      </c>
      <c r="I8" s="17">
        <f>H8/15</f>
        <v>14</v>
      </c>
      <c r="J8" s="17">
        <f>G8/I8</f>
        <v>3.1428571428571428</v>
      </c>
      <c r="L8" s="17">
        <f>MAX(J8:J37)</f>
        <v>15</v>
      </c>
    </row>
    <row r="9" spans="1:12" x14ac:dyDescent="0.3">
      <c r="A9" s="34">
        <v>44291</v>
      </c>
      <c r="B9" s="35">
        <v>1</v>
      </c>
      <c r="F9" s="17" t="s">
        <v>39</v>
      </c>
      <c r="G9" s="17">
        <v>24</v>
      </c>
      <c r="H9" s="17">
        <v>87</v>
      </c>
      <c r="I9" s="17">
        <f t="shared" ref="I9:I37" si="0">H9/15</f>
        <v>5.8</v>
      </c>
      <c r="J9" s="17">
        <f t="shared" ref="J9:J37" si="1">G9/I9</f>
        <v>4.1379310344827589</v>
      </c>
    </row>
    <row r="10" spans="1:12" x14ac:dyDescent="0.3">
      <c r="A10" s="34">
        <v>44292</v>
      </c>
      <c r="B10" s="35">
        <v>1</v>
      </c>
      <c r="F10" s="17" t="s">
        <v>42</v>
      </c>
      <c r="G10" s="17">
        <v>12</v>
      </c>
      <c r="H10" s="17">
        <v>76</v>
      </c>
      <c r="I10" s="17">
        <f t="shared" si="0"/>
        <v>5.0666666666666664</v>
      </c>
      <c r="J10" s="17">
        <f t="shared" si="1"/>
        <v>2.3684210526315792</v>
      </c>
    </row>
    <row r="11" spans="1:12" x14ac:dyDescent="0.3">
      <c r="A11" s="34">
        <v>44293</v>
      </c>
      <c r="B11" s="35">
        <v>0</v>
      </c>
      <c r="F11" s="17" t="s">
        <v>45</v>
      </c>
      <c r="G11" s="17">
        <v>14</v>
      </c>
      <c r="H11" s="17">
        <v>59</v>
      </c>
      <c r="I11" s="17">
        <f t="shared" si="0"/>
        <v>3.9333333333333331</v>
      </c>
      <c r="J11" s="17">
        <f t="shared" si="1"/>
        <v>3.5593220338983054</v>
      </c>
    </row>
    <row r="12" spans="1:12" x14ac:dyDescent="0.3">
      <c r="A12" s="34">
        <v>44294</v>
      </c>
      <c r="B12" s="35">
        <v>0</v>
      </c>
      <c r="F12" s="17" t="s">
        <v>48</v>
      </c>
      <c r="G12" s="17">
        <v>13</v>
      </c>
      <c r="H12" s="17">
        <v>32</v>
      </c>
      <c r="I12" s="17">
        <f t="shared" si="0"/>
        <v>2.1333333333333333</v>
      </c>
      <c r="J12" s="17">
        <f t="shared" si="1"/>
        <v>6.09375</v>
      </c>
    </row>
    <row r="13" spans="1:12" x14ac:dyDescent="0.3">
      <c r="A13" s="34">
        <v>44295</v>
      </c>
      <c r="B13" s="35">
        <v>0</v>
      </c>
      <c r="F13" s="17" t="s">
        <v>51</v>
      </c>
      <c r="G13" s="17">
        <v>6</v>
      </c>
      <c r="H13" s="17">
        <v>21</v>
      </c>
      <c r="I13" s="17">
        <f t="shared" si="0"/>
        <v>1.4</v>
      </c>
      <c r="J13" s="17">
        <f t="shared" si="1"/>
        <v>4.2857142857142856</v>
      </c>
    </row>
    <row r="14" spans="1:12" x14ac:dyDescent="0.3">
      <c r="A14" s="34">
        <v>44296</v>
      </c>
      <c r="B14" s="35">
        <v>0</v>
      </c>
      <c r="F14" s="17" t="s">
        <v>54</v>
      </c>
      <c r="G14" s="17">
        <v>10</v>
      </c>
      <c r="H14" s="17">
        <v>26</v>
      </c>
      <c r="I14" s="17">
        <f t="shared" si="0"/>
        <v>1.7333333333333334</v>
      </c>
      <c r="J14" s="17">
        <f t="shared" si="1"/>
        <v>5.7692307692307692</v>
      </c>
    </row>
    <row r="15" spans="1:12" x14ac:dyDescent="0.3">
      <c r="A15" s="34">
        <v>44297</v>
      </c>
      <c r="B15" s="35">
        <v>0</v>
      </c>
      <c r="F15" s="17" t="s">
        <v>57</v>
      </c>
      <c r="G15" s="17">
        <v>2</v>
      </c>
      <c r="H15" s="17">
        <v>6</v>
      </c>
      <c r="I15" s="17">
        <f t="shared" si="0"/>
        <v>0.4</v>
      </c>
      <c r="J15" s="17">
        <f t="shared" si="1"/>
        <v>5</v>
      </c>
    </row>
    <row r="16" spans="1:12" x14ac:dyDescent="0.3">
      <c r="A16" s="34">
        <v>44298</v>
      </c>
      <c r="B16" s="35">
        <v>1</v>
      </c>
      <c r="F16" s="17" t="s">
        <v>60</v>
      </c>
      <c r="G16" s="17">
        <v>2</v>
      </c>
      <c r="H16" s="17">
        <v>3</v>
      </c>
      <c r="I16" s="17">
        <f t="shared" si="0"/>
        <v>0.2</v>
      </c>
      <c r="J16" s="17">
        <f t="shared" si="1"/>
        <v>10</v>
      </c>
    </row>
    <row r="17" spans="1:10" x14ac:dyDescent="0.3">
      <c r="A17" s="34">
        <v>44299</v>
      </c>
      <c r="B17" s="35">
        <v>1</v>
      </c>
      <c r="F17" s="17" t="s">
        <v>63</v>
      </c>
      <c r="G17" s="17">
        <v>2</v>
      </c>
      <c r="H17" s="17">
        <v>4</v>
      </c>
      <c r="I17" s="17">
        <f t="shared" si="0"/>
        <v>0.26666666666666666</v>
      </c>
      <c r="J17" s="17">
        <f t="shared" si="1"/>
        <v>7.5</v>
      </c>
    </row>
    <row r="18" spans="1:10" x14ac:dyDescent="0.3">
      <c r="A18" s="34">
        <v>44300</v>
      </c>
      <c r="B18" s="35">
        <v>0</v>
      </c>
      <c r="F18" s="17" t="s">
        <v>67</v>
      </c>
      <c r="G18" s="17">
        <v>63</v>
      </c>
      <c r="H18" s="17">
        <v>301</v>
      </c>
      <c r="I18" s="17">
        <f t="shared" si="0"/>
        <v>20.066666666666666</v>
      </c>
      <c r="J18" s="17">
        <f t="shared" si="1"/>
        <v>3.1395348837209305</v>
      </c>
    </row>
    <row r="19" spans="1:10" x14ac:dyDescent="0.3">
      <c r="A19" s="34">
        <v>44301</v>
      </c>
      <c r="B19" s="35">
        <v>0</v>
      </c>
      <c r="F19" s="17" t="s">
        <v>70</v>
      </c>
      <c r="G19" s="17">
        <v>49</v>
      </c>
      <c r="H19" s="17">
        <v>149</v>
      </c>
      <c r="I19" s="17">
        <f t="shared" si="0"/>
        <v>9.9333333333333336</v>
      </c>
      <c r="J19" s="17">
        <f t="shared" si="1"/>
        <v>4.9328859060402683</v>
      </c>
    </row>
    <row r="20" spans="1:10" x14ac:dyDescent="0.3">
      <c r="A20" s="34" t="s">
        <v>103</v>
      </c>
      <c r="B20" s="35">
        <v>4</v>
      </c>
      <c r="F20" s="17" t="s">
        <v>73</v>
      </c>
      <c r="G20" s="17">
        <v>23</v>
      </c>
      <c r="H20" s="17">
        <v>109</v>
      </c>
      <c r="I20" s="17">
        <f t="shared" si="0"/>
        <v>7.2666666666666666</v>
      </c>
      <c r="J20" s="17">
        <f t="shared" si="1"/>
        <v>3.165137614678899</v>
      </c>
    </row>
    <row r="21" spans="1:10" x14ac:dyDescent="0.3">
      <c r="F21" s="17" t="s">
        <v>76</v>
      </c>
      <c r="G21" s="17">
        <v>23</v>
      </c>
      <c r="H21" s="17">
        <v>85</v>
      </c>
      <c r="I21" s="17">
        <f t="shared" si="0"/>
        <v>5.666666666666667</v>
      </c>
      <c r="J21" s="17">
        <f t="shared" si="1"/>
        <v>4.0588235294117645</v>
      </c>
    </row>
    <row r="22" spans="1:10" x14ac:dyDescent="0.3">
      <c r="A22" s="17" t="s">
        <v>109</v>
      </c>
      <c r="B22" s="17">
        <f>GETPIVOTDATA("Sales",$A$4)/15</f>
        <v>0.26666666666666666</v>
      </c>
      <c r="F22" s="17" t="s">
        <v>78</v>
      </c>
      <c r="G22" s="17">
        <v>13</v>
      </c>
      <c r="H22" s="17">
        <v>42</v>
      </c>
      <c r="I22" s="17">
        <f t="shared" si="0"/>
        <v>2.8</v>
      </c>
      <c r="J22" s="17">
        <f t="shared" si="1"/>
        <v>4.6428571428571432</v>
      </c>
    </row>
    <row r="23" spans="1:10" x14ac:dyDescent="0.3">
      <c r="F23" s="17" t="s">
        <v>81</v>
      </c>
      <c r="G23" s="17">
        <v>6</v>
      </c>
      <c r="H23" s="17">
        <v>18</v>
      </c>
      <c r="I23" s="17">
        <f t="shared" si="0"/>
        <v>1.2</v>
      </c>
      <c r="J23" s="17">
        <f t="shared" si="1"/>
        <v>5</v>
      </c>
    </row>
    <row r="24" spans="1:10" x14ac:dyDescent="0.3">
      <c r="F24" s="17" t="s">
        <v>84</v>
      </c>
      <c r="G24" s="17">
        <v>3</v>
      </c>
      <c r="H24" s="17">
        <v>8</v>
      </c>
      <c r="I24" s="17">
        <f t="shared" si="0"/>
        <v>0.53333333333333333</v>
      </c>
      <c r="J24" s="17">
        <f t="shared" si="1"/>
        <v>5.625</v>
      </c>
    </row>
    <row r="25" spans="1:10" x14ac:dyDescent="0.3">
      <c r="F25" s="17" t="s">
        <v>87</v>
      </c>
      <c r="G25" s="17">
        <v>2</v>
      </c>
      <c r="H25" s="17">
        <v>5</v>
      </c>
      <c r="I25" s="17">
        <f t="shared" si="0"/>
        <v>0.33333333333333331</v>
      </c>
      <c r="J25" s="17">
        <f t="shared" si="1"/>
        <v>6</v>
      </c>
    </row>
    <row r="26" spans="1:10" x14ac:dyDescent="0.3">
      <c r="F26" s="17" t="s">
        <v>90</v>
      </c>
      <c r="G26" s="17">
        <v>1</v>
      </c>
      <c r="H26" s="17">
        <v>1</v>
      </c>
      <c r="I26" s="17">
        <f t="shared" si="0"/>
        <v>6.6666666666666666E-2</v>
      </c>
      <c r="J26" s="17">
        <f t="shared" si="1"/>
        <v>15</v>
      </c>
    </row>
    <row r="27" spans="1:10" x14ac:dyDescent="0.3">
      <c r="F27" s="17" t="s">
        <v>93</v>
      </c>
      <c r="G27" s="17">
        <v>2</v>
      </c>
      <c r="H27" s="17">
        <v>4</v>
      </c>
      <c r="I27" s="17">
        <f t="shared" si="0"/>
        <v>0.26666666666666666</v>
      </c>
      <c r="J27" s="17">
        <f t="shared" si="1"/>
        <v>7.5</v>
      </c>
    </row>
    <row r="28" spans="1:10" x14ac:dyDescent="0.3">
      <c r="F28" s="17" t="s">
        <v>6</v>
      </c>
      <c r="G28" s="17">
        <v>60</v>
      </c>
      <c r="H28" s="17">
        <v>317</v>
      </c>
      <c r="I28" s="17">
        <f t="shared" si="0"/>
        <v>21.133333333333333</v>
      </c>
      <c r="J28" s="17">
        <f t="shared" si="1"/>
        <v>2.8391167192429023</v>
      </c>
    </row>
    <row r="29" spans="1:10" x14ac:dyDescent="0.3">
      <c r="F29" s="17" t="s">
        <v>9</v>
      </c>
      <c r="G29" s="17">
        <v>33</v>
      </c>
      <c r="H29" s="17">
        <v>154</v>
      </c>
      <c r="I29" s="17">
        <f t="shared" si="0"/>
        <v>10.266666666666667</v>
      </c>
      <c r="J29" s="17">
        <f t="shared" si="1"/>
        <v>3.214285714285714</v>
      </c>
    </row>
    <row r="30" spans="1:10" x14ac:dyDescent="0.3">
      <c r="F30" s="17" t="s">
        <v>12</v>
      </c>
      <c r="G30" s="17">
        <v>18</v>
      </c>
      <c r="H30" s="17">
        <v>115</v>
      </c>
      <c r="I30" s="17">
        <f t="shared" si="0"/>
        <v>7.666666666666667</v>
      </c>
      <c r="J30" s="17">
        <f t="shared" si="1"/>
        <v>2.3478260869565215</v>
      </c>
    </row>
    <row r="31" spans="1:10" x14ac:dyDescent="0.3">
      <c r="F31" s="17" t="s">
        <v>15</v>
      </c>
      <c r="G31" s="17">
        <v>14</v>
      </c>
      <c r="H31" s="17">
        <v>87</v>
      </c>
      <c r="I31" s="17">
        <f t="shared" si="0"/>
        <v>5.8</v>
      </c>
      <c r="J31" s="17">
        <f t="shared" si="1"/>
        <v>2.4137931034482758</v>
      </c>
    </row>
    <row r="32" spans="1:10" x14ac:dyDescent="0.3">
      <c r="F32" s="17" t="s">
        <v>17</v>
      </c>
      <c r="G32" s="17">
        <v>9</v>
      </c>
      <c r="H32" s="17">
        <v>58</v>
      </c>
      <c r="I32" s="17">
        <f t="shared" si="0"/>
        <v>3.8666666666666667</v>
      </c>
      <c r="J32" s="17">
        <f t="shared" si="1"/>
        <v>2.3275862068965516</v>
      </c>
    </row>
    <row r="33" spans="6:10" x14ac:dyDescent="0.3">
      <c r="F33" s="17" t="s">
        <v>20</v>
      </c>
      <c r="G33" s="17">
        <v>7</v>
      </c>
      <c r="H33" s="17">
        <v>37</v>
      </c>
      <c r="I33" s="17">
        <f t="shared" si="0"/>
        <v>2.4666666666666668</v>
      </c>
      <c r="J33" s="17">
        <f t="shared" si="1"/>
        <v>2.8378378378378377</v>
      </c>
    </row>
    <row r="34" spans="6:10" x14ac:dyDescent="0.3">
      <c r="F34" s="17" t="s">
        <v>23</v>
      </c>
      <c r="G34" s="17">
        <v>9</v>
      </c>
      <c r="H34" s="17">
        <v>36</v>
      </c>
      <c r="I34" s="17">
        <f t="shared" si="0"/>
        <v>2.4</v>
      </c>
      <c r="J34" s="17">
        <f t="shared" si="1"/>
        <v>3.75</v>
      </c>
    </row>
    <row r="35" spans="6:10" x14ac:dyDescent="0.3">
      <c r="F35" s="17" t="s">
        <v>26</v>
      </c>
      <c r="G35" s="17">
        <v>1</v>
      </c>
      <c r="H35" s="17">
        <v>5</v>
      </c>
      <c r="I35" s="17">
        <f t="shared" si="0"/>
        <v>0.33333333333333331</v>
      </c>
      <c r="J35" s="17">
        <f t="shared" si="1"/>
        <v>3</v>
      </c>
    </row>
    <row r="36" spans="6:10" x14ac:dyDescent="0.3">
      <c r="F36" s="17" t="s">
        <v>29</v>
      </c>
      <c r="G36" s="17">
        <v>2</v>
      </c>
      <c r="H36" s="17">
        <v>6</v>
      </c>
      <c r="I36" s="17">
        <f t="shared" si="0"/>
        <v>0.4</v>
      </c>
      <c r="J36" s="17">
        <f t="shared" si="1"/>
        <v>5</v>
      </c>
    </row>
    <row r="37" spans="6:10" x14ac:dyDescent="0.3">
      <c r="F37" s="17" t="s">
        <v>32</v>
      </c>
      <c r="G37" s="17">
        <v>1</v>
      </c>
      <c r="H37" s="17">
        <v>4</v>
      </c>
      <c r="I37" s="17">
        <f t="shared" si="0"/>
        <v>0.26666666666666666</v>
      </c>
      <c r="J37" s="17">
        <f t="shared" si="1"/>
        <v>3.75</v>
      </c>
    </row>
  </sheetData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3"/>
  <sheetViews>
    <sheetView zoomScale="120" zoomScaleNormal="120" workbookViewId="0">
      <pane xSplit="1" topLeftCell="B1" activePane="topRight" state="frozen"/>
      <selection pane="topRight" activeCell="B5" sqref="B5"/>
    </sheetView>
  </sheetViews>
  <sheetFormatPr defaultRowHeight="13.8" x14ac:dyDescent="0.3"/>
  <cols>
    <col min="1" max="1" width="8.88671875" style="17"/>
    <col min="2" max="2" width="12.77734375" style="17" customWidth="1"/>
    <col min="3" max="3" width="10.88671875" style="17" customWidth="1"/>
    <col min="4" max="4" width="10.77734375" style="17" customWidth="1"/>
    <col min="5" max="5" width="13.33203125" style="17" customWidth="1"/>
    <col min="6" max="6" width="11.88671875" style="17" customWidth="1"/>
    <col min="7" max="7" width="8.88671875" style="17"/>
    <col min="8" max="8" width="10.77734375" style="17" customWidth="1"/>
    <col min="9" max="9" width="11.6640625" style="17" customWidth="1"/>
    <col min="10" max="10" width="11.5546875" style="17" customWidth="1"/>
    <col min="11" max="11" width="11.21875" style="17" customWidth="1"/>
    <col min="12" max="12" width="11" style="17" customWidth="1"/>
    <col min="13" max="13" width="11.88671875" style="17" customWidth="1"/>
    <col min="14" max="14" width="11.6640625" style="17" customWidth="1"/>
    <col min="15" max="15" width="11.21875" style="17" customWidth="1"/>
    <col min="16" max="16" width="10.77734375" style="17" customWidth="1"/>
    <col min="17" max="17" width="11.33203125" style="17" customWidth="1"/>
    <col min="18" max="18" width="10.88671875" style="17" customWidth="1"/>
    <col min="19" max="19" width="10.21875" style="17" customWidth="1"/>
    <col min="20" max="20" width="11.33203125" style="17" customWidth="1"/>
    <col min="21" max="21" width="12.109375" style="17" customWidth="1"/>
    <col min="22" max="22" width="12" style="17" customWidth="1"/>
    <col min="23" max="23" width="8.88671875" style="17"/>
    <col min="24" max="24" width="10.88671875" style="17" customWidth="1"/>
    <col min="25" max="25" width="11.6640625" style="17" customWidth="1"/>
    <col min="26" max="26" width="11.21875" style="17" customWidth="1"/>
    <col min="27" max="27" width="8.88671875" style="17" customWidth="1"/>
    <col min="28" max="28" width="10.6640625" style="17" customWidth="1"/>
    <col min="29" max="29" width="12" style="17" customWidth="1"/>
    <col min="30" max="30" width="10.6640625" style="17" customWidth="1"/>
    <col min="31" max="32" width="8.88671875" style="17"/>
    <col min="33" max="33" width="11.21875" style="17" customWidth="1"/>
    <col min="34" max="34" width="11" style="17" customWidth="1"/>
    <col min="35" max="36" width="8.88671875" style="17"/>
    <col min="37" max="37" width="11.44140625" style="17" customWidth="1"/>
    <col min="38" max="38" width="10.88671875" style="17" customWidth="1"/>
    <col min="39" max="39" width="8.88671875" style="17"/>
    <col min="40" max="40" width="10.88671875" style="17" customWidth="1"/>
    <col min="41" max="41" width="11.6640625" style="17" customWidth="1"/>
    <col min="42" max="16384" width="8.88671875" style="17"/>
  </cols>
  <sheetData>
    <row r="1" spans="1:41" s="18" customFormat="1" x14ac:dyDescent="0.3">
      <c r="B1" s="28"/>
      <c r="C1" s="28">
        <v>1</v>
      </c>
      <c r="D1" s="28"/>
      <c r="E1" s="28"/>
      <c r="F1" s="28"/>
      <c r="G1" s="28">
        <f>C1+1</f>
        <v>2</v>
      </c>
      <c r="H1" s="28"/>
      <c r="I1" s="28"/>
      <c r="J1" s="28"/>
      <c r="K1" s="28">
        <f>G1+1</f>
        <v>3</v>
      </c>
      <c r="L1" s="28"/>
      <c r="M1" s="28"/>
      <c r="N1" s="28"/>
      <c r="O1" s="28">
        <f>K1+1</f>
        <v>4</v>
      </c>
      <c r="P1" s="28"/>
      <c r="Q1" s="28"/>
      <c r="R1" s="28"/>
      <c r="S1" s="28">
        <f>O1+1</f>
        <v>5</v>
      </c>
      <c r="T1" s="28"/>
      <c r="U1" s="28"/>
      <c r="V1" s="28"/>
      <c r="W1" s="28">
        <f>S1+1</f>
        <v>6</v>
      </c>
      <c r="X1" s="28"/>
      <c r="Y1" s="28"/>
      <c r="Z1" s="28"/>
      <c r="AA1" s="28">
        <f>W1+1</f>
        <v>7</v>
      </c>
      <c r="AB1" s="28"/>
      <c r="AC1" s="28"/>
      <c r="AD1" s="28"/>
      <c r="AE1" s="28">
        <f>AA1+1</f>
        <v>8</v>
      </c>
      <c r="AF1" s="28"/>
      <c r="AG1" s="28"/>
      <c r="AH1" s="28"/>
      <c r="AI1" s="28">
        <f>AE1+1</f>
        <v>9</v>
      </c>
      <c r="AJ1" s="28"/>
      <c r="AK1" s="28"/>
      <c r="AL1" s="28"/>
      <c r="AM1" s="28">
        <f>AI1+1</f>
        <v>10</v>
      </c>
      <c r="AN1" s="28"/>
      <c r="AO1" s="28"/>
    </row>
    <row r="2" spans="1:41" s="18" customFormat="1" x14ac:dyDescent="0.3">
      <c r="B2" s="29">
        <f>DATE(2021,4,C1)</f>
        <v>44287</v>
      </c>
      <c r="C2" s="30"/>
      <c r="D2" s="30"/>
      <c r="E2" s="30"/>
      <c r="F2" s="29">
        <f>DATE(2021,4,G1)</f>
        <v>44288</v>
      </c>
      <c r="G2" s="30"/>
      <c r="H2" s="30"/>
      <c r="I2" s="30"/>
      <c r="J2" s="29">
        <f>DATE(2021,4,K1)</f>
        <v>44289</v>
      </c>
      <c r="K2" s="30"/>
      <c r="L2" s="30"/>
      <c r="M2" s="30"/>
      <c r="N2" s="29">
        <f>DATE(2021,4,O1)</f>
        <v>44290</v>
      </c>
      <c r="O2" s="30"/>
      <c r="P2" s="30"/>
      <c r="Q2" s="30"/>
      <c r="R2" s="29">
        <f>DATE(2021,4,S1)</f>
        <v>44291</v>
      </c>
      <c r="S2" s="30"/>
      <c r="T2" s="30"/>
      <c r="U2" s="30"/>
      <c r="V2" s="29">
        <f>DATE(2021,4,W1)</f>
        <v>44292</v>
      </c>
      <c r="W2" s="30"/>
      <c r="X2" s="30"/>
      <c r="Y2" s="30"/>
      <c r="Z2" s="29">
        <f>DATE(2021,4,AA1)</f>
        <v>44293</v>
      </c>
      <c r="AA2" s="30"/>
      <c r="AB2" s="30"/>
      <c r="AC2" s="30"/>
      <c r="AD2" s="29">
        <f>DATE(2021,4,AE1)</f>
        <v>44294</v>
      </c>
      <c r="AE2" s="30"/>
      <c r="AF2" s="30"/>
      <c r="AG2" s="30"/>
      <c r="AH2" s="29">
        <f>DATE(2021,4,AI1)</f>
        <v>44295</v>
      </c>
      <c r="AI2" s="30"/>
      <c r="AJ2" s="30"/>
      <c r="AK2" s="30"/>
      <c r="AL2" s="29">
        <f>DATE(2021,4,AM1)</f>
        <v>44296</v>
      </c>
      <c r="AM2" s="30"/>
      <c r="AN2" s="30"/>
      <c r="AO2" s="30"/>
    </row>
    <row r="3" spans="1:41" s="18" customFormat="1" x14ac:dyDescent="0.3">
      <c r="A3" s="18" t="s">
        <v>1</v>
      </c>
      <c r="B3" s="28" t="s">
        <v>112</v>
      </c>
      <c r="C3" s="28" t="s">
        <v>102</v>
      </c>
      <c r="D3" s="28" t="s">
        <v>113</v>
      </c>
      <c r="E3" s="28" t="s">
        <v>114</v>
      </c>
      <c r="F3" s="28" t="s">
        <v>112</v>
      </c>
      <c r="G3" s="28" t="s">
        <v>102</v>
      </c>
      <c r="H3" s="28" t="s">
        <v>113</v>
      </c>
      <c r="I3" s="28" t="s">
        <v>114</v>
      </c>
      <c r="J3" s="28" t="s">
        <v>112</v>
      </c>
      <c r="K3" s="28" t="s">
        <v>102</v>
      </c>
      <c r="L3" s="28" t="s">
        <v>113</v>
      </c>
      <c r="M3" s="28" t="s">
        <v>114</v>
      </c>
      <c r="N3" s="28" t="s">
        <v>112</v>
      </c>
      <c r="O3" s="28" t="s">
        <v>102</v>
      </c>
      <c r="P3" s="28" t="s">
        <v>113</v>
      </c>
      <c r="Q3" s="28" t="s">
        <v>114</v>
      </c>
      <c r="R3" s="28" t="s">
        <v>112</v>
      </c>
      <c r="S3" s="28" t="s">
        <v>102</v>
      </c>
      <c r="T3" s="28" t="s">
        <v>113</v>
      </c>
      <c r="U3" s="28" t="s">
        <v>114</v>
      </c>
      <c r="V3" s="28" t="s">
        <v>112</v>
      </c>
      <c r="W3" s="28" t="s">
        <v>102</v>
      </c>
      <c r="X3" s="28" t="s">
        <v>113</v>
      </c>
      <c r="Y3" s="28" t="s">
        <v>114</v>
      </c>
      <c r="Z3" s="28" t="s">
        <v>112</v>
      </c>
      <c r="AA3" s="28" t="s">
        <v>102</v>
      </c>
      <c r="AB3" s="28" t="s">
        <v>113</v>
      </c>
      <c r="AC3" s="28" t="s">
        <v>114</v>
      </c>
      <c r="AD3" s="28" t="s">
        <v>112</v>
      </c>
      <c r="AE3" s="28" t="s">
        <v>102</v>
      </c>
      <c r="AF3" s="28" t="s">
        <v>113</v>
      </c>
      <c r="AG3" s="28" t="s">
        <v>114</v>
      </c>
      <c r="AH3" s="28" t="s">
        <v>112</v>
      </c>
      <c r="AI3" s="28" t="s">
        <v>102</v>
      </c>
      <c r="AJ3" s="28" t="s">
        <v>113</v>
      </c>
      <c r="AK3" s="28" t="s">
        <v>114</v>
      </c>
      <c r="AL3" s="28" t="s">
        <v>112</v>
      </c>
      <c r="AM3" s="28" t="s">
        <v>102</v>
      </c>
      <c r="AN3" s="28" t="s">
        <v>113</v>
      </c>
      <c r="AO3" s="28" t="s">
        <v>114</v>
      </c>
    </row>
    <row r="4" spans="1:41" x14ac:dyDescent="0.3">
      <c r="A4" s="17" t="s">
        <v>36</v>
      </c>
      <c r="B4" s="31">
        <f>VLOOKUP($A4,'Open STK'!$A$1:$E$31,4,0)</f>
        <v>44</v>
      </c>
      <c r="C4" s="31">
        <f>VLOOKUP($A4,'Madras Sales'!$A$4:$P$35,C$1+1,0)</f>
        <v>14</v>
      </c>
      <c r="D4" s="31">
        <f>VLOOKUP($A4,'Stock Transfer'!$A$3:$AE$32,16+C$1,0)</f>
        <v>8</v>
      </c>
      <c r="E4" s="31">
        <f>B4-C4+D4</f>
        <v>38</v>
      </c>
      <c r="F4" s="31">
        <f>MAX(E4,0)</f>
        <v>38</v>
      </c>
      <c r="G4" s="31">
        <f>VLOOKUP($A4,'Madras Sales'!$A$4:$P$35,G$1+1,0)</f>
        <v>9</v>
      </c>
      <c r="H4" s="31">
        <f>VLOOKUP($A4,'Stock Transfer'!$A$3:$AE$32,16+G$1,0)</f>
        <v>10</v>
      </c>
      <c r="I4" s="31">
        <f>F4-G4+H4</f>
        <v>39</v>
      </c>
      <c r="J4" s="31">
        <f>MAX(I4,0)</f>
        <v>39</v>
      </c>
      <c r="K4" s="31">
        <f>VLOOKUP($A4,'Madras Sales'!$A$4:$P$35,K$1+1,0)</f>
        <v>13</v>
      </c>
      <c r="L4" s="31">
        <f>VLOOKUP($A4,'Stock Transfer'!$A$3:$AE$32,16+K$1,0)</f>
        <v>15</v>
      </c>
      <c r="M4" s="31">
        <f>J4-K4+L4</f>
        <v>41</v>
      </c>
      <c r="N4" s="31">
        <f>MAX(M4,0)</f>
        <v>41</v>
      </c>
      <c r="O4" s="31">
        <f>VLOOKUP($A4,'Madras Sales'!$A$4:$P$35,O$1+1,0)</f>
        <v>6</v>
      </c>
      <c r="P4" s="31">
        <f>VLOOKUP($A4,'Stock Transfer'!$A$3:$AE$32,16+O$1,0)</f>
        <v>8</v>
      </c>
      <c r="Q4" s="31">
        <f>N4-O4+P4</f>
        <v>43</v>
      </c>
      <c r="R4" s="31">
        <f>MAX(Q4,0)</f>
        <v>43</v>
      </c>
      <c r="S4" s="31">
        <f>VLOOKUP($A4,'Madras Sales'!$A$4:$P$35,S$1+1,0)</f>
        <v>21</v>
      </c>
      <c r="T4" s="31">
        <f>VLOOKUP($A4,'Stock Transfer'!$A$3:$AE$32,16+S$1,0)</f>
        <v>13</v>
      </c>
      <c r="U4" s="31">
        <f>R4-S4+T4</f>
        <v>35</v>
      </c>
      <c r="V4" s="31">
        <f>MAX(U4,0)</f>
        <v>35</v>
      </c>
      <c r="W4" s="31">
        <f>VLOOKUP($A4,'Madras Sales'!$A$4:$P$35,W$1+1,0)</f>
        <v>18</v>
      </c>
      <c r="X4" s="31">
        <f>VLOOKUP($A4,'Stock Transfer'!$A$3:$AE$32,16+W$1,0)</f>
        <v>7</v>
      </c>
      <c r="Y4" s="31">
        <f>V4-W4+X4</f>
        <v>24</v>
      </c>
      <c r="Z4" s="31">
        <f>MAX(Y4,0)</f>
        <v>24</v>
      </c>
      <c r="AA4" s="31">
        <f>VLOOKUP($A4,'Madras Sales'!$A$4:$P$35,AA$1+1,0)</f>
        <v>2</v>
      </c>
      <c r="AB4" s="31">
        <f>VLOOKUP($A4,'Stock Transfer'!$A$3:$AE$32,16+AA$1,0)</f>
        <v>14</v>
      </c>
      <c r="AC4" s="31">
        <f>Z4-AA4+AB4</f>
        <v>36</v>
      </c>
      <c r="AD4" s="31">
        <f>MAX(AC4,0)</f>
        <v>36</v>
      </c>
      <c r="AE4" s="31">
        <f>VLOOKUP($A4,'Madras Sales'!$A$4:$P$35,AE$1+1,0)</f>
        <v>24</v>
      </c>
      <c r="AF4" s="31">
        <f>VLOOKUP($A4,'Stock Transfer'!$A$3:$AE$32,16+AE$1,0)</f>
        <v>11</v>
      </c>
      <c r="AG4" s="31">
        <f>AD4-AE4+AF4</f>
        <v>23</v>
      </c>
      <c r="AH4" s="31">
        <f>MAX(AG4,0)</f>
        <v>23</v>
      </c>
      <c r="AI4" s="31">
        <f>VLOOKUP($A4,'Madras Sales'!$A$4:$P$35,AI$1+1,0)</f>
        <v>5</v>
      </c>
      <c r="AJ4" s="31">
        <f>VLOOKUP($A4,'Stock Transfer'!$A$3:$AE$32,16+AI$1,0)</f>
        <v>17</v>
      </c>
      <c r="AK4" s="31">
        <f>AH4-AI4+AJ4</f>
        <v>35</v>
      </c>
      <c r="AL4" s="31">
        <f>MAX(AK4,0)</f>
        <v>35</v>
      </c>
      <c r="AM4" s="31">
        <f>VLOOKUP($A4,'Madras Sales'!$A$4:$P$35,AM$1+1,0)</f>
        <v>13</v>
      </c>
      <c r="AN4" s="31">
        <f>VLOOKUP($A4,'Stock Transfer'!$A$3:$AE$32,16+AM$1,0)</f>
        <v>14</v>
      </c>
      <c r="AO4" s="31">
        <f>AL4-AM4+AN4</f>
        <v>36</v>
      </c>
    </row>
    <row r="5" spans="1:41" x14ac:dyDescent="0.3">
      <c r="A5" s="17" t="s">
        <v>39</v>
      </c>
      <c r="B5" s="31">
        <f>VLOOKUP($A5,'Open STK'!$A$1:$E$31,4,0)</f>
        <v>24</v>
      </c>
      <c r="C5" s="31">
        <f>VLOOKUP($A5,'Madras Sales'!$A$4:$P$35,C$1+1,0)</f>
        <v>13</v>
      </c>
      <c r="D5" s="31">
        <f>VLOOKUP($A5,'Stock Transfer'!$A$3:$AE$32,16+C$1,0)</f>
        <v>5</v>
      </c>
      <c r="E5" s="31">
        <f t="shared" ref="E5:E33" si="0">B5-C5+D5</f>
        <v>16</v>
      </c>
      <c r="F5" s="31">
        <f t="shared" ref="F5:F33" si="1">MAX(E5,0)</f>
        <v>16</v>
      </c>
      <c r="G5" s="31">
        <f>VLOOKUP($A5,'Madras Sales'!$A$4:$P$35,G$1+1,0)</f>
        <v>5</v>
      </c>
      <c r="H5" s="31">
        <f>VLOOKUP($A5,'Stock Transfer'!$A$3:$AE$32,16+G$1,0)</f>
        <v>5</v>
      </c>
      <c r="I5" s="31">
        <f t="shared" ref="I5:I33" si="2">F5-G5+H5</f>
        <v>16</v>
      </c>
      <c r="J5" s="31">
        <f t="shared" ref="J5:J33" si="3">MAX(I5,0)</f>
        <v>16</v>
      </c>
      <c r="K5" s="31">
        <f>VLOOKUP($A5,'Madras Sales'!$A$4:$P$35,K$1+1,0)</f>
        <v>4</v>
      </c>
      <c r="L5" s="31">
        <f>VLOOKUP($A5,'Stock Transfer'!$A$3:$AE$32,16+K$1,0)</f>
        <v>8</v>
      </c>
      <c r="M5" s="31">
        <f t="shared" ref="M5:M33" si="4">J5-K5+L5</f>
        <v>20</v>
      </c>
      <c r="N5" s="31">
        <f t="shared" ref="N5:N33" si="5">MAX(M5,0)</f>
        <v>20</v>
      </c>
      <c r="O5" s="31">
        <f>VLOOKUP($A5,'Madras Sales'!$A$4:$P$35,O$1+1,0)</f>
        <v>2</v>
      </c>
      <c r="P5" s="31">
        <f>VLOOKUP($A5,'Stock Transfer'!$A$3:$AE$32,16+O$1,0)</f>
        <v>7</v>
      </c>
      <c r="Q5" s="31">
        <f t="shared" ref="Q5:Q33" si="6">N5-O5+P5</f>
        <v>25</v>
      </c>
      <c r="R5" s="31">
        <f t="shared" ref="R5:R33" si="7">MAX(Q5,0)</f>
        <v>25</v>
      </c>
      <c r="S5" s="31">
        <f>VLOOKUP($A5,'Madras Sales'!$A$4:$P$35,S$1+1,0)</f>
        <v>7</v>
      </c>
      <c r="T5" s="31">
        <f>VLOOKUP($A5,'Stock Transfer'!$A$3:$AE$32,16+S$1,0)</f>
        <v>6</v>
      </c>
      <c r="U5" s="31">
        <f t="shared" ref="U5:U33" si="8">R5-S5+T5</f>
        <v>24</v>
      </c>
      <c r="V5" s="31">
        <f t="shared" ref="V5:V33" si="9">MAX(U5,0)</f>
        <v>24</v>
      </c>
      <c r="W5" s="31">
        <f>VLOOKUP($A5,'Madras Sales'!$A$4:$P$35,W$1+1,0)</f>
        <v>3</v>
      </c>
      <c r="X5" s="31">
        <f>VLOOKUP($A5,'Stock Transfer'!$A$3:$AE$32,16+W$1,0)</f>
        <v>7</v>
      </c>
      <c r="Y5" s="31">
        <f t="shared" ref="Y5:Y33" si="10">V5-W5+X5</f>
        <v>28</v>
      </c>
      <c r="Z5" s="31">
        <f t="shared" ref="Z5:Z33" si="11">MAX(Y5,0)</f>
        <v>28</v>
      </c>
      <c r="AA5" s="31">
        <f>VLOOKUP($A5,'Madras Sales'!$A$4:$P$35,AA$1+1,0)</f>
        <v>7</v>
      </c>
      <c r="AB5" s="31">
        <f>VLOOKUP($A5,'Stock Transfer'!$A$3:$AE$32,16+AA$1,0)</f>
        <v>4</v>
      </c>
      <c r="AC5" s="31">
        <f t="shared" ref="AC5:AC33" si="12">Z5-AA5+AB5</f>
        <v>25</v>
      </c>
      <c r="AD5" s="31">
        <f t="shared" ref="AD5:AD33" si="13">MAX(AC5,0)</f>
        <v>25</v>
      </c>
      <c r="AE5" s="31">
        <f>VLOOKUP($A5,'Madras Sales'!$A$4:$P$35,AE$1+1,0)</f>
        <v>3</v>
      </c>
      <c r="AF5" s="31">
        <f>VLOOKUP($A5,'Stock Transfer'!$A$3:$AE$32,16+AE$1,0)</f>
        <v>6</v>
      </c>
      <c r="AG5" s="31">
        <f t="shared" ref="AG5:AG33" si="14">AD5-AE5+AF5</f>
        <v>28</v>
      </c>
      <c r="AH5" s="31">
        <f t="shared" ref="AH5:AH33" si="15">MAX(AG5,0)</f>
        <v>28</v>
      </c>
      <c r="AI5" s="31">
        <f>VLOOKUP($A5,'Madras Sales'!$A$4:$P$35,AI$1+1,0)</f>
        <v>1</v>
      </c>
      <c r="AJ5" s="31">
        <f>VLOOKUP($A5,'Stock Transfer'!$A$3:$AE$32,16+AI$1,0)</f>
        <v>7</v>
      </c>
      <c r="AK5" s="31">
        <f t="shared" ref="AK5:AK33" si="16">AH5-AI5+AJ5</f>
        <v>34</v>
      </c>
      <c r="AL5" s="31">
        <f t="shared" ref="AL5:AL33" si="17">MAX(AK5,0)</f>
        <v>34</v>
      </c>
      <c r="AM5" s="31">
        <f>VLOOKUP($A5,'Madras Sales'!$A$4:$P$35,AM$1+1,0)</f>
        <v>3</v>
      </c>
      <c r="AN5" s="31">
        <f>VLOOKUP($A5,'Stock Transfer'!$A$3:$AE$32,16+AM$1,0)</f>
        <v>5</v>
      </c>
      <c r="AO5" s="31">
        <f t="shared" ref="AO5:AO33" si="18">AL5-AM5+AN5</f>
        <v>36</v>
      </c>
    </row>
    <row r="6" spans="1:41" x14ac:dyDescent="0.3">
      <c r="A6" s="17" t="s">
        <v>42</v>
      </c>
      <c r="B6" s="31">
        <f>VLOOKUP($A6,'Open STK'!$A$1:$E$31,4,0)</f>
        <v>12</v>
      </c>
      <c r="C6" s="31">
        <f>VLOOKUP($A6,'Madras Sales'!$A$4:$P$35,C$1+1,0)</f>
        <v>8</v>
      </c>
      <c r="D6" s="31">
        <f>VLOOKUP($A6,'Stock Transfer'!$A$3:$AE$32,16+C$1,0)</f>
        <v>6</v>
      </c>
      <c r="E6" s="31">
        <f t="shared" si="0"/>
        <v>10</v>
      </c>
      <c r="F6" s="31">
        <f t="shared" si="1"/>
        <v>10</v>
      </c>
      <c r="G6" s="31">
        <f>VLOOKUP($A6,'Madras Sales'!$A$4:$P$35,G$1+1,0)</f>
        <v>5</v>
      </c>
      <c r="H6" s="31">
        <f>VLOOKUP($A6,'Stock Transfer'!$A$3:$AE$32,16+G$1,0)</f>
        <v>5</v>
      </c>
      <c r="I6" s="31">
        <f t="shared" si="2"/>
        <v>10</v>
      </c>
      <c r="J6" s="31">
        <f t="shared" si="3"/>
        <v>10</v>
      </c>
      <c r="K6" s="31">
        <f>VLOOKUP($A6,'Madras Sales'!$A$4:$P$35,K$1+1,0)</f>
        <v>7</v>
      </c>
      <c r="L6" s="31">
        <f>VLOOKUP($A6,'Stock Transfer'!$A$3:$AE$32,16+K$1,0)</f>
        <v>4</v>
      </c>
      <c r="M6" s="31">
        <f t="shared" si="4"/>
        <v>7</v>
      </c>
      <c r="N6" s="31">
        <f t="shared" si="5"/>
        <v>7</v>
      </c>
      <c r="O6" s="31">
        <f>VLOOKUP($A6,'Madras Sales'!$A$4:$P$35,O$1+1,0)</f>
        <v>0</v>
      </c>
      <c r="P6" s="31">
        <f>VLOOKUP($A6,'Stock Transfer'!$A$3:$AE$32,16+O$1,0)</f>
        <v>4</v>
      </c>
      <c r="Q6" s="31">
        <f t="shared" si="6"/>
        <v>11</v>
      </c>
      <c r="R6" s="31">
        <f t="shared" si="7"/>
        <v>11</v>
      </c>
      <c r="S6" s="31">
        <f>VLOOKUP($A6,'Madras Sales'!$A$4:$P$35,S$1+1,0)</f>
        <v>0</v>
      </c>
      <c r="T6" s="31">
        <f>VLOOKUP($A6,'Stock Transfer'!$A$3:$AE$32,16+S$1,0)</f>
        <v>6</v>
      </c>
      <c r="U6" s="31">
        <f t="shared" si="8"/>
        <v>17</v>
      </c>
      <c r="V6" s="31">
        <f t="shared" si="9"/>
        <v>17</v>
      </c>
      <c r="W6" s="31">
        <f>VLOOKUP($A6,'Madras Sales'!$A$4:$P$35,W$1+1,0)</f>
        <v>6</v>
      </c>
      <c r="X6" s="31">
        <f>VLOOKUP($A6,'Stock Transfer'!$A$3:$AE$32,16+W$1,0)</f>
        <v>6</v>
      </c>
      <c r="Y6" s="31">
        <f t="shared" si="10"/>
        <v>17</v>
      </c>
      <c r="Z6" s="31">
        <f t="shared" si="11"/>
        <v>17</v>
      </c>
      <c r="AA6" s="31">
        <f>VLOOKUP($A6,'Madras Sales'!$A$4:$P$35,AA$1+1,0)</f>
        <v>5</v>
      </c>
      <c r="AB6" s="31">
        <f>VLOOKUP($A6,'Stock Transfer'!$A$3:$AE$32,16+AA$1,0)</f>
        <v>5</v>
      </c>
      <c r="AC6" s="31">
        <f t="shared" si="12"/>
        <v>17</v>
      </c>
      <c r="AD6" s="31">
        <f t="shared" si="13"/>
        <v>17</v>
      </c>
      <c r="AE6" s="31">
        <f>VLOOKUP($A6,'Madras Sales'!$A$4:$P$35,AE$1+1,0)</f>
        <v>0</v>
      </c>
      <c r="AF6" s="31">
        <f>VLOOKUP($A6,'Stock Transfer'!$A$3:$AE$32,16+AE$1,0)</f>
        <v>7</v>
      </c>
      <c r="AG6" s="31">
        <f t="shared" si="14"/>
        <v>24</v>
      </c>
      <c r="AH6" s="31">
        <f t="shared" si="15"/>
        <v>24</v>
      </c>
      <c r="AI6" s="31">
        <f>VLOOKUP($A6,'Madras Sales'!$A$4:$P$35,AI$1+1,0)</f>
        <v>4</v>
      </c>
      <c r="AJ6" s="31">
        <f>VLOOKUP($A6,'Stock Transfer'!$A$3:$AE$32,16+AI$1,0)</f>
        <v>6</v>
      </c>
      <c r="AK6" s="31">
        <f t="shared" si="16"/>
        <v>26</v>
      </c>
      <c r="AL6" s="31">
        <f t="shared" si="17"/>
        <v>26</v>
      </c>
      <c r="AM6" s="31">
        <f>VLOOKUP($A6,'Madras Sales'!$A$4:$P$35,AM$1+1,0)</f>
        <v>1</v>
      </c>
      <c r="AN6" s="31">
        <f>VLOOKUP($A6,'Stock Transfer'!$A$3:$AE$32,16+AM$1,0)</f>
        <v>8</v>
      </c>
      <c r="AO6" s="31">
        <f t="shared" si="18"/>
        <v>33</v>
      </c>
    </row>
    <row r="7" spans="1:41" x14ac:dyDescent="0.3">
      <c r="A7" s="17" t="s">
        <v>45</v>
      </c>
      <c r="B7" s="31">
        <f>VLOOKUP($A7,'Open STK'!$A$1:$E$31,4,0)</f>
        <v>14</v>
      </c>
      <c r="C7" s="31">
        <f>VLOOKUP($A7,'Madras Sales'!$A$4:$P$35,C$1+1,0)</f>
        <v>1</v>
      </c>
      <c r="D7" s="31">
        <f>VLOOKUP($A7,'Stock Transfer'!$A$3:$AE$32,16+C$1,0)</f>
        <v>3</v>
      </c>
      <c r="E7" s="31">
        <f t="shared" si="0"/>
        <v>16</v>
      </c>
      <c r="F7" s="31">
        <f t="shared" si="1"/>
        <v>16</v>
      </c>
      <c r="G7" s="31">
        <f>VLOOKUP($A7,'Madras Sales'!$A$4:$P$35,G$1+1,0)</f>
        <v>1</v>
      </c>
      <c r="H7" s="31">
        <f>VLOOKUP($A7,'Stock Transfer'!$A$3:$AE$32,16+G$1,0)</f>
        <v>4</v>
      </c>
      <c r="I7" s="31">
        <f t="shared" si="2"/>
        <v>19</v>
      </c>
      <c r="J7" s="31">
        <f t="shared" si="3"/>
        <v>19</v>
      </c>
      <c r="K7" s="31">
        <f>VLOOKUP($A7,'Madras Sales'!$A$4:$P$35,K$1+1,0)</f>
        <v>3</v>
      </c>
      <c r="L7" s="31">
        <f>VLOOKUP($A7,'Stock Transfer'!$A$3:$AE$32,16+K$1,0)</f>
        <v>4</v>
      </c>
      <c r="M7" s="31">
        <f t="shared" si="4"/>
        <v>20</v>
      </c>
      <c r="N7" s="31">
        <f t="shared" si="5"/>
        <v>20</v>
      </c>
      <c r="O7" s="31">
        <f>VLOOKUP($A7,'Madras Sales'!$A$4:$P$35,O$1+1,0)</f>
        <v>2</v>
      </c>
      <c r="P7" s="31">
        <f>VLOOKUP($A7,'Stock Transfer'!$A$3:$AE$32,16+O$1,0)</f>
        <v>3</v>
      </c>
      <c r="Q7" s="31">
        <f t="shared" si="6"/>
        <v>21</v>
      </c>
      <c r="R7" s="31">
        <f t="shared" si="7"/>
        <v>21</v>
      </c>
      <c r="S7" s="31">
        <f>VLOOKUP($A7,'Madras Sales'!$A$4:$P$35,S$1+1,0)</f>
        <v>1</v>
      </c>
      <c r="T7" s="31">
        <f>VLOOKUP($A7,'Stock Transfer'!$A$3:$AE$32,16+S$1,0)</f>
        <v>4</v>
      </c>
      <c r="U7" s="31">
        <f t="shared" si="8"/>
        <v>24</v>
      </c>
      <c r="V7" s="31">
        <f t="shared" si="9"/>
        <v>24</v>
      </c>
      <c r="W7" s="31">
        <f>VLOOKUP($A7,'Madras Sales'!$A$4:$P$35,W$1+1,0)</f>
        <v>7</v>
      </c>
      <c r="X7" s="31">
        <f>VLOOKUP($A7,'Stock Transfer'!$A$3:$AE$32,16+W$1,0)</f>
        <v>4</v>
      </c>
      <c r="Y7" s="31">
        <f t="shared" si="10"/>
        <v>21</v>
      </c>
      <c r="Z7" s="31">
        <f t="shared" si="11"/>
        <v>21</v>
      </c>
      <c r="AA7" s="31">
        <f>VLOOKUP($A7,'Madras Sales'!$A$4:$P$35,AA$1+1,0)</f>
        <v>2</v>
      </c>
      <c r="AB7" s="31">
        <f>VLOOKUP($A7,'Stock Transfer'!$A$3:$AE$32,16+AA$1,0)</f>
        <v>4</v>
      </c>
      <c r="AC7" s="31">
        <f t="shared" si="12"/>
        <v>23</v>
      </c>
      <c r="AD7" s="31">
        <f t="shared" si="13"/>
        <v>23</v>
      </c>
      <c r="AE7" s="31">
        <f>VLOOKUP($A7,'Madras Sales'!$A$4:$P$35,AE$1+1,0)</f>
        <v>7</v>
      </c>
      <c r="AF7" s="31">
        <f>VLOOKUP($A7,'Stock Transfer'!$A$3:$AE$32,16+AE$1,0)</f>
        <v>5</v>
      </c>
      <c r="AG7" s="31">
        <f t="shared" si="14"/>
        <v>21</v>
      </c>
      <c r="AH7" s="31">
        <f t="shared" si="15"/>
        <v>21</v>
      </c>
      <c r="AI7" s="31">
        <f>VLOOKUP($A7,'Madras Sales'!$A$4:$P$35,AI$1+1,0)</f>
        <v>6</v>
      </c>
      <c r="AJ7" s="31">
        <f>VLOOKUP($A7,'Stock Transfer'!$A$3:$AE$32,16+AI$1,0)</f>
        <v>4</v>
      </c>
      <c r="AK7" s="31">
        <f t="shared" si="16"/>
        <v>19</v>
      </c>
      <c r="AL7" s="31">
        <f t="shared" si="17"/>
        <v>19</v>
      </c>
      <c r="AM7" s="31">
        <f>VLOOKUP($A7,'Madras Sales'!$A$4:$P$35,AM$1+1,0)</f>
        <v>6</v>
      </c>
      <c r="AN7" s="31">
        <f>VLOOKUP($A7,'Stock Transfer'!$A$3:$AE$32,16+AM$1,0)</f>
        <v>4</v>
      </c>
      <c r="AO7" s="31">
        <f t="shared" si="18"/>
        <v>17</v>
      </c>
    </row>
    <row r="8" spans="1:41" x14ac:dyDescent="0.3">
      <c r="A8" s="17" t="s">
        <v>48</v>
      </c>
      <c r="B8" s="31">
        <f>VLOOKUP($A8,'Open STK'!$A$1:$E$31,4,0)</f>
        <v>13</v>
      </c>
      <c r="C8" s="31">
        <f>VLOOKUP($A8,'Madras Sales'!$A$4:$P$35,C$1+1,0)</f>
        <v>2</v>
      </c>
      <c r="D8" s="31">
        <f>VLOOKUP($A8,'Stock Transfer'!$A$3:$AE$32,16+C$1,0)</f>
        <v>4</v>
      </c>
      <c r="E8" s="31">
        <f t="shared" si="0"/>
        <v>15</v>
      </c>
      <c r="F8" s="31">
        <f t="shared" si="1"/>
        <v>15</v>
      </c>
      <c r="G8" s="31">
        <f>VLOOKUP($A8,'Madras Sales'!$A$4:$P$35,G$1+1,0)</f>
        <v>0</v>
      </c>
      <c r="H8" s="31">
        <f>VLOOKUP($A8,'Stock Transfer'!$A$3:$AE$32,16+G$1,0)</f>
        <v>4</v>
      </c>
      <c r="I8" s="31">
        <f t="shared" si="2"/>
        <v>19</v>
      </c>
      <c r="J8" s="31">
        <f t="shared" si="3"/>
        <v>19</v>
      </c>
      <c r="K8" s="31">
        <f>VLOOKUP($A8,'Madras Sales'!$A$4:$P$35,K$1+1,0)</f>
        <v>0</v>
      </c>
      <c r="L8" s="31">
        <f>VLOOKUP($A8,'Stock Transfer'!$A$3:$AE$32,16+K$1,0)</f>
        <v>4</v>
      </c>
      <c r="M8" s="31">
        <f t="shared" si="4"/>
        <v>23</v>
      </c>
      <c r="N8" s="31">
        <f t="shared" si="5"/>
        <v>23</v>
      </c>
      <c r="O8" s="31">
        <f>VLOOKUP($A8,'Madras Sales'!$A$4:$P$35,O$1+1,0)</f>
        <v>4</v>
      </c>
      <c r="P8" s="31">
        <f>VLOOKUP($A8,'Stock Transfer'!$A$3:$AE$32,16+O$1,0)</f>
        <v>3</v>
      </c>
      <c r="Q8" s="31">
        <f t="shared" si="6"/>
        <v>22</v>
      </c>
      <c r="R8" s="31">
        <f t="shared" si="7"/>
        <v>22</v>
      </c>
      <c r="S8" s="31">
        <f>VLOOKUP($A8,'Madras Sales'!$A$4:$P$35,S$1+1,0)</f>
        <v>3</v>
      </c>
      <c r="T8" s="31">
        <f>VLOOKUP($A8,'Stock Transfer'!$A$3:$AE$32,16+S$1,0)</f>
        <v>3</v>
      </c>
      <c r="U8" s="31">
        <f t="shared" si="8"/>
        <v>22</v>
      </c>
      <c r="V8" s="31">
        <f t="shared" si="9"/>
        <v>22</v>
      </c>
      <c r="W8" s="31">
        <f>VLOOKUP($A8,'Madras Sales'!$A$4:$P$35,W$1+1,0)</f>
        <v>7</v>
      </c>
      <c r="X8" s="31">
        <f>VLOOKUP($A8,'Stock Transfer'!$A$3:$AE$32,16+W$1,0)</f>
        <v>3</v>
      </c>
      <c r="Y8" s="31">
        <f t="shared" si="10"/>
        <v>18</v>
      </c>
      <c r="Z8" s="31">
        <f t="shared" si="11"/>
        <v>18</v>
      </c>
      <c r="AA8" s="31">
        <f>VLOOKUP($A8,'Madras Sales'!$A$4:$P$35,AA$1+1,0)</f>
        <v>4</v>
      </c>
      <c r="AB8" s="31">
        <f>VLOOKUP($A8,'Stock Transfer'!$A$3:$AE$32,16+AA$1,0)</f>
        <v>4</v>
      </c>
      <c r="AC8" s="31">
        <f t="shared" si="12"/>
        <v>18</v>
      </c>
      <c r="AD8" s="31">
        <f t="shared" si="13"/>
        <v>18</v>
      </c>
      <c r="AE8" s="31">
        <f>VLOOKUP($A8,'Madras Sales'!$A$4:$P$35,AE$1+1,0)</f>
        <v>2</v>
      </c>
      <c r="AF8" s="31">
        <f>VLOOKUP($A8,'Stock Transfer'!$A$3:$AE$32,16+AE$1,0)</f>
        <v>3</v>
      </c>
      <c r="AG8" s="31">
        <f t="shared" si="14"/>
        <v>19</v>
      </c>
      <c r="AH8" s="31">
        <f t="shared" si="15"/>
        <v>19</v>
      </c>
      <c r="AI8" s="31">
        <f>VLOOKUP($A8,'Madras Sales'!$A$4:$P$35,AI$1+1,0)</f>
        <v>0</v>
      </c>
      <c r="AJ8" s="31">
        <f>VLOOKUP($A8,'Stock Transfer'!$A$3:$AE$32,16+AI$1,0)</f>
        <v>3</v>
      </c>
      <c r="AK8" s="31">
        <f t="shared" si="16"/>
        <v>22</v>
      </c>
      <c r="AL8" s="31">
        <f t="shared" si="17"/>
        <v>22</v>
      </c>
      <c r="AM8" s="31">
        <f>VLOOKUP($A8,'Madras Sales'!$A$4:$P$35,AM$1+1,0)</f>
        <v>3</v>
      </c>
      <c r="AN8" s="31">
        <f>VLOOKUP($A8,'Stock Transfer'!$A$3:$AE$32,16+AM$1,0)</f>
        <v>2</v>
      </c>
      <c r="AO8" s="31">
        <f t="shared" si="18"/>
        <v>21</v>
      </c>
    </row>
    <row r="9" spans="1:41" x14ac:dyDescent="0.3">
      <c r="A9" s="17" t="s">
        <v>51</v>
      </c>
      <c r="B9" s="31">
        <f>VLOOKUP($A9,'Open STK'!$A$1:$E$31,4,0)</f>
        <v>6</v>
      </c>
      <c r="C9" s="31">
        <f>VLOOKUP($A9,'Madras Sales'!$A$4:$P$35,C$1+1,0)</f>
        <v>0</v>
      </c>
      <c r="D9" s="31">
        <f>VLOOKUP($A9,'Stock Transfer'!$A$3:$AE$32,16+C$1,0)</f>
        <v>3</v>
      </c>
      <c r="E9" s="31">
        <f t="shared" si="0"/>
        <v>9</v>
      </c>
      <c r="F9" s="31">
        <f t="shared" si="1"/>
        <v>9</v>
      </c>
      <c r="G9" s="31">
        <f>VLOOKUP($A9,'Madras Sales'!$A$4:$P$35,G$1+1,0)</f>
        <v>3</v>
      </c>
      <c r="H9" s="31">
        <f>VLOOKUP($A9,'Stock Transfer'!$A$3:$AE$32,16+G$1,0)</f>
        <v>3</v>
      </c>
      <c r="I9" s="31">
        <f t="shared" si="2"/>
        <v>9</v>
      </c>
      <c r="J9" s="31">
        <f t="shared" si="3"/>
        <v>9</v>
      </c>
      <c r="K9" s="31">
        <f>VLOOKUP($A9,'Madras Sales'!$A$4:$P$35,K$1+1,0)</f>
        <v>0</v>
      </c>
      <c r="L9" s="31">
        <f>VLOOKUP($A9,'Stock Transfer'!$A$3:$AE$32,16+K$1,0)</f>
        <v>2</v>
      </c>
      <c r="M9" s="31">
        <f t="shared" si="4"/>
        <v>11</v>
      </c>
      <c r="N9" s="31">
        <f t="shared" si="5"/>
        <v>11</v>
      </c>
      <c r="O9" s="31">
        <f>VLOOKUP($A9,'Madras Sales'!$A$4:$P$35,O$1+1,0)</f>
        <v>2</v>
      </c>
      <c r="P9" s="31">
        <f>VLOOKUP($A9,'Stock Transfer'!$A$3:$AE$32,16+O$1,0)</f>
        <v>3</v>
      </c>
      <c r="Q9" s="31">
        <f t="shared" si="6"/>
        <v>12</v>
      </c>
      <c r="R9" s="31">
        <f t="shared" si="7"/>
        <v>12</v>
      </c>
      <c r="S9" s="31">
        <f>VLOOKUP($A9,'Madras Sales'!$A$4:$P$35,S$1+1,0)</f>
        <v>1</v>
      </c>
      <c r="T9" s="31">
        <f>VLOOKUP($A9,'Stock Transfer'!$A$3:$AE$32,16+S$1,0)</f>
        <v>2</v>
      </c>
      <c r="U9" s="31">
        <f t="shared" si="8"/>
        <v>13</v>
      </c>
      <c r="V9" s="31">
        <f t="shared" si="9"/>
        <v>13</v>
      </c>
      <c r="W9" s="31">
        <f>VLOOKUP($A9,'Madras Sales'!$A$4:$P$35,W$1+1,0)</f>
        <v>1</v>
      </c>
      <c r="X9" s="31">
        <f>VLOOKUP($A9,'Stock Transfer'!$A$3:$AE$32,16+W$1,0)</f>
        <v>3</v>
      </c>
      <c r="Y9" s="31">
        <f t="shared" si="10"/>
        <v>15</v>
      </c>
      <c r="Z9" s="31">
        <f t="shared" si="11"/>
        <v>15</v>
      </c>
      <c r="AA9" s="31">
        <f>VLOOKUP($A9,'Madras Sales'!$A$4:$P$35,AA$1+1,0)</f>
        <v>2</v>
      </c>
      <c r="AB9" s="31">
        <f>VLOOKUP($A9,'Stock Transfer'!$A$3:$AE$32,16+AA$1,0)</f>
        <v>3</v>
      </c>
      <c r="AC9" s="31">
        <f t="shared" si="12"/>
        <v>16</v>
      </c>
      <c r="AD9" s="31">
        <f t="shared" si="13"/>
        <v>16</v>
      </c>
      <c r="AE9" s="31">
        <f>VLOOKUP($A9,'Madras Sales'!$A$4:$P$35,AE$1+1,0)</f>
        <v>0</v>
      </c>
      <c r="AF9" s="31">
        <f>VLOOKUP($A9,'Stock Transfer'!$A$3:$AE$32,16+AE$1,0)</f>
        <v>3</v>
      </c>
      <c r="AG9" s="31">
        <f t="shared" si="14"/>
        <v>19</v>
      </c>
      <c r="AH9" s="31">
        <f t="shared" si="15"/>
        <v>19</v>
      </c>
      <c r="AI9" s="31">
        <f>VLOOKUP($A9,'Madras Sales'!$A$4:$P$35,AI$1+1,0)</f>
        <v>3</v>
      </c>
      <c r="AJ9" s="31">
        <f>VLOOKUP($A9,'Stock Transfer'!$A$3:$AE$32,16+AI$1,0)</f>
        <v>3</v>
      </c>
      <c r="AK9" s="31">
        <f t="shared" si="16"/>
        <v>19</v>
      </c>
      <c r="AL9" s="31">
        <f t="shared" si="17"/>
        <v>19</v>
      </c>
      <c r="AM9" s="31">
        <f>VLOOKUP($A9,'Madras Sales'!$A$4:$P$35,AM$1+1,0)</f>
        <v>1</v>
      </c>
      <c r="AN9" s="31">
        <f>VLOOKUP($A9,'Stock Transfer'!$A$3:$AE$32,16+AM$1,0)</f>
        <v>2</v>
      </c>
      <c r="AO9" s="31">
        <f t="shared" si="18"/>
        <v>20</v>
      </c>
    </row>
    <row r="10" spans="1:41" x14ac:dyDescent="0.3">
      <c r="A10" s="17" t="s">
        <v>54</v>
      </c>
      <c r="B10" s="31">
        <f>VLOOKUP($A10,'Open STK'!$A$1:$E$31,4,0)</f>
        <v>10</v>
      </c>
      <c r="C10" s="31">
        <f>VLOOKUP($A10,'Madras Sales'!$A$4:$P$35,C$1+1,0)</f>
        <v>4</v>
      </c>
      <c r="D10" s="31">
        <f>VLOOKUP($A10,'Stock Transfer'!$A$3:$AE$32,16+C$1,0)</f>
        <v>3</v>
      </c>
      <c r="E10" s="31">
        <f t="shared" si="0"/>
        <v>9</v>
      </c>
      <c r="F10" s="31">
        <f t="shared" si="1"/>
        <v>9</v>
      </c>
      <c r="G10" s="31">
        <f>VLOOKUP($A10,'Madras Sales'!$A$4:$P$35,G$1+1,0)</f>
        <v>1</v>
      </c>
      <c r="H10" s="31">
        <f>VLOOKUP($A10,'Stock Transfer'!$A$3:$AE$32,16+G$1,0)</f>
        <v>3</v>
      </c>
      <c r="I10" s="31">
        <f t="shared" si="2"/>
        <v>11</v>
      </c>
      <c r="J10" s="31">
        <f t="shared" si="3"/>
        <v>11</v>
      </c>
      <c r="K10" s="31">
        <f>VLOOKUP($A10,'Madras Sales'!$A$4:$P$35,K$1+1,0)</f>
        <v>1</v>
      </c>
      <c r="L10" s="31">
        <f>VLOOKUP($A10,'Stock Transfer'!$A$3:$AE$32,16+K$1,0)</f>
        <v>4</v>
      </c>
      <c r="M10" s="31">
        <f t="shared" si="4"/>
        <v>14</v>
      </c>
      <c r="N10" s="31">
        <f t="shared" si="5"/>
        <v>14</v>
      </c>
      <c r="O10" s="31">
        <f>VLOOKUP($A10,'Madras Sales'!$A$4:$P$35,O$1+1,0)</f>
        <v>0</v>
      </c>
      <c r="P10" s="31">
        <f>VLOOKUP($A10,'Stock Transfer'!$A$3:$AE$32,16+O$1,0)</f>
        <v>3</v>
      </c>
      <c r="Q10" s="31">
        <f t="shared" si="6"/>
        <v>17</v>
      </c>
      <c r="R10" s="31">
        <f t="shared" si="7"/>
        <v>17</v>
      </c>
      <c r="S10" s="31">
        <f>VLOOKUP($A10,'Madras Sales'!$A$4:$P$35,S$1+1,0)</f>
        <v>1</v>
      </c>
      <c r="T10" s="31">
        <f>VLOOKUP($A10,'Stock Transfer'!$A$3:$AE$32,16+S$1,0)</f>
        <v>3</v>
      </c>
      <c r="U10" s="31">
        <f t="shared" si="8"/>
        <v>19</v>
      </c>
      <c r="V10" s="31">
        <f t="shared" si="9"/>
        <v>19</v>
      </c>
      <c r="W10" s="31">
        <f>VLOOKUP($A10,'Madras Sales'!$A$4:$P$35,W$1+1,0)</f>
        <v>3</v>
      </c>
      <c r="X10" s="31">
        <f>VLOOKUP($A10,'Stock Transfer'!$A$3:$AE$32,16+W$1,0)</f>
        <v>3</v>
      </c>
      <c r="Y10" s="31">
        <f t="shared" si="10"/>
        <v>19</v>
      </c>
      <c r="Z10" s="31">
        <f t="shared" si="11"/>
        <v>19</v>
      </c>
      <c r="AA10" s="31">
        <f>VLOOKUP($A10,'Madras Sales'!$A$4:$P$35,AA$1+1,0)</f>
        <v>4</v>
      </c>
      <c r="AB10" s="31">
        <f>VLOOKUP($A10,'Stock Transfer'!$A$3:$AE$32,16+AA$1,0)</f>
        <v>2</v>
      </c>
      <c r="AC10" s="31">
        <f t="shared" si="12"/>
        <v>17</v>
      </c>
      <c r="AD10" s="31">
        <f t="shared" si="13"/>
        <v>17</v>
      </c>
      <c r="AE10" s="31">
        <f>VLOOKUP($A10,'Madras Sales'!$A$4:$P$35,AE$1+1,0)</f>
        <v>2</v>
      </c>
      <c r="AF10" s="31">
        <f>VLOOKUP($A10,'Stock Transfer'!$A$3:$AE$32,16+AE$1,0)</f>
        <v>3</v>
      </c>
      <c r="AG10" s="31">
        <f t="shared" si="14"/>
        <v>18</v>
      </c>
      <c r="AH10" s="31">
        <f t="shared" si="15"/>
        <v>18</v>
      </c>
      <c r="AI10" s="31">
        <f>VLOOKUP($A10,'Madras Sales'!$A$4:$P$35,AI$1+1,0)</f>
        <v>1</v>
      </c>
      <c r="AJ10" s="31">
        <f>VLOOKUP($A10,'Stock Transfer'!$A$3:$AE$32,16+AI$1,0)</f>
        <v>3</v>
      </c>
      <c r="AK10" s="31">
        <f t="shared" si="16"/>
        <v>20</v>
      </c>
      <c r="AL10" s="31">
        <f t="shared" si="17"/>
        <v>20</v>
      </c>
      <c r="AM10" s="31">
        <f>VLOOKUP($A10,'Madras Sales'!$A$4:$P$35,AM$1+1,0)</f>
        <v>3</v>
      </c>
      <c r="AN10" s="31">
        <f>VLOOKUP($A10,'Stock Transfer'!$A$3:$AE$32,16+AM$1,0)</f>
        <v>2</v>
      </c>
      <c r="AO10" s="31">
        <f t="shared" si="18"/>
        <v>19</v>
      </c>
    </row>
    <row r="11" spans="1:41" x14ac:dyDescent="0.3">
      <c r="A11" s="17" t="s">
        <v>57</v>
      </c>
      <c r="B11" s="31">
        <f>VLOOKUP($A11,'Open STK'!$A$1:$E$31,4,0)</f>
        <v>2</v>
      </c>
      <c r="C11" s="31">
        <f>VLOOKUP($A11,'Madras Sales'!$A$4:$P$35,C$1+1,0)</f>
        <v>1</v>
      </c>
      <c r="D11" s="31">
        <f>VLOOKUP($A11,'Stock Transfer'!$A$3:$AE$32,16+C$1,0)</f>
        <v>2</v>
      </c>
      <c r="E11" s="31">
        <f t="shared" si="0"/>
        <v>3</v>
      </c>
      <c r="F11" s="31">
        <f t="shared" si="1"/>
        <v>3</v>
      </c>
      <c r="G11" s="31">
        <f>VLOOKUP($A11,'Madras Sales'!$A$4:$P$35,G$1+1,0)</f>
        <v>0</v>
      </c>
      <c r="H11" s="31">
        <f>VLOOKUP($A11,'Stock Transfer'!$A$3:$AE$32,16+G$1,0)</f>
        <v>2</v>
      </c>
      <c r="I11" s="31">
        <f t="shared" si="2"/>
        <v>5</v>
      </c>
      <c r="J11" s="31">
        <f t="shared" si="3"/>
        <v>5</v>
      </c>
      <c r="K11" s="31">
        <f>VLOOKUP($A11,'Madras Sales'!$A$4:$P$35,K$1+1,0)</f>
        <v>0</v>
      </c>
      <c r="L11" s="31">
        <f>VLOOKUP($A11,'Stock Transfer'!$A$3:$AE$32,16+K$1,0)</f>
        <v>2</v>
      </c>
      <c r="M11" s="31">
        <f t="shared" si="4"/>
        <v>7</v>
      </c>
      <c r="N11" s="31">
        <f t="shared" si="5"/>
        <v>7</v>
      </c>
      <c r="O11" s="31">
        <f>VLOOKUP($A11,'Madras Sales'!$A$4:$P$35,O$1+1,0)</f>
        <v>0</v>
      </c>
      <c r="P11" s="31">
        <f>VLOOKUP($A11,'Stock Transfer'!$A$3:$AE$32,16+O$1,0)</f>
        <v>2</v>
      </c>
      <c r="Q11" s="31">
        <f t="shared" si="6"/>
        <v>9</v>
      </c>
      <c r="R11" s="31">
        <f t="shared" si="7"/>
        <v>9</v>
      </c>
      <c r="S11" s="31">
        <f>VLOOKUP($A11,'Madras Sales'!$A$4:$P$35,S$1+1,0)</f>
        <v>0</v>
      </c>
      <c r="T11" s="31">
        <f>VLOOKUP($A11,'Stock Transfer'!$A$3:$AE$32,16+S$1,0)</f>
        <v>2</v>
      </c>
      <c r="U11" s="31">
        <f t="shared" si="8"/>
        <v>11</v>
      </c>
      <c r="V11" s="31">
        <f t="shared" si="9"/>
        <v>11</v>
      </c>
      <c r="W11" s="31">
        <f>VLOOKUP($A11,'Madras Sales'!$A$4:$P$35,W$1+1,0)</f>
        <v>0</v>
      </c>
      <c r="X11" s="31">
        <f>VLOOKUP($A11,'Stock Transfer'!$A$3:$AE$32,16+W$1,0)</f>
        <v>2</v>
      </c>
      <c r="Y11" s="31">
        <f t="shared" si="10"/>
        <v>13</v>
      </c>
      <c r="Z11" s="31">
        <f t="shared" si="11"/>
        <v>13</v>
      </c>
      <c r="AA11" s="31">
        <f>VLOOKUP($A11,'Madras Sales'!$A$4:$P$35,AA$1+1,0)</f>
        <v>1</v>
      </c>
      <c r="AB11" s="31">
        <f>VLOOKUP($A11,'Stock Transfer'!$A$3:$AE$32,16+AA$1,0)</f>
        <v>2</v>
      </c>
      <c r="AC11" s="31">
        <f t="shared" si="12"/>
        <v>14</v>
      </c>
      <c r="AD11" s="31">
        <f t="shared" si="13"/>
        <v>14</v>
      </c>
      <c r="AE11" s="31">
        <f>VLOOKUP($A11,'Madras Sales'!$A$4:$P$35,AE$1+1,0)</f>
        <v>0</v>
      </c>
      <c r="AF11" s="31">
        <f>VLOOKUP($A11,'Stock Transfer'!$A$3:$AE$32,16+AE$1,0)</f>
        <v>2</v>
      </c>
      <c r="AG11" s="31">
        <f t="shared" si="14"/>
        <v>16</v>
      </c>
      <c r="AH11" s="31">
        <f t="shared" si="15"/>
        <v>16</v>
      </c>
      <c r="AI11" s="31">
        <f>VLOOKUP($A11,'Madras Sales'!$A$4:$P$35,AI$1+1,0)</f>
        <v>2</v>
      </c>
      <c r="AJ11" s="31">
        <f>VLOOKUP($A11,'Stock Transfer'!$A$3:$AE$32,16+AI$1,0)</f>
        <v>2</v>
      </c>
      <c r="AK11" s="31">
        <f t="shared" si="16"/>
        <v>16</v>
      </c>
      <c r="AL11" s="31">
        <f t="shared" si="17"/>
        <v>16</v>
      </c>
      <c r="AM11" s="31">
        <f>VLOOKUP($A11,'Madras Sales'!$A$4:$P$35,AM$1+1,0)</f>
        <v>0</v>
      </c>
      <c r="AN11" s="31">
        <f>VLOOKUP($A11,'Stock Transfer'!$A$3:$AE$32,16+AM$1,0)</f>
        <v>2</v>
      </c>
      <c r="AO11" s="31">
        <f t="shared" si="18"/>
        <v>18</v>
      </c>
    </row>
    <row r="12" spans="1:41" x14ac:dyDescent="0.3">
      <c r="A12" s="17" t="s">
        <v>60</v>
      </c>
      <c r="B12" s="31">
        <f>VLOOKUP($A12,'Open STK'!$A$1:$E$31,4,0)</f>
        <v>2</v>
      </c>
      <c r="C12" s="31">
        <f>VLOOKUP($A12,'Madras Sales'!$A$4:$P$35,C$1+1,0)</f>
        <v>0</v>
      </c>
      <c r="D12" s="31">
        <f>VLOOKUP($A12,'Stock Transfer'!$A$3:$AE$32,16+C$1,0)</f>
        <v>2</v>
      </c>
      <c r="E12" s="31">
        <f t="shared" si="0"/>
        <v>4</v>
      </c>
      <c r="F12" s="31">
        <f t="shared" si="1"/>
        <v>4</v>
      </c>
      <c r="G12" s="31">
        <f>VLOOKUP($A12,'Madras Sales'!$A$4:$P$35,G$1+1,0)</f>
        <v>1</v>
      </c>
      <c r="H12" s="31">
        <f>VLOOKUP($A12,'Stock Transfer'!$A$3:$AE$32,16+G$1,0)</f>
        <v>2</v>
      </c>
      <c r="I12" s="31">
        <f t="shared" si="2"/>
        <v>5</v>
      </c>
      <c r="J12" s="31">
        <f t="shared" si="3"/>
        <v>5</v>
      </c>
      <c r="K12" s="31">
        <f>VLOOKUP($A12,'Madras Sales'!$A$4:$P$35,K$1+1,0)</f>
        <v>0</v>
      </c>
      <c r="L12" s="31">
        <f>VLOOKUP($A12,'Stock Transfer'!$A$3:$AE$32,16+K$1,0)</f>
        <v>2</v>
      </c>
      <c r="M12" s="31">
        <f t="shared" si="4"/>
        <v>7</v>
      </c>
      <c r="N12" s="31">
        <f t="shared" si="5"/>
        <v>7</v>
      </c>
      <c r="O12" s="31">
        <f>VLOOKUP($A12,'Madras Sales'!$A$4:$P$35,O$1+1,0)</f>
        <v>1</v>
      </c>
      <c r="P12" s="31">
        <f>VLOOKUP($A12,'Stock Transfer'!$A$3:$AE$32,16+O$1,0)</f>
        <v>2</v>
      </c>
      <c r="Q12" s="31">
        <f t="shared" si="6"/>
        <v>8</v>
      </c>
      <c r="R12" s="31">
        <f t="shared" si="7"/>
        <v>8</v>
      </c>
      <c r="S12" s="31">
        <f>VLOOKUP($A12,'Madras Sales'!$A$4:$P$35,S$1+1,0)</f>
        <v>0</v>
      </c>
      <c r="T12" s="31">
        <f>VLOOKUP($A12,'Stock Transfer'!$A$3:$AE$32,16+S$1,0)</f>
        <v>2</v>
      </c>
      <c r="U12" s="31">
        <f t="shared" si="8"/>
        <v>10</v>
      </c>
      <c r="V12" s="31">
        <f t="shared" si="9"/>
        <v>10</v>
      </c>
      <c r="W12" s="31">
        <f>VLOOKUP($A12,'Madras Sales'!$A$4:$P$35,W$1+1,0)</f>
        <v>0</v>
      </c>
      <c r="X12" s="31">
        <f>VLOOKUP($A12,'Stock Transfer'!$A$3:$AE$32,16+W$1,0)</f>
        <v>2</v>
      </c>
      <c r="Y12" s="31">
        <f t="shared" si="10"/>
        <v>12</v>
      </c>
      <c r="Z12" s="31">
        <f t="shared" si="11"/>
        <v>12</v>
      </c>
      <c r="AA12" s="31">
        <f>VLOOKUP($A12,'Madras Sales'!$A$4:$P$35,AA$1+1,0)</f>
        <v>0</v>
      </c>
      <c r="AB12" s="31">
        <f>VLOOKUP($A12,'Stock Transfer'!$A$3:$AE$32,16+AA$1,0)</f>
        <v>2</v>
      </c>
      <c r="AC12" s="31">
        <f t="shared" si="12"/>
        <v>14</v>
      </c>
      <c r="AD12" s="31">
        <f t="shared" si="13"/>
        <v>14</v>
      </c>
      <c r="AE12" s="31">
        <f>VLOOKUP($A12,'Madras Sales'!$A$4:$P$35,AE$1+1,0)</f>
        <v>0</v>
      </c>
      <c r="AF12" s="31">
        <f>VLOOKUP($A12,'Stock Transfer'!$A$3:$AE$32,16+AE$1,0)</f>
        <v>2</v>
      </c>
      <c r="AG12" s="31">
        <f t="shared" si="14"/>
        <v>16</v>
      </c>
      <c r="AH12" s="31">
        <f t="shared" si="15"/>
        <v>16</v>
      </c>
      <c r="AI12" s="31">
        <f>VLOOKUP($A12,'Madras Sales'!$A$4:$P$35,AI$1+1,0)</f>
        <v>1</v>
      </c>
      <c r="AJ12" s="31">
        <f>VLOOKUP($A12,'Stock Transfer'!$A$3:$AE$32,16+AI$1,0)</f>
        <v>2</v>
      </c>
      <c r="AK12" s="31">
        <f t="shared" si="16"/>
        <v>17</v>
      </c>
      <c r="AL12" s="31">
        <f t="shared" si="17"/>
        <v>17</v>
      </c>
      <c r="AM12" s="31">
        <f>VLOOKUP($A12,'Madras Sales'!$A$4:$P$35,AM$1+1,0)</f>
        <v>0</v>
      </c>
      <c r="AN12" s="31">
        <f>VLOOKUP($A12,'Stock Transfer'!$A$3:$AE$32,16+AM$1,0)</f>
        <v>2</v>
      </c>
      <c r="AO12" s="31">
        <f t="shared" si="18"/>
        <v>19</v>
      </c>
    </row>
    <row r="13" spans="1:41" x14ac:dyDescent="0.3">
      <c r="A13" s="17" t="s">
        <v>63</v>
      </c>
      <c r="B13" s="31">
        <f>VLOOKUP($A13,'Open STK'!$A$1:$E$31,4,0)</f>
        <v>2</v>
      </c>
      <c r="C13" s="31">
        <f>VLOOKUP($A13,'Madras Sales'!$A$4:$P$35,C$1+1,0)</f>
        <v>0</v>
      </c>
      <c r="D13" s="31">
        <f>VLOOKUP($A13,'Stock Transfer'!$A$3:$AE$32,16+C$1,0)</f>
        <v>2</v>
      </c>
      <c r="E13" s="31">
        <f t="shared" si="0"/>
        <v>4</v>
      </c>
      <c r="F13" s="31">
        <f t="shared" si="1"/>
        <v>4</v>
      </c>
      <c r="G13" s="31">
        <f>VLOOKUP($A13,'Madras Sales'!$A$4:$P$35,G$1+1,0)</f>
        <v>0</v>
      </c>
      <c r="H13" s="31">
        <f>VLOOKUP($A13,'Stock Transfer'!$A$3:$AE$32,16+G$1,0)</f>
        <v>2</v>
      </c>
      <c r="I13" s="31">
        <f t="shared" si="2"/>
        <v>6</v>
      </c>
      <c r="J13" s="31">
        <f t="shared" si="3"/>
        <v>6</v>
      </c>
      <c r="K13" s="31">
        <f>VLOOKUP($A13,'Madras Sales'!$A$4:$P$35,K$1+1,0)</f>
        <v>0</v>
      </c>
      <c r="L13" s="31">
        <f>VLOOKUP($A13,'Stock Transfer'!$A$3:$AE$32,16+K$1,0)</f>
        <v>2</v>
      </c>
      <c r="M13" s="31">
        <f t="shared" si="4"/>
        <v>8</v>
      </c>
      <c r="N13" s="31">
        <f t="shared" si="5"/>
        <v>8</v>
      </c>
      <c r="O13" s="31">
        <f>VLOOKUP($A13,'Madras Sales'!$A$4:$P$35,O$1+1,0)</f>
        <v>0</v>
      </c>
      <c r="P13" s="31">
        <f>VLOOKUP($A13,'Stock Transfer'!$A$3:$AE$32,16+O$1,0)</f>
        <v>2</v>
      </c>
      <c r="Q13" s="31">
        <f t="shared" si="6"/>
        <v>10</v>
      </c>
      <c r="R13" s="31">
        <f t="shared" si="7"/>
        <v>10</v>
      </c>
      <c r="S13" s="31">
        <f>VLOOKUP($A13,'Madras Sales'!$A$4:$P$35,S$1+1,0)</f>
        <v>1</v>
      </c>
      <c r="T13" s="31">
        <f>VLOOKUP($A13,'Stock Transfer'!$A$3:$AE$32,16+S$1,0)</f>
        <v>2</v>
      </c>
      <c r="U13" s="31">
        <f t="shared" si="8"/>
        <v>11</v>
      </c>
      <c r="V13" s="31">
        <f t="shared" si="9"/>
        <v>11</v>
      </c>
      <c r="W13" s="31">
        <f>VLOOKUP($A13,'Madras Sales'!$A$4:$P$35,W$1+1,0)</f>
        <v>1</v>
      </c>
      <c r="X13" s="31">
        <f>VLOOKUP($A13,'Stock Transfer'!$A$3:$AE$32,16+W$1,0)</f>
        <v>2</v>
      </c>
      <c r="Y13" s="31">
        <f t="shared" si="10"/>
        <v>12</v>
      </c>
      <c r="Z13" s="31">
        <f t="shared" si="11"/>
        <v>12</v>
      </c>
      <c r="AA13" s="31">
        <f>VLOOKUP($A13,'Madras Sales'!$A$4:$P$35,AA$1+1,0)</f>
        <v>0</v>
      </c>
      <c r="AB13" s="31">
        <f>VLOOKUP($A13,'Stock Transfer'!$A$3:$AE$32,16+AA$1,0)</f>
        <v>2</v>
      </c>
      <c r="AC13" s="31">
        <f t="shared" si="12"/>
        <v>14</v>
      </c>
      <c r="AD13" s="31">
        <f t="shared" si="13"/>
        <v>14</v>
      </c>
      <c r="AE13" s="31">
        <f>VLOOKUP($A13,'Madras Sales'!$A$4:$P$35,AE$1+1,0)</f>
        <v>0</v>
      </c>
      <c r="AF13" s="31">
        <f>VLOOKUP($A13,'Stock Transfer'!$A$3:$AE$32,16+AE$1,0)</f>
        <v>2</v>
      </c>
      <c r="AG13" s="31">
        <f t="shared" si="14"/>
        <v>16</v>
      </c>
      <c r="AH13" s="31">
        <f t="shared" si="15"/>
        <v>16</v>
      </c>
      <c r="AI13" s="31">
        <f>VLOOKUP($A13,'Madras Sales'!$A$4:$P$35,AI$1+1,0)</f>
        <v>0</v>
      </c>
      <c r="AJ13" s="31">
        <f>VLOOKUP($A13,'Stock Transfer'!$A$3:$AE$32,16+AI$1,0)</f>
        <v>2</v>
      </c>
      <c r="AK13" s="31">
        <f t="shared" si="16"/>
        <v>18</v>
      </c>
      <c r="AL13" s="31">
        <f t="shared" si="17"/>
        <v>18</v>
      </c>
      <c r="AM13" s="31">
        <f>VLOOKUP($A13,'Madras Sales'!$A$4:$P$35,AM$1+1,0)</f>
        <v>2</v>
      </c>
      <c r="AN13" s="31">
        <f>VLOOKUP($A13,'Stock Transfer'!$A$3:$AE$32,16+AM$1,0)</f>
        <v>2</v>
      </c>
      <c r="AO13" s="31">
        <f t="shared" si="18"/>
        <v>18</v>
      </c>
    </row>
    <row r="14" spans="1:41" x14ac:dyDescent="0.3">
      <c r="A14" s="17" t="s">
        <v>67</v>
      </c>
      <c r="B14" s="31">
        <f>VLOOKUP($A14,'Open STK'!$A$1:$E$31,4,0)</f>
        <v>63</v>
      </c>
      <c r="C14" s="31">
        <f>VLOOKUP($A14,'Madras Sales'!$A$4:$P$35,C$1+1,0)</f>
        <v>20</v>
      </c>
      <c r="D14" s="31">
        <f>VLOOKUP($A14,'Stock Transfer'!$A$3:$AE$32,16+C$1,0)</f>
        <v>22</v>
      </c>
      <c r="E14" s="31">
        <f t="shared" si="0"/>
        <v>65</v>
      </c>
      <c r="F14" s="31">
        <f t="shared" si="1"/>
        <v>65</v>
      </c>
      <c r="G14" s="31">
        <f>VLOOKUP($A14,'Madras Sales'!$A$4:$P$35,G$1+1,0)</f>
        <v>18</v>
      </c>
      <c r="H14" s="31">
        <f>VLOOKUP($A14,'Stock Transfer'!$A$3:$AE$32,16+G$1,0)</f>
        <v>13</v>
      </c>
      <c r="I14" s="31">
        <f t="shared" si="2"/>
        <v>60</v>
      </c>
      <c r="J14" s="31">
        <f t="shared" si="3"/>
        <v>60</v>
      </c>
      <c r="K14" s="31">
        <f>VLOOKUP($A14,'Madras Sales'!$A$4:$P$35,K$1+1,0)</f>
        <v>17</v>
      </c>
      <c r="L14" s="31">
        <f>VLOOKUP($A14,'Stock Transfer'!$A$3:$AE$32,16+K$1,0)</f>
        <v>13</v>
      </c>
      <c r="M14" s="31">
        <f t="shared" si="4"/>
        <v>56</v>
      </c>
      <c r="N14" s="31">
        <f t="shared" si="5"/>
        <v>56</v>
      </c>
      <c r="O14" s="31">
        <f>VLOOKUP($A14,'Madras Sales'!$A$4:$P$35,O$1+1,0)</f>
        <v>18</v>
      </c>
      <c r="P14" s="31">
        <f>VLOOKUP($A14,'Stock Transfer'!$A$3:$AE$32,16+O$1,0)</f>
        <v>21</v>
      </c>
      <c r="Q14" s="31">
        <f t="shared" si="6"/>
        <v>59</v>
      </c>
      <c r="R14" s="31">
        <f t="shared" si="7"/>
        <v>59</v>
      </c>
      <c r="S14" s="31">
        <f>VLOOKUP($A14,'Madras Sales'!$A$4:$P$35,S$1+1,0)</f>
        <v>18</v>
      </c>
      <c r="T14" s="31">
        <f>VLOOKUP($A14,'Stock Transfer'!$A$3:$AE$32,16+S$1,0)</f>
        <v>21</v>
      </c>
      <c r="U14" s="31">
        <f t="shared" si="8"/>
        <v>62</v>
      </c>
      <c r="V14" s="31">
        <f t="shared" si="9"/>
        <v>62</v>
      </c>
      <c r="W14" s="31">
        <f>VLOOKUP($A14,'Madras Sales'!$A$4:$P$35,W$1+1,0)</f>
        <v>20</v>
      </c>
      <c r="X14" s="31">
        <f>VLOOKUP($A14,'Stock Transfer'!$A$3:$AE$32,16+W$1,0)</f>
        <v>21</v>
      </c>
      <c r="Y14" s="31">
        <f t="shared" si="10"/>
        <v>63</v>
      </c>
      <c r="Z14" s="31">
        <f t="shared" si="11"/>
        <v>63</v>
      </c>
      <c r="AA14" s="31">
        <f>VLOOKUP($A14,'Madras Sales'!$A$4:$P$35,AA$1+1,0)</f>
        <v>25</v>
      </c>
      <c r="AB14" s="31">
        <f>VLOOKUP($A14,'Stock Transfer'!$A$3:$AE$32,16+AA$1,0)</f>
        <v>14</v>
      </c>
      <c r="AC14" s="31">
        <f t="shared" si="12"/>
        <v>52</v>
      </c>
      <c r="AD14" s="31">
        <f t="shared" si="13"/>
        <v>52</v>
      </c>
      <c r="AE14" s="31">
        <f>VLOOKUP($A14,'Madras Sales'!$A$4:$P$35,AE$1+1,0)</f>
        <v>22</v>
      </c>
      <c r="AF14" s="31">
        <f>VLOOKUP($A14,'Stock Transfer'!$A$3:$AE$32,16+AE$1,0)</f>
        <v>13</v>
      </c>
      <c r="AG14" s="31">
        <f t="shared" si="14"/>
        <v>43</v>
      </c>
      <c r="AH14" s="31">
        <f t="shared" si="15"/>
        <v>43</v>
      </c>
      <c r="AI14" s="31">
        <f>VLOOKUP($A14,'Madras Sales'!$A$4:$P$35,AI$1+1,0)</f>
        <v>19</v>
      </c>
      <c r="AJ14" s="31">
        <f>VLOOKUP($A14,'Stock Transfer'!$A$3:$AE$32,16+AI$1,0)</f>
        <v>22</v>
      </c>
      <c r="AK14" s="31">
        <f t="shared" si="16"/>
        <v>46</v>
      </c>
      <c r="AL14" s="31">
        <f t="shared" si="17"/>
        <v>46</v>
      </c>
      <c r="AM14" s="31">
        <f>VLOOKUP($A14,'Madras Sales'!$A$4:$P$35,AM$1+1,0)</f>
        <v>24</v>
      </c>
      <c r="AN14" s="31">
        <f>VLOOKUP($A14,'Stock Transfer'!$A$3:$AE$32,16+AM$1,0)</f>
        <v>17</v>
      </c>
      <c r="AO14" s="31">
        <f t="shared" si="18"/>
        <v>39</v>
      </c>
    </row>
    <row r="15" spans="1:41" x14ac:dyDescent="0.3">
      <c r="A15" s="17" t="s">
        <v>70</v>
      </c>
      <c r="B15" s="31">
        <f>VLOOKUP($A15,'Open STK'!$A$1:$E$31,4,0)</f>
        <v>49</v>
      </c>
      <c r="C15" s="31">
        <f>VLOOKUP($A15,'Madras Sales'!$A$4:$P$35,C$1+1,0)</f>
        <v>8</v>
      </c>
      <c r="D15" s="31">
        <f>VLOOKUP($A15,'Stock Transfer'!$A$3:$AE$32,16+C$1,0)</f>
        <v>12</v>
      </c>
      <c r="E15" s="31">
        <f t="shared" si="0"/>
        <v>53</v>
      </c>
      <c r="F15" s="31">
        <f t="shared" si="1"/>
        <v>53</v>
      </c>
      <c r="G15" s="31">
        <f>VLOOKUP($A15,'Madras Sales'!$A$4:$P$35,G$1+1,0)</f>
        <v>10</v>
      </c>
      <c r="H15" s="31">
        <f>VLOOKUP($A15,'Stock Transfer'!$A$3:$AE$32,16+G$1,0)</f>
        <v>11</v>
      </c>
      <c r="I15" s="31">
        <f t="shared" si="2"/>
        <v>54</v>
      </c>
      <c r="J15" s="31">
        <f t="shared" si="3"/>
        <v>54</v>
      </c>
      <c r="K15" s="31">
        <f>VLOOKUP($A15,'Madras Sales'!$A$4:$P$35,K$1+1,0)</f>
        <v>11</v>
      </c>
      <c r="L15" s="31">
        <f>VLOOKUP($A15,'Stock Transfer'!$A$3:$AE$32,16+K$1,0)</f>
        <v>7</v>
      </c>
      <c r="M15" s="31">
        <f t="shared" si="4"/>
        <v>50</v>
      </c>
      <c r="N15" s="31">
        <f t="shared" si="5"/>
        <v>50</v>
      </c>
      <c r="O15" s="31">
        <f>VLOOKUP($A15,'Madras Sales'!$A$4:$P$35,O$1+1,0)</f>
        <v>9</v>
      </c>
      <c r="P15" s="31">
        <f>VLOOKUP($A15,'Stock Transfer'!$A$3:$AE$32,16+O$1,0)</f>
        <v>9</v>
      </c>
      <c r="Q15" s="31">
        <f t="shared" si="6"/>
        <v>50</v>
      </c>
      <c r="R15" s="31">
        <f t="shared" si="7"/>
        <v>50</v>
      </c>
      <c r="S15" s="31">
        <f>VLOOKUP($A15,'Madras Sales'!$A$4:$P$35,S$1+1,0)</f>
        <v>14</v>
      </c>
      <c r="T15" s="31">
        <f>VLOOKUP($A15,'Stock Transfer'!$A$3:$AE$32,16+S$1,0)</f>
        <v>11</v>
      </c>
      <c r="U15" s="31">
        <f t="shared" si="8"/>
        <v>47</v>
      </c>
      <c r="V15" s="31">
        <f t="shared" si="9"/>
        <v>47</v>
      </c>
      <c r="W15" s="31">
        <f>VLOOKUP($A15,'Madras Sales'!$A$4:$P$35,W$1+1,0)</f>
        <v>10</v>
      </c>
      <c r="X15" s="31">
        <f>VLOOKUP($A15,'Stock Transfer'!$A$3:$AE$32,16+W$1,0)</f>
        <v>10</v>
      </c>
      <c r="Y15" s="31">
        <f t="shared" si="10"/>
        <v>47</v>
      </c>
      <c r="Z15" s="31">
        <f t="shared" si="11"/>
        <v>47</v>
      </c>
      <c r="AA15" s="31">
        <f>VLOOKUP($A15,'Madras Sales'!$A$4:$P$35,AA$1+1,0)</f>
        <v>10</v>
      </c>
      <c r="AB15" s="31">
        <f>VLOOKUP($A15,'Stock Transfer'!$A$3:$AE$32,16+AA$1,0)</f>
        <v>9</v>
      </c>
      <c r="AC15" s="31">
        <f t="shared" si="12"/>
        <v>46</v>
      </c>
      <c r="AD15" s="31">
        <f t="shared" si="13"/>
        <v>46</v>
      </c>
      <c r="AE15" s="31">
        <f>VLOOKUP($A15,'Madras Sales'!$A$4:$P$35,AE$1+1,0)</f>
        <v>10</v>
      </c>
      <c r="AF15" s="31">
        <f>VLOOKUP($A15,'Stock Transfer'!$A$3:$AE$32,16+AE$1,0)</f>
        <v>12</v>
      </c>
      <c r="AG15" s="31">
        <f t="shared" si="14"/>
        <v>48</v>
      </c>
      <c r="AH15" s="31">
        <f t="shared" si="15"/>
        <v>48</v>
      </c>
      <c r="AI15" s="31">
        <f>VLOOKUP($A15,'Madras Sales'!$A$4:$P$35,AI$1+1,0)</f>
        <v>8</v>
      </c>
      <c r="AJ15" s="31">
        <f>VLOOKUP($A15,'Stock Transfer'!$A$3:$AE$32,16+AI$1,0)</f>
        <v>6</v>
      </c>
      <c r="AK15" s="31">
        <f t="shared" si="16"/>
        <v>46</v>
      </c>
      <c r="AL15" s="31">
        <f t="shared" si="17"/>
        <v>46</v>
      </c>
      <c r="AM15" s="31">
        <f>VLOOKUP($A15,'Madras Sales'!$A$4:$P$35,AM$1+1,0)</f>
        <v>11</v>
      </c>
      <c r="AN15" s="31">
        <f>VLOOKUP($A15,'Stock Transfer'!$A$3:$AE$32,16+AM$1,0)</f>
        <v>8</v>
      </c>
      <c r="AO15" s="31">
        <f t="shared" si="18"/>
        <v>43</v>
      </c>
    </row>
    <row r="16" spans="1:41" x14ac:dyDescent="0.3">
      <c r="A16" s="17" t="s">
        <v>73</v>
      </c>
      <c r="B16" s="31">
        <f>VLOOKUP($A16,'Open STK'!$A$1:$E$31,4,0)</f>
        <v>23</v>
      </c>
      <c r="C16" s="31">
        <f>VLOOKUP($A16,'Madras Sales'!$A$4:$P$35,C$1+1,0)</f>
        <v>8</v>
      </c>
      <c r="D16" s="31">
        <f>VLOOKUP($A16,'Stock Transfer'!$A$3:$AE$32,16+C$1,0)</f>
        <v>9</v>
      </c>
      <c r="E16" s="31">
        <f t="shared" si="0"/>
        <v>24</v>
      </c>
      <c r="F16" s="31">
        <f t="shared" si="1"/>
        <v>24</v>
      </c>
      <c r="G16" s="31">
        <f>VLOOKUP($A16,'Madras Sales'!$A$4:$P$35,G$1+1,0)</f>
        <v>7</v>
      </c>
      <c r="H16" s="31">
        <f>VLOOKUP($A16,'Stock Transfer'!$A$3:$AE$32,16+G$1,0)</f>
        <v>8</v>
      </c>
      <c r="I16" s="31">
        <f t="shared" si="2"/>
        <v>25</v>
      </c>
      <c r="J16" s="31">
        <f t="shared" si="3"/>
        <v>25</v>
      </c>
      <c r="K16" s="31">
        <f>VLOOKUP($A16,'Madras Sales'!$A$4:$P$35,K$1+1,0)</f>
        <v>7</v>
      </c>
      <c r="L16" s="31">
        <f>VLOOKUP($A16,'Stock Transfer'!$A$3:$AE$32,16+K$1,0)</f>
        <v>5</v>
      </c>
      <c r="M16" s="31">
        <f t="shared" si="4"/>
        <v>23</v>
      </c>
      <c r="N16" s="31">
        <f t="shared" si="5"/>
        <v>23</v>
      </c>
      <c r="O16" s="31">
        <f>VLOOKUP($A16,'Madras Sales'!$A$4:$P$35,O$1+1,0)</f>
        <v>9</v>
      </c>
      <c r="P16" s="31">
        <f>VLOOKUP($A16,'Stock Transfer'!$A$3:$AE$32,16+O$1,0)</f>
        <v>6</v>
      </c>
      <c r="Q16" s="31">
        <f t="shared" si="6"/>
        <v>20</v>
      </c>
      <c r="R16" s="31">
        <f t="shared" si="7"/>
        <v>20</v>
      </c>
      <c r="S16" s="31">
        <f>VLOOKUP($A16,'Madras Sales'!$A$4:$P$35,S$1+1,0)</f>
        <v>7</v>
      </c>
      <c r="T16" s="31">
        <f>VLOOKUP($A16,'Stock Transfer'!$A$3:$AE$32,16+S$1,0)</f>
        <v>5</v>
      </c>
      <c r="U16" s="31">
        <f t="shared" si="8"/>
        <v>18</v>
      </c>
      <c r="V16" s="31">
        <f t="shared" si="9"/>
        <v>18</v>
      </c>
      <c r="W16" s="31">
        <f>VLOOKUP($A16,'Madras Sales'!$A$4:$P$35,W$1+1,0)</f>
        <v>7</v>
      </c>
      <c r="X16" s="31">
        <f>VLOOKUP($A16,'Stock Transfer'!$A$3:$AE$32,16+W$1,0)</f>
        <v>5</v>
      </c>
      <c r="Y16" s="31">
        <f t="shared" si="10"/>
        <v>16</v>
      </c>
      <c r="Z16" s="31">
        <f t="shared" si="11"/>
        <v>16</v>
      </c>
      <c r="AA16" s="31">
        <f>VLOOKUP($A16,'Madras Sales'!$A$4:$P$35,AA$1+1,0)</f>
        <v>6</v>
      </c>
      <c r="AB16" s="31">
        <f>VLOOKUP($A16,'Stock Transfer'!$A$3:$AE$32,16+AA$1,0)</f>
        <v>8</v>
      </c>
      <c r="AC16" s="31">
        <f t="shared" si="12"/>
        <v>18</v>
      </c>
      <c r="AD16" s="31">
        <f t="shared" si="13"/>
        <v>18</v>
      </c>
      <c r="AE16" s="31">
        <f>VLOOKUP($A16,'Madras Sales'!$A$4:$P$35,AE$1+1,0)</f>
        <v>9</v>
      </c>
      <c r="AF16" s="31">
        <f>VLOOKUP($A16,'Stock Transfer'!$A$3:$AE$32,16+AE$1,0)</f>
        <v>7</v>
      </c>
      <c r="AG16" s="31">
        <f t="shared" si="14"/>
        <v>16</v>
      </c>
      <c r="AH16" s="31">
        <f t="shared" si="15"/>
        <v>16</v>
      </c>
      <c r="AI16" s="31">
        <f>VLOOKUP($A16,'Madras Sales'!$A$4:$P$35,AI$1+1,0)</f>
        <v>7</v>
      </c>
      <c r="AJ16" s="31">
        <f>VLOOKUP($A16,'Stock Transfer'!$A$3:$AE$32,16+AI$1,0)</f>
        <v>7</v>
      </c>
      <c r="AK16" s="31">
        <f t="shared" si="16"/>
        <v>16</v>
      </c>
      <c r="AL16" s="31">
        <f t="shared" si="17"/>
        <v>16</v>
      </c>
      <c r="AM16" s="31">
        <f>VLOOKUP($A16,'Madras Sales'!$A$4:$P$35,AM$1+1,0)</f>
        <v>7</v>
      </c>
      <c r="AN16" s="31">
        <f>VLOOKUP($A16,'Stock Transfer'!$A$3:$AE$32,16+AM$1,0)</f>
        <v>5</v>
      </c>
      <c r="AO16" s="31">
        <f t="shared" si="18"/>
        <v>14</v>
      </c>
    </row>
    <row r="17" spans="1:41" x14ac:dyDescent="0.3">
      <c r="A17" s="17" t="s">
        <v>76</v>
      </c>
      <c r="B17" s="31">
        <f>VLOOKUP($A17,'Open STK'!$A$1:$E$31,4,0)</f>
        <v>23</v>
      </c>
      <c r="C17" s="31">
        <f>VLOOKUP($A17,'Madras Sales'!$A$4:$P$35,C$1+1,0)</f>
        <v>4</v>
      </c>
      <c r="D17" s="31">
        <f>VLOOKUP($A17,'Stock Transfer'!$A$3:$AE$32,16+C$1,0)</f>
        <v>4</v>
      </c>
      <c r="E17" s="31">
        <f t="shared" si="0"/>
        <v>23</v>
      </c>
      <c r="F17" s="31">
        <f t="shared" si="1"/>
        <v>23</v>
      </c>
      <c r="G17" s="31">
        <f>VLOOKUP($A17,'Madras Sales'!$A$4:$P$35,G$1+1,0)</f>
        <v>4</v>
      </c>
      <c r="H17" s="31">
        <f>VLOOKUP($A17,'Stock Transfer'!$A$3:$AE$32,16+G$1,0)</f>
        <v>6</v>
      </c>
      <c r="I17" s="31">
        <f t="shared" si="2"/>
        <v>25</v>
      </c>
      <c r="J17" s="31">
        <f t="shared" si="3"/>
        <v>25</v>
      </c>
      <c r="K17" s="31">
        <f>VLOOKUP($A17,'Madras Sales'!$A$4:$P$35,K$1+1,0)</f>
        <v>6</v>
      </c>
      <c r="L17" s="31">
        <f>VLOOKUP($A17,'Stock Transfer'!$A$3:$AE$32,16+K$1,0)</f>
        <v>7</v>
      </c>
      <c r="M17" s="31">
        <f t="shared" si="4"/>
        <v>26</v>
      </c>
      <c r="N17" s="31">
        <f t="shared" si="5"/>
        <v>26</v>
      </c>
      <c r="O17" s="31">
        <f>VLOOKUP($A17,'Madras Sales'!$A$4:$P$35,O$1+1,0)</f>
        <v>6</v>
      </c>
      <c r="P17" s="31">
        <f>VLOOKUP($A17,'Stock Transfer'!$A$3:$AE$32,16+O$1,0)</f>
        <v>7</v>
      </c>
      <c r="Q17" s="31">
        <f t="shared" si="6"/>
        <v>27</v>
      </c>
      <c r="R17" s="31">
        <f t="shared" si="7"/>
        <v>27</v>
      </c>
      <c r="S17" s="31">
        <f>VLOOKUP($A17,'Madras Sales'!$A$4:$P$35,S$1+1,0)</f>
        <v>5</v>
      </c>
      <c r="T17" s="31">
        <f>VLOOKUP($A17,'Stock Transfer'!$A$3:$AE$32,16+S$1,0)</f>
        <v>5</v>
      </c>
      <c r="U17" s="31">
        <f t="shared" si="8"/>
        <v>27</v>
      </c>
      <c r="V17" s="31">
        <f t="shared" si="9"/>
        <v>27</v>
      </c>
      <c r="W17" s="31">
        <f>VLOOKUP($A17,'Madras Sales'!$A$4:$P$35,W$1+1,0)</f>
        <v>6</v>
      </c>
      <c r="X17" s="31">
        <f>VLOOKUP($A17,'Stock Transfer'!$A$3:$AE$32,16+W$1,0)</f>
        <v>4</v>
      </c>
      <c r="Y17" s="31">
        <f t="shared" si="10"/>
        <v>25</v>
      </c>
      <c r="Z17" s="31">
        <f t="shared" si="11"/>
        <v>25</v>
      </c>
      <c r="AA17" s="31">
        <f>VLOOKUP($A17,'Madras Sales'!$A$4:$P$35,AA$1+1,0)</f>
        <v>7</v>
      </c>
      <c r="AB17" s="31">
        <f>VLOOKUP($A17,'Stock Transfer'!$A$3:$AE$32,16+AA$1,0)</f>
        <v>7</v>
      </c>
      <c r="AC17" s="31">
        <f t="shared" si="12"/>
        <v>25</v>
      </c>
      <c r="AD17" s="31">
        <f t="shared" si="13"/>
        <v>25</v>
      </c>
      <c r="AE17" s="31">
        <f>VLOOKUP($A17,'Madras Sales'!$A$4:$P$35,AE$1+1,0)</f>
        <v>6</v>
      </c>
      <c r="AF17" s="31">
        <f>VLOOKUP($A17,'Stock Transfer'!$A$3:$AE$32,16+AE$1,0)</f>
        <v>5</v>
      </c>
      <c r="AG17" s="31">
        <f t="shared" si="14"/>
        <v>24</v>
      </c>
      <c r="AH17" s="31">
        <f t="shared" si="15"/>
        <v>24</v>
      </c>
      <c r="AI17" s="31">
        <f>VLOOKUP($A17,'Madras Sales'!$A$4:$P$35,AI$1+1,0)</f>
        <v>6</v>
      </c>
      <c r="AJ17" s="31">
        <f>VLOOKUP($A17,'Stock Transfer'!$A$3:$AE$32,16+AI$1,0)</f>
        <v>6</v>
      </c>
      <c r="AK17" s="31">
        <f t="shared" si="16"/>
        <v>24</v>
      </c>
      <c r="AL17" s="31">
        <f t="shared" si="17"/>
        <v>24</v>
      </c>
      <c r="AM17" s="31">
        <f>VLOOKUP($A17,'Madras Sales'!$A$4:$P$35,AM$1+1,0)</f>
        <v>5</v>
      </c>
      <c r="AN17" s="31">
        <f>VLOOKUP($A17,'Stock Transfer'!$A$3:$AE$32,16+AM$1,0)</f>
        <v>6</v>
      </c>
      <c r="AO17" s="31">
        <f t="shared" si="18"/>
        <v>25</v>
      </c>
    </row>
    <row r="18" spans="1:41" x14ac:dyDescent="0.3">
      <c r="A18" s="17" t="s">
        <v>78</v>
      </c>
      <c r="B18" s="31">
        <f>VLOOKUP($A18,'Open STK'!$A$1:$E$31,4,0)</f>
        <v>13</v>
      </c>
      <c r="C18" s="31">
        <f>VLOOKUP($A18,'Madras Sales'!$A$4:$P$35,C$1+1,0)</f>
        <v>3</v>
      </c>
      <c r="D18" s="31">
        <f>VLOOKUP($A18,'Stock Transfer'!$A$3:$AE$32,16+C$1,0)</f>
        <v>4</v>
      </c>
      <c r="E18" s="31">
        <f t="shared" si="0"/>
        <v>14</v>
      </c>
      <c r="F18" s="31">
        <f t="shared" si="1"/>
        <v>14</v>
      </c>
      <c r="G18" s="31">
        <f>VLOOKUP($A18,'Madras Sales'!$A$4:$P$35,G$1+1,0)</f>
        <v>1</v>
      </c>
      <c r="H18" s="31">
        <f>VLOOKUP($A18,'Stock Transfer'!$A$3:$AE$32,16+G$1,0)</f>
        <v>4</v>
      </c>
      <c r="I18" s="31">
        <f t="shared" si="2"/>
        <v>17</v>
      </c>
      <c r="J18" s="31">
        <f t="shared" si="3"/>
        <v>17</v>
      </c>
      <c r="K18" s="31">
        <f>VLOOKUP($A18,'Madras Sales'!$A$4:$P$35,K$1+1,0)</f>
        <v>4</v>
      </c>
      <c r="L18" s="31">
        <f>VLOOKUP($A18,'Stock Transfer'!$A$3:$AE$32,16+K$1,0)</f>
        <v>4</v>
      </c>
      <c r="M18" s="31">
        <f t="shared" si="4"/>
        <v>17</v>
      </c>
      <c r="N18" s="31">
        <f t="shared" si="5"/>
        <v>17</v>
      </c>
      <c r="O18" s="31">
        <f>VLOOKUP($A18,'Madras Sales'!$A$4:$P$35,O$1+1,0)</f>
        <v>2</v>
      </c>
      <c r="P18" s="31">
        <f>VLOOKUP($A18,'Stock Transfer'!$A$3:$AE$32,16+O$1,0)</f>
        <v>5</v>
      </c>
      <c r="Q18" s="31">
        <f t="shared" si="6"/>
        <v>20</v>
      </c>
      <c r="R18" s="31">
        <f t="shared" si="7"/>
        <v>20</v>
      </c>
      <c r="S18" s="31">
        <f>VLOOKUP($A18,'Madras Sales'!$A$4:$P$35,S$1+1,0)</f>
        <v>3</v>
      </c>
      <c r="T18" s="31">
        <f>VLOOKUP($A18,'Stock Transfer'!$A$3:$AE$32,16+S$1,0)</f>
        <v>4</v>
      </c>
      <c r="U18" s="31">
        <f t="shared" si="8"/>
        <v>21</v>
      </c>
      <c r="V18" s="31">
        <f t="shared" si="9"/>
        <v>21</v>
      </c>
      <c r="W18" s="31">
        <f>VLOOKUP($A18,'Madras Sales'!$A$4:$P$35,W$1+1,0)</f>
        <v>2</v>
      </c>
      <c r="X18" s="31">
        <f>VLOOKUP($A18,'Stock Transfer'!$A$3:$AE$32,16+W$1,0)</f>
        <v>4</v>
      </c>
      <c r="Y18" s="31">
        <f t="shared" si="10"/>
        <v>23</v>
      </c>
      <c r="Z18" s="31">
        <f t="shared" si="11"/>
        <v>23</v>
      </c>
      <c r="AA18" s="31">
        <f>VLOOKUP($A18,'Madras Sales'!$A$4:$P$35,AA$1+1,0)</f>
        <v>5</v>
      </c>
      <c r="AB18" s="31">
        <f>VLOOKUP($A18,'Stock Transfer'!$A$3:$AE$32,16+AA$1,0)</f>
        <v>4</v>
      </c>
      <c r="AC18" s="31">
        <f t="shared" si="12"/>
        <v>22</v>
      </c>
      <c r="AD18" s="31">
        <f t="shared" si="13"/>
        <v>22</v>
      </c>
      <c r="AE18" s="31">
        <f>VLOOKUP($A18,'Madras Sales'!$A$4:$P$35,AE$1+1,0)</f>
        <v>1</v>
      </c>
      <c r="AF18" s="31">
        <f>VLOOKUP($A18,'Stock Transfer'!$A$3:$AE$32,16+AE$1,0)</f>
        <v>3</v>
      </c>
      <c r="AG18" s="31">
        <f t="shared" si="14"/>
        <v>24</v>
      </c>
      <c r="AH18" s="31">
        <f t="shared" si="15"/>
        <v>24</v>
      </c>
      <c r="AI18" s="31">
        <f>VLOOKUP($A18,'Madras Sales'!$A$4:$P$35,AI$1+1,0)</f>
        <v>4</v>
      </c>
      <c r="AJ18" s="31">
        <f>VLOOKUP($A18,'Stock Transfer'!$A$3:$AE$32,16+AI$1,0)</f>
        <v>4</v>
      </c>
      <c r="AK18" s="31">
        <f t="shared" si="16"/>
        <v>24</v>
      </c>
      <c r="AL18" s="31">
        <f t="shared" si="17"/>
        <v>24</v>
      </c>
      <c r="AM18" s="31">
        <f>VLOOKUP($A18,'Madras Sales'!$A$4:$P$35,AM$1+1,0)</f>
        <v>5</v>
      </c>
      <c r="AN18" s="31">
        <f>VLOOKUP($A18,'Stock Transfer'!$A$3:$AE$32,16+AM$1,0)</f>
        <v>4</v>
      </c>
      <c r="AO18" s="31">
        <f t="shared" si="18"/>
        <v>23</v>
      </c>
    </row>
    <row r="19" spans="1:41" x14ac:dyDescent="0.3">
      <c r="A19" s="17" t="s">
        <v>81</v>
      </c>
      <c r="B19" s="31">
        <f>VLOOKUP($A19,'Open STK'!$A$1:$E$31,4,0)</f>
        <v>6</v>
      </c>
      <c r="C19" s="31">
        <f>VLOOKUP($A19,'Madras Sales'!$A$4:$P$35,C$1+1,0)</f>
        <v>0</v>
      </c>
      <c r="D19" s="31">
        <f>VLOOKUP($A19,'Stock Transfer'!$A$3:$AE$32,16+C$1,0)</f>
        <v>2</v>
      </c>
      <c r="E19" s="31">
        <f t="shared" si="0"/>
        <v>8</v>
      </c>
      <c r="F19" s="31">
        <f t="shared" si="1"/>
        <v>8</v>
      </c>
      <c r="G19" s="31">
        <f>VLOOKUP($A19,'Madras Sales'!$A$4:$P$35,G$1+1,0)</f>
        <v>0</v>
      </c>
      <c r="H19" s="31">
        <f>VLOOKUP($A19,'Stock Transfer'!$A$3:$AE$32,16+G$1,0)</f>
        <v>2</v>
      </c>
      <c r="I19" s="31">
        <f t="shared" si="2"/>
        <v>10</v>
      </c>
      <c r="J19" s="31">
        <f t="shared" si="3"/>
        <v>10</v>
      </c>
      <c r="K19" s="31">
        <f>VLOOKUP($A19,'Madras Sales'!$A$4:$P$35,K$1+1,0)</f>
        <v>1</v>
      </c>
      <c r="L19" s="31">
        <f>VLOOKUP($A19,'Stock Transfer'!$A$3:$AE$32,16+K$1,0)</f>
        <v>2</v>
      </c>
      <c r="M19" s="31">
        <f t="shared" si="4"/>
        <v>11</v>
      </c>
      <c r="N19" s="31">
        <f t="shared" si="5"/>
        <v>11</v>
      </c>
      <c r="O19" s="31">
        <f>VLOOKUP($A19,'Madras Sales'!$A$4:$P$35,O$1+1,0)</f>
        <v>1</v>
      </c>
      <c r="P19" s="31">
        <f>VLOOKUP($A19,'Stock Transfer'!$A$3:$AE$32,16+O$1,0)</f>
        <v>2</v>
      </c>
      <c r="Q19" s="31">
        <f t="shared" si="6"/>
        <v>12</v>
      </c>
      <c r="R19" s="31">
        <f t="shared" si="7"/>
        <v>12</v>
      </c>
      <c r="S19" s="31">
        <f>VLOOKUP($A19,'Madras Sales'!$A$4:$P$35,S$1+1,0)</f>
        <v>0</v>
      </c>
      <c r="T19" s="31">
        <f>VLOOKUP($A19,'Stock Transfer'!$A$3:$AE$32,16+S$1,0)</f>
        <v>2</v>
      </c>
      <c r="U19" s="31">
        <f t="shared" si="8"/>
        <v>14</v>
      </c>
      <c r="V19" s="31">
        <f t="shared" si="9"/>
        <v>14</v>
      </c>
      <c r="W19" s="31">
        <f>VLOOKUP($A19,'Madras Sales'!$A$4:$P$35,W$1+1,0)</f>
        <v>1</v>
      </c>
      <c r="X19" s="31">
        <f>VLOOKUP($A19,'Stock Transfer'!$A$3:$AE$32,16+W$1,0)</f>
        <v>2</v>
      </c>
      <c r="Y19" s="31">
        <f t="shared" si="10"/>
        <v>15</v>
      </c>
      <c r="Z19" s="31">
        <f t="shared" si="11"/>
        <v>15</v>
      </c>
      <c r="AA19" s="31">
        <f>VLOOKUP($A19,'Madras Sales'!$A$4:$P$35,AA$1+1,0)</f>
        <v>2</v>
      </c>
      <c r="AB19" s="31">
        <f>VLOOKUP($A19,'Stock Transfer'!$A$3:$AE$32,16+AA$1,0)</f>
        <v>2</v>
      </c>
      <c r="AC19" s="31">
        <f t="shared" si="12"/>
        <v>15</v>
      </c>
      <c r="AD19" s="31">
        <f t="shared" si="13"/>
        <v>15</v>
      </c>
      <c r="AE19" s="31">
        <f>VLOOKUP($A19,'Madras Sales'!$A$4:$P$35,AE$1+1,0)</f>
        <v>1</v>
      </c>
      <c r="AF19" s="31">
        <f>VLOOKUP($A19,'Stock Transfer'!$A$3:$AE$32,16+AE$1,0)</f>
        <v>3</v>
      </c>
      <c r="AG19" s="31">
        <f t="shared" si="14"/>
        <v>17</v>
      </c>
      <c r="AH19" s="31">
        <f t="shared" si="15"/>
        <v>17</v>
      </c>
      <c r="AI19" s="31">
        <f>VLOOKUP($A19,'Madras Sales'!$A$4:$P$35,AI$1+1,0)</f>
        <v>0</v>
      </c>
      <c r="AJ19" s="31">
        <f>VLOOKUP($A19,'Stock Transfer'!$A$3:$AE$32,16+AI$1,0)</f>
        <v>3</v>
      </c>
      <c r="AK19" s="31">
        <f t="shared" si="16"/>
        <v>20</v>
      </c>
      <c r="AL19" s="31">
        <f t="shared" si="17"/>
        <v>20</v>
      </c>
      <c r="AM19" s="31">
        <f>VLOOKUP($A19,'Madras Sales'!$A$4:$P$35,AM$1+1,0)</f>
        <v>0</v>
      </c>
      <c r="AN19" s="31">
        <f>VLOOKUP($A19,'Stock Transfer'!$A$3:$AE$32,16+AM$1,0)</f>
        <v>3</v>
      </c>
      <c r="AO19" s="31">
        <f t="shared" si="18"/>
        <v>23</v>
      </c>
    </row>
    <row r="20" spans="1:41" x14ac:dyDescent="0.3">
      <c r="A20" s="17" t="s">
        <v>84</v>
      </c>
      <c r="B20" s="31">
        <f>VLOOKUP($A20,'Open STK'!$A$1:$E$31,4,0)</f>
        <v>3</v>
      </c>
      <c r="C20" s="31">
        <f>VLOOKUP($A20,'Madras Sales'!$A$4:$P$35,C$1+1,0)</f>
        <v>0</v>
      </c>
      <c r="D20" s="31">
        <f>VLOOKUP($A20,'Stock Transfer'!$A$3:$AE$32,16+C$1,0)</f>
        <v>2</v>
      </c>
      <c r="E20" s="31">
        <f t="shared" si="0"/>
        <v>5</v>
      </c>
      <c r="F20" s="31">
        <f t="shared" si="1"/>
        <v>5</v>
      </c>
      <c r="G20" s="31">
        <f>VLOOKUP($A20,'Madras Sales'!$A$4:$P$35,G$1+1,0)</f>
        <v>1</v>
      </c>
      <c r="H20" s="31">
        <f>VLOOKUP($A20,'Stock Transfer'!$A$3:$AE$32,16+G$1,0)</f>
        <v>2</v>
      </c>
      <c r="I20" s="31">
        <f t="shared" si="2"/>
        <v>6</v>
      </c>
      <c r="J20" s="31">
        <f t="shared" si="3"/>
        <v>6</v>
      </c>
      <c r="K20" s="31">
        <f>VLOOKUP($A20,'Madras Sales'!$A$4:$P$35,K$1+1,0)</f>
        <v>0</v>
      </c>
      <c r="L20" s="31">
        <f>VLOOKUP($A20,'Stock Transfer'!$A$3:$AE$32,16+K$1,0)</f>
        <v>2</v>
      </c>
      <c r="M20" s="31">
        <f t="shared" si="4"/>
        <v>8</v>
      </c>
      <c r="N20" s="31">
        <f t="shared" si="5"/>
        <v>8</v>
      </c>
      <c r="O20" s="31">
        <f>VLOOKUP($A20,'Madras Sales'!$A$4:$P$35,O$1+1,0)</f>
        <v>2</v>
      </c>
      <c r="P20" s="31">
        <f>VLOOKUP($A20,'Stock Transfer'!$A$3:$AE$32,16+O$1,0)</f>
        <v>2</v>
      </c>
      <c r="Q20" s="31">
        <f t="shared" si="6"/>
        <v>8</v>
      </c>
      <c r="R20" s="31">
        <f t="shared" si="7"/>
        <v>8</v>
      </c>
      <c r="S20" s="31">
        <f>VLOOKUP($A20,'Madras Sales'!$A$4:$P$35,S$1+1,0)</f>
        <v>0</v>
      </c>
      <c r="T20" s="31">
        <f>VLOOKUP($A20,'Stock Transfer'!$A$3:$AE$32,16+S$1,0)</f>
        <v>2</v>
      </c>
      <c r="U20" s="31">
        <f t="shared" si="8"/>
        <v>10</v>
      </c>
      <c r="V20" s="31">
        <f t="shared" si="9"/>
        <v>10</v>
      </c>
      <c r="W20" s="31">
        <f>VLOOKUP($A20,'Madras Sales'!$A$4:$P$35,W$1+1,0)</f>
        <v>0</v>
      </c>
      <c r="X20" s="31">
        <f>VLOOKUP($A20,'Stock Transfer'!$A$3:$AE$32,16+W$1,0)</f>
        <v>2</v>
      </c>
      <c r="Y20" s="31">
        <f t="shared" si="10"/>
        <v>12</v>
      </c>
      <c r="Z20" s="31">
        <f t="shared" si="11"/>
        <v>12</v>
      </c>
      <c r="AA20" s="31">
        <f>VLOOKUP($A20,'Madras Sales'!$A$4:$P$35,AA$1+1,0)</f>
        <v>0</v>
      </c>
      <c r="AB20" s="31">
        <f>VLOOKUP($A20,'Stock Transfer'!$A$3:$AE$32,16+AA$1,0)</f>
        <v>2</v>
      </c>
      <c r="AC20" s="31">
        <f t="shared" si="12"/>
        <v>14</v>
      </c>
      <c r="AD20" s="31">
        <f t="shared" si="13"/>
        <v>14</v>
      </c>
      <c r="AE20" s="31">
        <f>VLOOKUP($A20,'Madras Sales'!$A$4:$P$35,AE$1+1,0)</f>
        <v>0</v>
      </c>
      <c r="AF20" s="31">
        <f>VLOOKUP($A20,'Stock Transfer'!$A$3:$AE$32,16+AE$1,0)</f>
        <v>2</v>
      </c>
      <c r="AG20" s="31">
        <f t="shared" si="14"/>
        <v>16</v>
      </c>
      <c r="AH20" s="31">
        <f t="shared" si="15"/>
        <v>16</v>
      </c>
      <c r="AI20" s="31">
        <f>VLOOKUP($A20,'Madras Sales'!$A$4:$P$35,AI$1+1,0)</f>
        <v>1</v>
      </c>
      <c r="AJ20" s="31">
        <f>VLOOKUP($A20,'Stock Transfer'!$A$3:$AE$32,16+AI$1,0)</f>
        <v>2</v>
      </c>
      <c r="AK20" s="31">
        <f t="shared" si="16"/>
        <v>17</v>
      </c>
      <c r="AL20" s="31">
        <f t="shared" si="17"/>
        <v>17</v>
      </c>
      <c r="AM20" s="31">
        <f>VLOOKUP($A20,'Madras Sales'!$A$4:$P$35,AM$1+1,0)</f>
        <v>1</v>
      </c>
      <c r="AN20" s="31">
        <f>VLOOKUP($A20,'Stock Transfer'!$A$3:$AE$32,16+AM$1,0)</f>
        <v>2</v>
      </c>
      <c r="AO20" s="31">
        <f t="shared" si="18"/>
        <v>18</v>
      </c>
    </row>
    <row r="21" spans="1:41" x14ac:dyDescent="0.3">
      <c r="A21" s="17" t="s">
        <v>87</v>
      </c>
      <c r="B21" s="31">
        <f>VLOOKUP($A21,'Open STK'!$A$1:$E$31,4,0)</f>
        <v>2</v>
      </c>
      <c r="C21" s="31">
        <f>VLOOKUP($A21,'Madras Sales'!$A$4:$P$35,C$1+1,0)</f>
        <v>0</v>
      </c>
      <c r="D21" s="31">
        <f>VLOOKUP($A21,'Stock Transfer'!$A$3:$AE$32,16+C$1,0)</f>
        <v>2</v>
      </c>
      <c r="E21" s="31">
        <f t="shared" si="0"/>
        <v>4</v>
      </c>
      <c r="F21" s="31">
        <f t="shared" si="1"/>
        <v>4</v>
      </c>
      <c r="G21" s="31">
        <f>VLOOKUP($A21,'Madras Sales'!$A$4:$P$35,G$1+1,0)</f>
        <v>0</v>
      </c>
      <c r="H21" s="31">
        <f>VLOOKUP($A21,'Stock Transfer'!$A$3:$AE$32,16+G$1,0)</f>
        <v>2</v>
      </c>
      <c r="I21" s="31">
        <f t="shared" si="2"/>
        <v>6</v>
      </c>
      <c r="J21" s="31">
        <f t="shared" si="3"/>
        <v>6</v>
      </c>
      <c r="K21" s="31">
        <f>VLOOKUP($A21,'Madras Sales'!$A$4:$P$35,K$1+1,0)</f>
        <v>1</v>
      </c>
      <c r="L21" s="31">
        <f>VLOOKUP($A21,'Stock Transfer'!$A$3:$AE$32,16+K$1,0)</f>
        <v>2</v>
      </c>
      <c r="M21" s="31">
        <f t="shared" si="4"/>
        <v>7</v>
      </c>
      <c r="N21" s="31">
        <f t="shared" si="5"/>
        <v>7</v>
      </c>
      <c r="O21" s="31">
        <f>VLOOKUP($A21,'Madras Sales'!$A$4:$P$35,O$1+1,0)</f>
        <v>0</v>
      </c>
      <c r="P21" s="31">
        <f>VLOOKUP($A21,'Stock Transfer'!$A$3:$AE$32,16+O$1,0)</f>
        <v>2</v>
      </c>
      <c r="Q21" s="31">
        <f t="shared" si="6"/>
        <v>9</v>
      </c>
      <c r="R21" s="31">
        <f t="shared" si="7"/>
        <v>9</v>
      </c>
      <c r="S21" s="31">
        <f>VLOOKUP($A21,'Madras Sales'!$A$4:$P$35,S$1+1,0)</f>
        <v>0</v>
      </c>
      <c r="T21" s="31">
        <f>VLOOKUP($A21,'Stock Transfer'!$A$3:$AE$32,16+S$1,0)</f>
        <v>2</v>
      </c>
      <c r="U21" s="31">
        <f t="shared" si="8"/>
        <v>11</v>
      </c>
      <c r="V21" s="31">
        <f t="shared" si="9"/>
        <v>11</v>
      </c>
      <c r="W21" s="31">
        <f>VLOOKUP($A21,'Madras Sales'!$A$4:$P$35,W$1+1,0)</f>
        <v>0</v>
      </c>
      <c r="X21" s="31">
        <f>VLOOKUP($A21,'Stock Transfer'!$A$3:$AE$32,16+W$1,0)</f>
        <v>2</v>
      </c>
      <c r="Y21" s="31">
        <f t="shared" si="10"/>
        <v>13</v>
      </c>
      <c r="Z21" s="31">
        <f t="shared" si="11"/>
        <v>13</v>
      </c>
      <c r="AA21" s="31">
        <f>VLOOKUP($A21,'Madras Sales'!$A$4:$P$35,AA$1+1,0)</f>
        <v>1</v>
      </c>
      <c r="AB21" s="31">
        <f>VLOOKUP($A21,'Stock Transfer'!$A$3:$AE$32,16+AA$1,0)</f>
        <v>2</v>
      </c>
      <c r="AC21" s="31">
        <f t="shared" si="12"/>
        <v>14</v>
      </c>
      <c r="AD21" s="31">
        <f t="shared" si="13"/>
        <v>14</v>
      </c>
      <c r="AE21" s="31">
        <f>VLOOKUP($A21,'Madras Sales'!$A$4:$P$35,AE$1+1,0)</f>
        <v>0</v>
      </c>
      <c r="AF21" s="31">
        <f>VLOOKUP($A21,'Stock Transfer'!$A$3:$AE$32,16+AE$1,0)</f>
        <v>2</v>
      </c>
      <c r="AG21" s="31">
        <f t="shared" si="14"/>
        <v>16</v>
      </c>
      <c r="AH21" s="31">
        <f t="shared" si="15"/>
        <v>16</v>
      </c>
      <c r="AI21" s="31">
        <f>VLOOKUP($A21,'Madras Sales'!$A$4:$P$35,AI$1+1,0)</f>
        <v>1</v>
      </c>
      <c r="AJ21" s="31">
        <f>VLOOKUP($A21,'Stock Transfer'!$A$3:$AE$32,16+AI$1,0)</f>
        <v>2</v>
      </c>
      <c r="AK21" s="31">
        <f t="shared" si="16"/>
        <v>17</v>
      </c>
      <c r="AL21" s="31">
        <f t="shared" si="17"/>
        <v>17</v>
      </c>
      <c r="AM21" s="31">
        <f>VLOOKUP($A21,'Madras Sales'!$A$4:$P$35,AM$1+1,0)</f>
        <v>0</v>
      </c>
      <c r="AN21" s="31">
        <f>VLOOKUP($A21,'Stock Transfer'!$A$3:$AE$32,16+AM$1,0)</f>
        <v>2</v>
      </c>
      <c r="AO21" s="31">
        <f t="shared" si="18"/>
        <v>19</v>
      </c>
    </row>
    <row r="22" spans="1:41" x14ac:dyDescent="0.3">
      <c r="A22" s="17" t="s">
        <v>90</v>
      </c>
      <c r="B22" s="31">
        <f>VLOOKUP($A22,'Open STK'!$A$1:$E$31,4,0)</f>
        <v>1</v>
      </c>
      <c r="C22" s="31">
        <f>VLOOKUP($A22,'Madras Sales'!$A$4:$P$35,C$1+1,0)</f>
        <v>0</v>
      </c>
      <c r="D22" s="31">
        <f>VLOOKUP($A22,'Stock Transfer'!$A$3:$AE$32,16+C$1,0)</f>
        <v>1</v>
      </c>
      <c r="E22" s="31">
        <f t="shared" si="0"/>
        <v>2</v>
      </c>
      <c r="F22" s="31">
        <f t="shared" si="1"/>
        <v>2</v>
      </c>
      <c r="G22" s="31">
        <f>VLOOKUP($A22,'Madras Sales'!$A$4:$P$35,G$1+1,0)</f>
        <v>0</v>
      </c>
      <c r="H22" s="31">
        <f>VLOOKUP($A22,'Stock Transfer'!$A$3:$AE$32,16+G$1,0)</f>
        <v>1</v>
      </c>
      <c r="I22" s="31">
        <f t="shared" si="2"/>
        <v>3</v>
      </c>
      <c r="J22" s="31">
        <f t="shared" si="3"/>
        <v>3</v>
      </c>
      <c r="K22" s="31">
        <f>VLOOKUP($A22,'Madras Sales'!$A$4:$P$35,K$1+1,0)</f>
        <v>0</v>
      </c>
      <c r="L22" s="31">
        <f>VLOOKUP($A22,'Stock Transfer'!$A$3:$AE$32,16+K$1,0)</f>
        <v>1</v>
      </c>
      <c r="M22" s="31">
        <f t="shared" si="4"/>
        <v>4</v>
      </c>
      <c r="N22" s="31">
        <f t="shared" si="5"/>
        <v>4</v>
      </c>
      <c r="O22" s="31">
        <f>VLOOKUP($A22,'Madras Sales'!$A$4:$P$35,O$1+1,0)</f>
        <v>0</v>
      </c>
      <c r="P22" s="31">
        <f>VLOOKUP($A22,'Stock Transfer'!$A$3:$AE$32,16+O$1,0)</f>
        <v>1</v>
      </c>
      <c r="Q22" s="31">
        <f t="shared" si="6"/>
        <v>5</v>
      </c>
      <c r="R22" s="31">
        <f t="shared" si="7"/>
        <v>5</v>
      </c>
      <c r="S22" s="31">
        <f>VLOOKUP($A22,'Madras Sales'!$A$4:$P$35,S$1+1,0)</f>
        <v>0</v>
      </c>
      <c r="T22" s="31">
        <f>VLOOKUP($A22,'Stock Transfer'!$A$3:$AE$32,16+S$1,0)</f>
        <v>1</v>
      </c>
      <c r="U22" s="31">
        <f t="shared" si="8"/>
        <v>6</v>
      </c>
      <c r="V22" s="31">
        <f t="shared" si="9"/>
        <v>6</v>
      </c>
      <c r="W22" s="31">
        <f>VLOOKUP($A22,'Madras Sales'!$A$4:$P$35,W$1+1,0)</f>
        <v>0</v>
      </c>
      <c r="X22" s="31">
        <f>VLOOKUP($A22,'Stock Transfer'!$A$3:$AE$32,16+W$1,0)</f>
        <v>1</v>
      </c>
      <c r="Y22" s="31">
        <f t="shared" si="10"/>
        <v>7</v>
      </c>
      <c r="Z22" s="31">
        <f t="shared" si="11"/>
        <v>7</v>
      </c>
      <c r="AA22" s="31">
        <f>VLOOKUP($A22,'Madras Sales'!$A$4:$P$35,AA$1+1,0)</f>
        <v>0</v>
      </c>
      <c r="AB22" s="31">
        <f>VLOOKUP($A22,'Stock Transfer'!$A$3:$AE$32,16+AA$1,0)</f>
        <v>1</v>
      </c>
      <c r="AC22" s="31">
        <f t="shared" si="12"/>
        <v>8</v>
      </c>
      <c r="AD22" s="31">
        <f t="shared" si="13"/>
        <v>8</v>
      </c>
      <c r="AE22" s="31">
        <f>VLOOKUP($A22,'Madras Sales'!$A$4:$P$35,AE$1+1,0)</f>
        <v>1</v>
      </c>
      <c r="AF22" s="31">
        <f>VLOOKUP($A22,'Stock Transfer'!$A$3:$AE$32,16+AE$1,0)</f>
        <v>2</v>
      </c>
      <c r="AG22" s="31">
        <f t="shared" si="14"/>
        <v>9</v>
      </c>
      <c r="AH22" s="31">
        <f t="shared" si="15"/>
        <v>9</v>
      </c>
      <c r="AI22" s="31">
        <f>VLOOKUP($A22,'Madras Sales'!$A$4:$P$35,AI$1+1,0)</f>
        <v>0</v>
      </c>
      <c r="AJ22" s="31">
        <f>VLOOKUP($A22,'Stock Transfer'!$A$3:$AE$32,16+AI$1,0)</f>
        <v>2</v>
      </c>
      <c r="AK22" s="31">
        <f t="shared" si="16"/>
        <v>11</v>
      </c>
      <c r="AL22" s="31">
        <f t="shared" si="17"/>
        <v>11</v>
      </c>
      <c r="AM22" s="31">
        <f>VLOOKUP($A22,'Madras Sales'!$A$4:$P$35,AM$1+1,0)</f>
        <v>0</v>
      </c>
      <c r="AN22" s="31">
        <f>VLOOKUP($A22,'Stock Transfer'!$A$3:$AE$32,16+AM$1,0)</f>
        <v>2</v>
      </c>
      <c r="AO22" s="31">
        <f t="shared" si="18"/>
        <v>13</v>
      </c>
    </row>
    <row r="23" spans="1:41" x14ac:dyDescent="0.3">
      <c r="A23" s="17" t="s">
        <v>93</v>
      </c>
      <c r="B23" s="31">
        <f>VLOOKUP($A23,'Open STK'!$A$1:$E$31,4,0)</f>
        <v>2</v>
      </c>
      <c r="C23" s="31">
        <f>VLOOKUP($A23,'Madras Sales'!$A$4:$P$35,C$1+1,0)</f>
        <v>1</v>
      </c>
      <c r="D23" s="31">
        <f>VLOOKUP($A23,'Stock Transfer'!$A$3:$AE$32,16+C$1,0)</f>
        <v>2</v>
      </c>
      <c r="E23" s="31">
        <f t="shared" si="0"/>
        <v>3</v>
      </c>
      <c r="F23" s="31">
        <f t="shared" si="1"/>
        <v>3</v>
      </c>
      <c r="G23" s="31">
        <f>VLOOKUP($A23,'Madras Sales'!$A$4:$P$35,G$1+1,0)</f>
        <v>0</v>
      </c>
      <c r="H23" s="31">
        <f>VLOOKUP($A23,'Stock Transfer'!$A$3:$AE$32,16+G$1,0)</f>
        <v>2</v>
      </c>
      <c r="I23" s="31">
        <f t="shared" si="2"/>
        <v>5</v>
      </c>
      <c r="J23" s="31">
        <f t="shared" si="3"/>
        <v>5</v>
      </c>
      <c r="K23" s="31">
        <f>VLOOKUP($A23,'Madras Sales'!$A$4:$P$35,K$1+1,0)</f>
        <v>0</v>
      </c>
      <c r="L23" s="31">
        <f>VLOOKUP($A23,'Stock Transfer'!$A$3:$AE$32,16+K$1,0)</f>
        <v>2</v>
      </c>
      <c r="M23" s="31">
        <f t="shared" si="4"/>
        <v>7</v>
      </c>
      <c r="N23" s="31">
        <f t="shared" si="5"/>
        <v>7</v>
      </c>
      <c r="O23" s="31">
        <f>VLOOKUP($A23,'Madras Sales'!$A$4:$P$35,O$1+1,0)</f>
        <v>1</v>
      </c>
      <c r="P23" s="31">
        <f>VLOOKUP($A23,'Stock Transfer'!$A$3:$AE$32,16+O$1,0)</f>
        <v>2</v>
      </c>
      <c r="Q23" s="31">
        <f t="shared" si="6"/>
        <v>8</v>
      </c>
      <c r="R23" s="31">
        <f t="shared" si="7"/>
        <v>8</v>
      </c>
      <c r="S23" s="31">
        <f>VLOOKUP($A23,'Madras Sales'!$A$4:$P$35,S$1+1,0)</f>
        <v>0</v>
      </c>
      <c r="T23" s="31">
        <f>VLOOKUP($A23,'Stock Transfer'!$A$3:$AE$32,16+S$1,0)</f>
        <v>2</v>
      </c>
      <c r="U23" s="31">
        <f t="shared" si="8"/>
        <v>10</v>
      </c>
      <c r="V23" s="31">
        <f t="shared" si="9"/>
        <v>10</v>
      </c>
      <c r="W23" s="31">
        <f>VLOOKUP($A23,'Madras Sales'!$A$4:$P$35,W$1+1,0)</f>
        <v>0</v>
      </c>
      <c r="X23" s="31">
        <f>VLOOKUP($A23,'Stock Transfer'!$A$3:$AE$32,16+W$1,0)</f>
        <v>2</v>
      </c>
      <c r="Y23" s="31">
        <f t="shared" si="10"/>
        <v>12</v>
      </c>
      <c r="Z23" s="31">
        <f t="shared" si="11"/>
        <v>12</v>
      </c>
      <c r="AA23" s="31">
        <f>VLOOKUP($A23,'Madras Sales'!$A$4:$P$35,AA$1+1,0)</f>
        <v>0</v>
      </c>
      <c r="AB23" s="31">
        <f>VLOOKUP($A23,'Stock Transfer'!$A$3:$AE$32,16+AA$1,0)</f>
        <v>2</v>
      </c>
      <c r="AC23" s="31">
        <f t="shared" si="12"/>
        <v>14</v>
      </c>
      <c r="AD23" s="31">
        <f t="shared" si="13"/>
        <v>14</v>
      </c>
      <c r="AE23" s="31">
        <f>VLOOKUP($A23,'Madras Sales'!$A$4:$P$35,AE$1+1,0)</f>
        <v>0</v>
      </c>
      <c r="AF23" s="31">
        <f>VLOOKUP($A23,'Stock Transfer'!$A$3:$AE$32,16+AE$1,0)</f>
        <v>2</v>
      </c>
      <c r="AG23" s="31">
        <f t="shared" si="14"/>
        <v>16</v>
      </c>
      <c r="AH23" s="31">
        <f t="shared" si="15"/>
        <v>16</v>
      </c>
      <c r="AI23" s="31">
        <f>VLOOKUP($A23,'Madras Sales'!$A$4:$P$35,AI$1+1,0)</f>
        <v>0</v>
      </c>
      <c r="AJ23" s="31">
        <f>VLOOKUP($A23,'Stock Transfer'!$A$3:$AE$32,16+AI$1,0)</f>
        <v>2</v>
      </c>
      <c r="AK23" s="31">
        <f t="shared" si="16"/>
        <v>18</v>
      </c>
      <c r="AL23" s="31">
        <f t="shared" si="17"/>
        <v>18</v>
      </c>
      <c r="AM23" s="31">
        <f>VLOOKUP($A23,'Madras Sales'!$A$4:$P$35,AM$1+1,0)</f>
        <v>2</v>
      </c>
      <c r="AN23" s="31">
        <f>VLOOKUP($A23,'Stock Transfer'!$A$3:$AE$32,16+AM$1,0)</f>
        <v>2</v>
      </c>
      <c r="AO23" s="31">
        <f t="shared" si="18"/>
        <v>18</v>
      </c>
    </row>
    <row r="24" spans="1:41" x14ac:dyDescent="0.3">
      <c r="A24" s="17" t="s">
        <v>6</v>
      </c>
      <c r="B24" s="31">
        <f>VLOOKUP($A24,'Open STK'!$A$1:$E$31,4,0)</f>
        <v>60</v>
      </c>
      <c r="C24" s="31">
        <f>VLOOKUP($A24,'Madras Sales'!$A$4:$P$35,C$1+1,0)</f>
        <v>17</v>
      </c>
      <c r="D24" s="31">
        <f>VLOOKUP($A24,'Stock Transfer'!$A$3:$AE$32,16+C$1,0)</f>
        <v>13</v>
      </c>
      <c r="E24" s="31">
        <f t="shared" si="0"/>
        <v>56</v>
      </c>
      <c r="F24" s="31">
        <f t="shared" si="1"/>
        <v>56</v>
      </c>
      <c r="G24" s="31">
        <f>VLOOKUP($A24,'Madras Sales'!$A$4:$P$35,G$1+1,0)</f>
        <v>23</v>
      </c>
      <c r="H24" s="31">
        <f>VLOOKUP($A24,'Stock Transfer'!$A$3:$AE$32,16+G$1,0)</f>
        <v>16</v>
      </c>
      <c r="I24" s="31">
        <f t="shared" si="2"/>
        <v>49</v>
      </c>
      <c r="J24" s="31">
        <f t="shared" si="3"/>
        <v>49</v>
      </c>
      <c r="K24" s="31">
        <f>VLOOKUP($A24,'Madras Sales'!$A$4:$P$35,K$1+1,0)</f>
        <v>23</v>
      </c>
      <c r="L24" s="31">
        <f>VLOOKUP($A24,'Stock Transfer'!$A$3:$AE$32,16+K$1,0)</f>
        <v>14</v>
      </c>
      <c r="M24" s="31">
        <f t="shared" si="4"/>
        <v>40</v>
      </c>
      <c r="N24" s="31">
        <f t="shared" si="5"/>
        <v>40</v>
      </c>
      <c r="O24" s="31">
        <f>VLOOKUP($A24,'Madras Sales'!$A$4:$P$35,O$1+1,0)</f>
        <v>19</v>
      </c>
      <c r="P24" s="31">
        <f>VLOOKUP($A24,'Stock Transfer'!$A$3:$AE$32,16+O$1,0)</f>
        <v>15</v>
      </c>
      <c r="Q24" s="31">
        <f t="shared" si="6"/>
        <v>36</v>
      </c>
      <c r="R24" s="31">
        <f t="shared" si="7"/>
        <v>36</v>
      </c>
      <c r="S24" s="31">
        <f>VLOOKUP($A24,'Madras Sales'!$A$4:$P$35,S$1+1,0)</f>
        <v>24</v>
      </c>
      <c r="T24" s="31">
        <f>VLOOKUP($A24,'Stock Transfer'!$A$3:$AE$32,16+S$1,0)</f>
        <v>17</v>
      </c>
      <c r="U24" s="31">
        <f t="shared" si="8"/>
        <v>29</v>
      </c>
      <c r="V24" s="31">
        <f t="shared" si="9"/>
        <v>29</v>
      </c>
      <c r="W24" s="31">
        <f>VLOOKUP($A24,'Madras Sales'!$A$4:$P$35,W$1+1,0)</f>
        <v>22</v>
      </c>
      <c r="X24" s="31">
        <f>VLOOKUP($A24,'Stock Transfer'!$A$3:$AE$32,16+W$1,0)</f>
        <v>22</v>
      </c>
      <c r="Y24" s="31">
        <f t="shared" si="10"/>
        <v>29</v>
      </c>
      <c r="Z24" s="31">
        <f t="shared" si="11"/>
        <v>29</v>
      </c>
      <c r="AA24" s="31">
        <f>VLOOKUP($A24,'Madras Sales'!$A$4:$P$35,AA$1+1,0)</f>
        <v>19</v>
      </c>
      <c r="AB24" s="31">
        <f>VLOOKUP($A24,'Stock Transfer'!$A$3:$AE$32,16+AA$1,0)</f>
        <v>19</v>
      </c>
      <c r="AC24" s="31">
        <f t="shared" si="12"/>
        <v>29</v>
      </c>
      <c r="AD24" s="31">
        <f t="shared" si="13"/>
        <v>29</v>
      </c>
      <c r="AE24" s="31">
        <f>VLOOKUP($A24,'Madras Sales'!$A$4:$P$35,AE$1+1,0)</f>
        <v>18</v>
      </c>
      <c r="AF24" s="31">
        <f>VLOOKUP($A24,'Stock Transfer'!$A$3:$AE$32,16+AE$1,0)</f>
        <v>19</v>
      </c>
      <c r="AG24" s="31">
        <f t="shared" si="14"/>
        <v>30</v>
      </c>
      <c r="AH24" s="31">
        <f t="shared" si="15"/>
        <v>30</v>
      </c>
      <c r="AI24" s="31">
        <f>VLOOKUP($A24,'Madras Sales'!$A$4:$P$35,AI$1+1,0)</f>
        <v>20</v>
      </c>
      <c r="AJ24" s="31">
        <f>VLOOKUP($A24,'Stock Transfer'!$A$3:$AE$32,16+AI$1,0)</f>
        <v>13</v>
      </c>
      <c r="AK24" s="31">
        <f t="shared" si="16"/>
        <v>23</v>
      </c>
      <c r="AL24" s="31">
        <f t="shared" si="17"/>
        <v>23</v>
      </c>
      <c r="AM24" s="31">
        <f>VLOOKUP($A24,'Madras Sales'!$A$4:$P$35,AM$1+1,0)</f>
        <v>21</v>
      </c>
      <c r="AN24" s="31">
        <f>VLOOKUP($A24,'Stock Transfer'!$A$3:$AE$32,16+AM$1,0)</f>
        <v>17</v>
      </c>
      <c r="AO24" s="31">
        <f t="shared" si="18"/>
        <v>19</v>
      </c>
    </row>
    <row r="25" spans="1:41" x14ac:dyDescent="0.3">
      <c r="A25" s="17" t="s">
        <v>9</v>
      </c>
      <c r="B25" s="31">
        <f>VLOOKUP($A25,'Open STK'!$A$1:$E$31,4,0)</f>
        <v>33</v>
      </c>
      <c r="C25" s="31">
        <f>VLOOKUP($A25,'Madras Sales'!$A$4:$P$35,C$1+1,0)</f>
        <v>12</v>
      </c>
      <c r="D25" s="31">
        <f>VLOOKUP($A25,'Stock Transfer'!$A$3:$AE$32,16+C$1,0)</f>
        <v>13</v>
      </c>
      <c r="E25" s="31">
        <f t="shared" si="0"/>
        <v>34</v>
      </c>
      <c r="F25" s="31">
        <f t="shared" si="1"/>
        <v>34</v>
      </c>
      <c r="G25" s="31">
        <f>VLOOKUP($A25,'Madras Sales'!$A$4:$P$35,G$1+1,0)</f>
        <v>9</v>
      </c>
      <c r="H25" s="31">
        <f>VLOOKUP($A25,'Stock Transfer'!$A$3:$AE$32,16+G$1,0)</f>
        <v>10</v>
      </c>
      <c r="I25" s="31">
        <f t="shared" si="2"/>
        <v>35</v>
      </c>
      <c r="J25" s="31">
        <f t="shared" si="3"/>
        <v>35</v>
      </c>
      <c r="K25" s="31">
        <f>VLOOKUP($A25,'Madras Sales'!$A$4:$P$35,K$1+1,0)</f>
        <v>10</v>
      </c>
      <c r="L25" s="31">
        <f>VLOOKUP($A25,'Stock Transfer'!$A$3:$AE$32,16+K$1,0)</f>
        <v>7</v>
      </c>
      <c r="M25" s="31">
        <f t="shared" si="4"/>
        <v>32</v>
      </c>
      <c r="N25" s="31">
        <f t="shared" si="5"/>
        <v>32</v>
      </c>
      <c r="O25" s="31">
        <f>VLOOKUP($A25,'Madras Sales'!$A$4:$P$35,O$1+1,0)</f>
        <v>10</v>
      </c>
      <c r="P25" s="31">
        <f>VLOOKUP($A25,'Stock Transfer'!$A$3:$AE$32,16+O$1,0)</f>
        <v>7</v>
      </c>
      <c r="Q25" s="31">
        <f t="shared" si="6"/>
        <v>29</v>
      </c>
      <c r="R25" s="31">
        <f t="shared" si="7"/>
        <v>29</v>
      </c>
      <c r="S25" s="31">
        <f>VLOOKUP($A25,'Madras Sales'!$A$4:$P$35,S$1+1,0)</f>
        <v>11</v>
      </c>
      <c r="T25" s="31">
        <f>VLOOKUP($A25,'Stock Transfer'!$A$3:$AE$32,16+S$1,0)</f>
        <v>8</v>
      </c>
      <c r="U25" s="31">
        <f t="shared" si="8"/>
        <v>26</v>
      </c>
      <c r="V25" s="31">
        <f t="shared" si="9"/>
        <v>26</v>
      </c>
      <c r="W25" s="31">
        <f>VLOOKUP($A25,'Madras Sales'!$A$4:$P$35,W$1+1,0)</f>
        <v>9</v>
      </c>
      <c r="X25" s="31">
        <f>VLOOKUP($A25,'Stock Transfer'!$A$3:$AE$32,16+W$1,0)</f>
        <v>13</v>
      </c>
      <c r="Y25" s="31">
        <f t="shared" si="10"/>
        <v>30</v>
      </c>
      <c r="Z25" s="31">
        <f t="shared" si="11"/>
        <v>30</v>
      </c>
      <c r="AA25" s="31">
        <f>VLOOKUP($A25,'Madras Sales'!$A$4:$P$35,AA$1+1,0)</f>
        <v>11</v>
      </c>
      <c r="AB25" s="31">
        <f>VLOOKUP($A25,'Stock Transfer'!$A$3:$AE$32,16+AA$1,0)</f>
        <v>12</v>
      </c>
      <c r="AC25" s="31">
        <f t="shared" si="12"/>
        <v>31</v>
      </c>
      <c r="AD25" s="31">
        <f t="shared" si="13"/>
        <v>31</v>
      </c>
      <c r="AE25" s="31">
        <f>VLOOKUP($A25,'Madras Sales'!$A$4:$P$35,AE$1+1,0)</f>
        <v>9</v>
      </c>
      <c r="AF25" s="31">
        <f>VLOOKUP($A25,'Stock Transfer'!$A$3:$AE$32,16+AE$1,0)</f>
        <v>12</v>
      </c>
      <c r="AG25" s="31">
        <f t="shared" si="14"/>
        <v>34</v>
      </c>
      <c r="AH25" s="31">
        <f t="shared" si="15"/>
        <v>34</v>
      </c>
      <c r="AI25" s="31">
        <f>VLOOKUP($A25,'Madras Sales'!$A$4:$P$35,AI$1+1,0)</f>
        <v>9</v>
      </c>
      <c r="AJ25" s="31">
        <f>VLOOKUP($A25,'Stock Transfer'!$A$3:$AE$32,16+AI$1,0)</f>
        <v>8</v>
      </c>
      <c r="AK25" s="31">
        <f t="shared" si="16"/>
        <v>33</v>
      </c>
      <c r="AL25" s="31">
        <f t="shared" si="17"/>
        <v>33</v>
      </c>
      <c r="AM25" s="31">
        <f>VLOOKUP($A25,'Madras Sales'!$A$4:$P$35,AM$1+1,0)</f>
        <v>9</v>
      </c>
      <c r="AN25" s="31">
        <f>VLOOKUP($A25,'Stock Transfer'!$A$3:$AE$32,16+AM$1,0)</f>
        <v>7</v>
      </c>
      <c r="AO25" s="31">
        <f t="shared" si="18"/>
        <v>31</v>
      </c>
    </row>
    <row r="26" spans="1:41" x14ac:dyDescent="0.3">
      <c r="A26" s="17" t="s">
        <v>12</v>
      </c>
      <c r="B26" s="31">
        <f>VLOOKUP($A26,'Open STK'!$A$1:$E$31,4,0)</f>
        <v>18</v>
      </c>
      <c r="C26" s="31">
        <f>VLOOKUP($A26,'Madras Sales'!$A$4:$P$35,C$1+1,0)</f>
        <v>8</v>
      </c>
      <c r="D26" s="31">
        <f>VLOOKUP($A26,'Stock Transfer'!$A$3:$AE$32,16+C$1,0)</f>
        <v>9</v>
      </c>
      <c r="E26" s="31">
        <f t="shared" si="0"/>
        <v>19</v>
      </c>
      <c r="F26" s="31">
        <f t="shared" si="1"/>
        <v>19</v>
      </c>
      <c r="G26" s="31">
        <f>VLOOKUP($A26,'Madras Sales'!$A$4:$P$35,G$1+1,0)</f>
        <v>6</v>
      </c>
      <c r="H26" s="31">
        <f>VLOOKUP($A26,'Stock Transfer'!$A$3:$AE$32,16+G$1,0)</f>
        <v>8</v>
      </c>
      <c r="I26" s="31">
        <f t="shared" si="2"/>
        <v>21</v>
      </c>
      <c r="J26" s="31">
        <f t="shared" si="3"/>
        <v>21</v>
      </c>
      <c r="K26" s="31">
        <f>VLOOKUP($A26,'Madras Sales'!$A$4:$P$35,K$1+1,0)</f>
        <v>9</v>
      </c>
      <c r="L26" s="31">
        <f>VLOOKUP($A26,'Stock Transfer'!$A$3:$AE$32,16+K$1,0)</f>
        <v>7</v>
      </c>
      <c r="M26" s="31">
        <f t="shared" si="4"/>
        <v>19</v>
      </c>
      <c r="N26" s="31">
        <f t="shared" si="5"/>
        <v>19</v>
      </c>
      <c r="O26" s="31">
        <f>VLOOKUP($A26,'Madras Sales'!$A$4:$P$35,O$1+1,0)</f>
        <v>9</v>
      </c>
      <c r="P26" s="31">
        <f>VLOOKUP($A26,'Stock Transfer'!$A$3:$AE$32,16+O$1,0)</f>
        <v>7</v>
      </c>
      <c r="Q26" s="31">
        <f t="shared" si="6"/>
        <v>17</v>
      </c>
      <c r="R26" s="31">
        <f t="shared" si="7"/>
        <v>17</v>
      </c>
      <c r="S26" s="31">
        <f>VLOOKUP($A26,'Madras Sales'!$A$4:$P$35,S$1+1,0)</f>
        <v>8</v>
      </c>
      <c r="T26" s="31">
        <f>VLOOKUP($A26,'Stock Transfer'!$A$3:$AE$32,16+S$1,0)</f>
        <v>7</v>
      </c>
      <c r="U26" s="31">
        <f t="shared" si="8"/>
        <v>16</v>
      </c>
      <c r="V26" s="31">
        <f t="shared" si="9"/>
        <v>16</v>
      </c>
      <c r="W26" s="31">
        <f>VLOOKUP($A26,'Madras Sales'!$A$4:$P$35,W$1+1,0)</f>
        <v>9</v>
      </c>
      <c r="X26" s="31">
        <f>VLOOKUP($A26,'Stock Transfer'!$A$3:$AE$32,16+W$1,0)</f>
        <v>10</v>
      </c>
      <c r="Y26" s="31">
        <f t="shared" si="10"/>
        <v>17</v>
      </c>
      <c r="Z26" s="31">
        <f t="shared" si="11"/>
        <v>17</v>
      </c>
      <c r="AA26" s="31">
        <f>VLOOKUP($A26,'Madras Sales'!$A$4:$P$35,AA$1+1,0)</f>
        <v>6</v>
      </c>
      <c r="AB26" s="31">
        <f>VLOOKUP($A26,'Stock Transfer'!$A$3:$AE$32,16+AA$1,0)</f>
        <v>8</v>
      </c>
      <c r="AC26" s="31">
        <f t="shared" si="12"/>
        <v>19</v>
      </c>
      <c r="AD26" s="31">
        <f t="shared" si="13"/>
        <v>19</v>
      </c>
      <c r="AE26" s="31">
        <f>VLOOKUP($A26,'Madras Sales'!$A$4:$P$35,AE$1+1,0)</f>
        <v>8</v>
      </c>
      <c r="AF26" s="31">
        <f>VLOOKUP($A26,'Stock Transfer'!$A$3:$AE$32,16+AE$1,0)</f>
        <v>8</v>
      </c>
      <c r="AG26" s="31">
        <f t="shared" si="14"/>
        <v>19</v>
      </c>
      <c r="AH26" s="31">
        <f t="shared" si="15"/>
        <v>19</v>
      </c>
      <c r="AI26" s="31">
        <f>VLOOKUP($A26,'Madras Sales'!$A$4:$P$35,AI$1+1,0)</f>
        <v>7</v>
      </c>
      <c r="AJ26" s="31">
        <f>VLOOKUP($A26,'Stock Transfer'!$A$3:$AE$32,16+AI$1,0)</f>
        <v>8</v>
      </c>
      <c r="AK26" s="31">
        <f t="shared" si="16"/>
        <v>20</v>
      </c>
      <c r="AL26" s="31">
        <f t="shared" si="17"/>
        <v>20</v>
      </c>
      <c r="AM26" s="31">
        <f>VLOOKUP($A26,'Madras Sales'!$A$4:$P$35,AM$1+1,0)</f>
        <v>9</v>
      </c>
      <c r="AN26" s="31">
        <f>VLOOKUP($A26,'Stock Transfer'!$A$3:$AE$32,16+AM$1,0)</f>
        <v>9</v>
      </c>
      <c r="AO26" s="31">
        <f t="shared" si="18"/>
        <v>20</v>
      </c>
    </row>
    <row r="27" spans="1:41" x14ac:dyDescent="0.3">
      <c r="A27" s="17" t="s">
        <v>15</v>
      </c>
      <c r="B27" s="31">
        <f>VLOOKUP($A27,'Open STK'!$A$1:$E$31,4,0)</f>
        <v>14</v>
      </c>
      <c r="C27" s="31">
        <f>VLOOKUP($A27,'Madras Sales'!$A$4:$P$35,C$1+1,0)</f>
        <v>5</v>
      </c>
      <c r="D27" s="31">
        <f>VLOOKUP($A27,'Stock Transfer'!$A$3:$AE$32,16+C$1,0)</f>
        <v>7</v>
      </c>
      <c r="E27" s="31">
        <f t="shared" si="0"/>
        <v>16</v>
      </c>
      <c r="F27" s="31">
        <f t="shared" si="1"/>
        <v>16</v>
      </c>
      <c r="G27" s="31">
        <f>VLOOKUP($A27,'Madras Sales'!$A$4:$P$35,G$1+1,0)</f>
        <v>5</v>
      </c>
      <c r="H27" s="31">
        <f>VLOOKUP($A27,'Stock Transfer'!$A$3:$AE$32,16+G$1,0)</f>
        <v>6</v>
      </c>
      <c r="I27" s="31">
        <f t="shared" si="2"/>
        <v>17</v>
      </c>
      <c r="J27" s="31">
        <f t="shared" si="3"/>
        <v>17</v>
      </c>
      <c r="K27" s="31">
        <f>VLOOKUP($A27,'Madras Sales'!$A$4:$P$35,K$1+1,0)</f>
        <v>5</v>
      </c>
      <c r="L27" s="31">
        <f>VLOOKUP($A27,'Stock Transfer'!$A$3:$AE$32,16+K$1,0)</f>
        <v>8</v>
      </c>
      <c r="M27" s="31">
        <f t="shared" si="4"/>
        <v>20</v>
      </c>
      <c r="N27" s="31">
        <f t="shared" si="5"/>
        <v>20</v>
      </c>
      <c r="O27" s="31">
        <f>VLOOKUP($A27,'Madras Sales'!$A$4:$P$35,O$1+1,0)</f>
        <v>6</v>
      </c>
      <c r="P27" s="31">
        <f>VLOOKUP($A27,'Stock Transfer'!$A$3:$AE$32,16+O$1,0)</f>
        <v>5</v>
      </c>
      <c r="Q27" s="31">
        <f t="shared" si="6"/>
        <v>19</v>
      </c>
      <c r="R27" s="31">
        <f t="shared" si="7"/>
        <v>19</v>
      </c>
      <c r="S27" s="31">
        <f>VLOOKUP($A27,'Madras Sales'!$A$4:$P$35,S$1+1,0)</f>
        <v>8</v>
      </c>
      <c r="T27" s="31">
        <f>VLOOKUP($A27,'Stock Transfer'!$A$3:$AE$32,16+S$1,0)</f>
        <v>7</v>
      </c>
      <c r="U27" s="31">
        <f t="shared" si="8"/>
        <v>18</v>
      </c>
      <c r="V27" s="31">
        <f t="shared" si="9"/>
        <v>18</v>
      </c>
      <c r="W27" s="31">
        <f>VLOOKUP($A27,'Madras Sales'!$A$4:$P$35,W$1+1,0)</f>
        <v>7</v>
      </c>
      <c r="X27" s="31">
        <f>VLOOKUP($A27,'Stock Transfer'!$A$3:$AE$32,16+W$1,0)</f>
        <v>5</v>
      </c>
      <c r="Y27" s="31">
        <f t="shared" si="10"/>
        <v>16</v>
      </c>
      <c r="Z27" s="31">
        <f t="shared" si="11"/>
        <v>16</v>
      </c>
      <c r="AA27" s="31">
        <f>VLOOKUP($A27,'Madras Sales'!$A$4:$P$35,AA$1+1,0)</f>
        <v>6</v>
      </c>
      <c r="AB27" s="31">
        <f>VLOOKUP($A27,'Stock Transfer'!$A$3:$AE$32,16+AA$1,0)</f>
        <v>5</v>
      </c>
      <c r="AC27" s="31">
        <f t="shared" si="12"/>
        <v>15</v>
      </c>
      <c r="AD27" s="31">
        <f t="shared" si="13"/>
        <v>15</v>
      </c>
      <c r="AE27" s="31">
        <f>VLOOKUP($A27,'Madras Sales'!$A$4:$P$35,AE$1+1,0)</f>
        <v>6</v>
      </c>
      <c r="AF27" s="31">
        <f>VLOOKUP($A27,'Stock Transfer'!$A$3:$AE$32,16+AE$1,0)</f>
        <v>6</v>
      </c>
      <c r="AG27" s="31">
        <f t="shared" si="14"/>
        <v>15</v>
      </c>
      <c r="AH27" s="31">
        <f t="shared" si="15"/>
        <v>15</v>
      </c>
      <c r="AI27" s="31">
        <f>VLOOKUP($A27,'Madras Sales'!$A$4:$P$35,AI$1+1,0)</f>
        <v>6</v>
      </c>
      <c r="AJ27" s="31">
        <f>VLOOKUP($A27,'Stock Transfer'!$A$3:$AE$32,16+AI$1,0)</f>
        <v>5</v>
      </c>
      <c r="AK27" s="31">
        <f t="shared" si="16"/>
        <v>14</v>
      </c>
      <c r="AL27" s="31">
        <f t="shared" si="17"/>
        <v>14</v>
      </c>
      <c r="AM27" s="31">
        <f>VLOOKUP($A27,'Madras Sales'!$A$4:$P$35,AM$1+1,0)</f>
        <v>5</v>
      </c>
      <c r="AN27" s="31">
        <f>VLOOKUP($A27,'Stock Transfer'!$A$3:$AE$32,16+AM$1,0)</f>
        <v>7</v>
      </c>
      <c r="AO27" s="31">
        <f t="shared" si="18"/>
        <v>16</v>
      </c>
    </row>
    <row r="28" spans="1:41" x14ac:dyDescent="0.3">
      <c r="A28" s="17" t="s">
        <v>17</v>
      </c>
      <c r="B28" s="31">
        <f>VLOOKUP($A28,'Open STK'!$A$1:$E$31,4,0)</f>
        <v>9</v>
      </c>
      <c r="C28" s="31">
        <f>VLOOKUP($A28,'Madras Sales'!$A$4:$P$35,C$1+1,0)</f>
        <v>5</v>
      </c>
      <c r="D28" s="31">
        <f>VLOOKUP($A28,'Stock Transfer'!$A$3:$AE$32,16+C$1,0)</f>
        <v>6</v>
      </c>
      <c r="E28" s="31">
        <f t="shared" si="0"/>
        <v>10</v>
      </c>
      <c r="F28" s="31">
        <f t="shared" si="1"/>
        <v>10</v>
      </c>
      <c r="G28" s="31">
        <f>VLOOKUP($A28,'Madras Sales'!$A$4:$P$35,G$1+1,0)</f>
        <v>5</v>
      </c>
      <c r="H28" s="31">
        <f>VLOOKUP($A28,'Stock Transfer'!$A$3:$AE$32,16+G$1,0)</f>
        <v>5</v>
      </c>
      <c r="I28" s="31">
        <f t="shared" si="2"/>
        <v>10</v>
      </c>
      <c r="J28" s="31">
        <f t="shared" si="3"/>
        <v>10</v>
      </c>
      <c r="K28" s="31">
        <f>VLOOKUP($A28,'Madras Sales'!$A$4:$P$35,K$1+1,0)</f>
        <v>4</v>
      </c>
      <c r="L28" s="31">
        <f>VLOOKUP($A28,'Stock Transfer'!$A$3:$AE$32,16+K$1,0)</f>
        <v>6</v>
      </c>
      <c r="M28" s="31">
        <f t="shared" si="4"/>
        <v>12</v>
      </c>
      <c r="N28" s="31">
        <f t="shared" si="5"/>
        <v>12</v>
      </c>
      <c r="O28" s="31">
        <f>VLOOKUP($A28,'Madras Sales'!$A$4:$P$35,O$1+1,0)</f>
        <v>4</v>
      </c>
      <c r="P28" s="31">
        <f>VLOOKUP($A28,'Stock Transfer'!$A$3:$AE$32,16+O$1,0)</f>
        <v>6</v>
      </c>
      <c r="Q28" s="31">
        <f t="shared" si="6"/>
        <v>14</v>
      </c>
      <c r="R28" s="31">
        <f t="shared" si="7"/>
        <v>14</v>
      </c>
      <c r="S28" s="31">
        <f>VLOOKUP($A28,'Madras Sales'!$A$4:$P$35,S$1+1,0)</f>
        <v>4</v>
      </c>
      <c r="T28" s="31">
        <f>VLOOKUP($A28,'Stock Transfer'!$A$3:$AE$32,16+S$1,0)</f>
        <v>4</v>
      </c>
      <c r="U28" s="31">
        <f t="shared" si="8"/>
        <v>14</v>
      </c>
      <c r="V28" s="31">
        <f t="shared" si="9"/>
        <v>14</v>
      </c>
      <c r="W28" s="31">
        <f>VLOOKUP($A28,'Madras Sales'!$A$4:$P$35,W$1+1,0)</f>
        <v>4</v>
      </c>
      <c r="X28" s="31">
        <f>VLOOKUP($A28,'Stock Transfer'!$A$3:$AE$32,16+W$1,0)</f>
        <v>6</v>
      </c>
      <c r="Y28" s="31">
        <f t="shared" si="10"/>
        <v>16</v>
      </c>
      <c r="Z28" s="31">
        <f t="shared" si="11"/>
        <v>16</v>
      </c>
      <c r="AA28" s="31">
        <f>VLOOKUP($A28,'Madras Sales'!$A$4:$P$35,AA$1+1,0)</f>
        <v>3</v>
      </c>
      <c r="AB28" s="31">
        <f>VLOOKUP($A28,'Stock Transfer'!$A$3:$AE$32,16+AA$1,0)</f>
        <v>5</v>
      </c>
      <c r="AC28" s="31">
        <f t="shared" si="12"/>
        <v>18</v>
      </c>
      <c r="AD28" s="31">
        <f t="shared" si="13"/>
        <v>18</v>
      </c>
      <c r="AE28" s="31">
        <f>VLOOKUP($A28,'Madras Sales'!$A$4:$P$35,AE$1+1,0)</f>
        <v>3</v>
      </c>
      <c r="AF28" s="31">
        <f>VLOOKUP($A28,'Stock Transfer'!$A$3:$AE$32,16+AE$1,0)</f>
        <v>4</v>
      </c>
      <c r="AG28" s="31">
        <f t="shared" si="14"/>
        <v>19</v>
      </c>
      <c r="AH28" s="31">
        <f t="shared" si="15"/>
        <v>19</v>
      </c>
      <c r="AI28" s="31">
        <f>VLOOKUP($A28,'Madras Sales'!$A$4:$P$35,AI$1+1,0)</f>
        <v>4</v>
      </c>
      <c r="AJ28" s="31">
        <f>VLOOKUP($A28,'Stock Transfer'!$A$3:$AE$32,16+AI$1,0)</f>
        <v>4</v>
      </c>
      <c r="AK28" s="31">
        <f t="shared" si="16"/>
        <v>19</v>
      </c>
      <c r="AL28" s="31">
        <f t="shared" si="17"/>
        <v>19</v>
      </c>
      <c r="AM28" s="31">
        <f>VLOOKUP($A28,'Madras Sales'!$A$4:$P$35,AM$1+1,0)</f>
        <v>4</v>
      </c>
      <c r="AN28" s="31">
        <f>VLOOKUP($A28,'Stock Transfer'!$A$3:$AE$32,16+AM$1,0)</f>
        <v>3</v>
      </c>
      <c r="AO28" s="31">
        <f t="shared" si="18"/>
        <v>18</v>
      </c>
    </row>
    <row r="29" spans="1:41" x14ac:dyDescent="0.3">
      <c r="A29" s="17" t="s">
        <v>20</v>
      </c>
      <c r="B29" s="31">
        <f>VLOOKUP($A29,'Open STK'!$A$1:$E$31,4,0)</f>
        <v>7</v>
      </c>
      <c r="C29" s="31">
        <f>VLOOKUP($A29,'Madras Sales'!$A$4:$P$35,C$1+1,0)</f>
        <v>2</v>
      </c>
      <c r="D29" s="31">
        <f>VLOOKUP($A29,'Stock Transfer'!$A$3:$AE$32,16+C$1,0)</f>
        <v>3</v>
      </c>
      <c r="E29" s="31">
        <f t="shared" si="0"/>
        <v>8</v>
      </c>
      <c r="F29" s="31">
        <f t="shared" si="1"/>
        <v>8</v>
      </c>
      <c r="G29" s="31">
        <f>VLOOKUP($A29,'Madras Sales'!$A$4:$P$35,G$1+1,0)</f>
        <v>4</v>
      </c>
      <c r="H29" s="31">
        <f>VLOOKUP($A29,'Stock Transfer'!$A$3:$AE$32,16+G$1,0)</f>
        <v>4</v>
      </c>
      <c r="I29" s="31">
        <f t="shared" si="2"/>
        <v>8</v>
      </c>
      <c r="J29" s="31">
        <f t="shared" si="3"/>
        <v>8</v>
      </c>
      <c r="K29" s="31">
        <f>VLOOKUP($A29,'Madras Sales'!$A$4:$P$35,K$1+1,0)</f>
        <v>4</v>
      </c>
      <c r="L29" s="31">
        <f>VLOOKUP($A29,'Stock Transfer'!$A$3:$AE$32,16+K$1,0)</f>
        <v>4</v>
      </c>
      <c r="M29" s="31">
        <f t="shared" si="4"/>
        <v>8</v>
      </c>
      <c r="N29" s="31">
        <f t="shared" si="5"/>
        <v>8</v>
      </c>
      <c r="O29" s="31">
        <f>VLOOKUP($A29,'Madras Sales'!$A$4:$P$35,O$1+1,0)</f>
        <v>2</v>
      </c>
      <c r="P29" s="31">
        <f>VLOOKUP($A29,'Stock Transfer'!$A$3:$AE$32,16+O$1,0)</f>
        <v>3</v>
      </c>
      <c r="Q29" s="31">
        <f t="shared" si="6"/>
        <v>9</v>
      </c>
      <c r="R29" s="31">
        <f t="shared" si="7"/>
        <v>9</v>
      </c>
      <c r="S29" s="31">
        <f>VLOOKUP($A29,'Madras Sales'!$A$4:$P$35,S$1+1,0)</f>
        <v>2</v>
      </c>
      <c r="T29" s="31">
        <f>VLOOKUP($A29,'Stock Transfer'!$A$3:$AE$32,16+S$1,0)</f>
        <v>4</v>
      </c>
      <c r="U29" s="31">
        <f t="shared" si="8"/>
        <v>11</v>
      </c>
      <c r="V29" s="31">
        <f t="shared" si="9"/>
        <v>11</v>
      </c>
      <c r="W29" s="31">
        <f>VLOOKUP($A29,'Madras Sales'!$A$4:$P$35,W$1+1,0)</f>
        <v>3</v>
      </c>
      <c r="X29" s="31">
        <f>VLOOKUP($A29,'Stock Transfer'!$A$3:$AE$32,16+W$1,0)</f>
        <v>3</v>
      </c>
      <c r="Y29" s="31">
        <f t="shared" si="10"/>
        <v>11</v>
      </c>
      <c r="Z29" s="31">
        <f t="shared" si="11"/>
        <v>11</v>
      </c>
      <c r="AA29" s="31">
        <f>VLOOKUP($A29,'Madras Sales'!$A$4:$P$35,AA$1+1,0)</f>
        <v>2</v>
      </c>
      <c r="AB29" s="31">
        <f>VLOOKUP($A29,'Stock Transfer'!$A$3:$AE$32,16+AA$1,0)</f>
        <v>4</v>
      </c>
      <c r="AC29" s="31">
        <f t="shared" si="12"/>
        <v>13</v>
      </c>
      <c r="AD29" s="31">
        <f t="shared" si="13"/>
        <v>13</v>
      </c>
      <c r="AE29" s="31">
        <f>VLOOKUP($A29,'Madras Sales'!$A$4:$P$35,AE$1+1,0)</f>
        <v>2</v>
      </c>
      <c r="AF29" s="31">
        <f>VLOOKUP($A29,'Stock Transfer'!$A$3:$AE$32,16+AE$1,0)</f>
        <v>3</v>
      </c>
      <c r="AG29" s="31">
        <f t="shared" si="14"/>
        <v>14</v>
      </c>
      <c r="AH29" s="31">
        <f t="shared" si="15"/>
        <v>14</v>
      </c>
      <c r="AI29" s="31">
        <f>VLOOKUP($A29,'Madras Sales'!$A$4:$P$35,AI$1+1,0)</f>
        <v>3</v>
      </c>
      <c r="AJ29" s="31">
        <f>VLOOKUP($A29,'Stock Transfer'!$A$3:$AE$32,16+AI$1,0)</f>
        <v>4</v>
      </c>
      <c r="AK29" s="31">
        <f t="shared" si="16"/>
        <v>15</v>
      </c>
      <c r="AL29" s="31">
        <f t="shared" si="17"/>
        <v>15</v>
      </c>
      <c r="AM29" s="31">
        <f>VLOOKUP($A29,'Madras Sales'!$A$4:$P$35,AM$1+1,0)</f>
        <v>3</v>
      </c>
      <c r="AN29" s="31">
        <f>VLOOKUP($A29,'Stock Transfer'!$A$3:$AE$32,16+AM$1,0)</f>
        <v>3</v>
      </c>
      <c r="AO29" s="31">
        <f t="shared" si="18"/>
        <v>15</v>
      </c>
    </row>
    <row r="30" spans="1:41" x14ac:dyDescent="0.3">
      <c r="A30" s="17" t="s">
        <v>23</v>
      </c>
      <c r="B30" s="31">
        <f>VLOOKUP($A30,'Open STK'!$A$1:$E$31,4,0)</f>
        <v>9</v>
      </c>
      <c r="C30" s="31">
        <f>VLOOKUP($A30,'Madras Sales'!$A$4:$P$35,C$1+1,0)</f>
        <v>3</v>
      </c>
      <c r="D30" s="31">
        <f>VLOOKUP($A30,'Stock Transfer'!$A$3:$AE$32,16+C$1,0)</f>
        <v>3</v>
      </c>
      <c r="E30" s="31">
        <f t="shared" si="0"/>
        <v>9</v>
      </c>
      <c r="F30" s="31">
        <f t="shared" si="1"/>
        <v>9</v>
      </c>
      <c r="G30" s="31">
        <f>VLOOKUP($A30,'Madras Sales'!$A$4:$P$35,G$1+1,0)</f>
        <v>1</v>
      </c>
      <c r="H30" s="31">
        <f>VLOOKUP($A30,'Stock Transfer'!$A$3:$AE$32,16+G$1,0)</f>
        <v>3</v>
      </c>
      <c r="I30" s="31">
        <f t="shared" si="2"/>
        <v>11</v>
      </c>
      <c r="J30" s="31">
        <f t="shared" si="3"/>
        <v>11</v>
      </c>
      <c r="K30" s="31">
        <f>VLOOKUP($A30,'Madras Sales'!$A$4:$P$35,K$1+1,0)</f>
        <v>3</v>
      </c>
      <c r="L30" s="31">
        <f>VLOOKUP($A30,'Stock Transfer'!$A$3:$AE$32,16+K$1,0)</f>
        <v>4</v>
      </c>
      <c r="M30" s="31">
        <f t="shared" si="4"/>
        <v>12</v>
      </c>
      <c r="N30" s="31">
        <f t="shared" si="5"/>
        <v>12</v>
      </c>
      <c r="O30" s="31">
        <f>VLOOKUP($A30,'Madras Sales'!$A$4:$P$35,O$1+1,0)</f>
        <v>3</v>
      </c>
      <c r="P30" s="31">
        <f>VLOOKUP($A30,'Stock Transfer'!$A$3:$AE$32,16+O$1,0)</f>
        <v>3</v>
      </c>
      <c r="Q30" s="31">
        <f t="shared" si="6"/>
        <v>12</v>
      </c>
      <c r="R30" s="31">
        <f t="shared" si="7"/>
        <v>12</v>
      </c>
      <c r="S30" s="31">
        <f>VLOOKUP($A30,'Madras Sales'!$A$4:$P$35,S$1+1,0)</f>
        <v>3</v>
      </c>
      <c r="T30" s="31">
        <f>VLOOKUP($A30,'Stock Transfer'!$A$3:$AE$32,16+S$1,0)</f>
        <v>3</v>
      </c>
      <c r="U30" s="31">
        <f t="shared" si="8"/>
        <v>12</v>
      </c>
      <c r="V30" s="31">
        <f t="shared" si="9"/>
        <v>12</v>
      </c>
      <c r="W30" s="31">
        <f>VLOOKUP($A30,'Madras Sales'!$A$4:$P$35,W$1+1,0)</f>
        <v>2</v>
      </c>
      <c r="X30" s="31">
        <f>VLOOKUP($A30,'Stock Transfer'!$A$3:$AE$32,16+W$1,0)</f>
        <v>3</v>
      </c>
      <c r="Y30" s="31">
        <f t="shared" si="10"/>
        <v>13</v>
      </c>
      <c r="Z30" s="31">
        <f t="shared" si="11"/>
        <v>13</v>
      </c>
      <c r="AA30" s="31">
        <f>VLOOKUP($A30,'Madras Sales'!$A$4:$P$35,AA$1+1,0)</f>
        <v>2</v>
      </c>
      <c r="AB30" s="31">
        <f>VLOOKUP($A30,'Stock Transfer'!$A$3:$AE$32,16+AA$1,0)</f>
        <v>4</v>
      </c>
      <c r="AC30" s="31">
        <f t="shared" si="12"/>
        <v>15</v>
      </c>
      <c r="AD30" s="31">
        <f t="shared" si="13"/>
        <v>15</v>
      </c>
      <c r="AE30" s="31">
        <f>VLOOKUP($A30,'Madras Sales'!$A$4:$P$35,AE$1+1,0)</f>
        <v>2</v>
      </c>
      <c r="AF30" s="31">
        <f>VLOOKUP($A30,'Stock Transfer'!$A$3:$AE$32,16+AE$1,0)</f>
        <v>3</v>
      </c>
      <c r="AG30" s="31">
        <f t="shared" si="14"/>
        <v>16</v>
      </c>
      <c r="AH30" s="31">
        <f t="shared" si="15"/>
        <v>16</v>
      </c>
      <c r="AI30" s="31">
        <f>VLOOKUP($A30,'Madras Sales'!$A$4:$P$35,AI$1+1,0)</f>
        <v>2</v>
      </c>
      <c r="AJ30" s="31">
        <f>VLOOKUP($A30,'Stock Transfer'!$A$3:$AE$32,16+AI$1,0)</f>
        <v>3</v>
      </c>
      <c r="AK30" s="31">
        <f t="shared" si="16"/>
        <v>17</v>
      </c>
      <c r="AL30" s="31">
        <f t="shared" si="17"/>
        <v>17</v>
      </c>
      <c r="AM30" s="31">
        <f>VLOOKUP($A30,'Madras Sales'!$A$4:$P$35,AM$1+1,0)</f>
        <v>2</v>
      </c>
      <c r="AN30" s="31">
        <f>VLOOKUP($A30,'Stock Transfer'!$A$3:$AE$32,16+AM$1,0)</f>
        <v>4</v>
      </c>
      <c r="AO30" s="31">
        <f t="shared" si="18"/>
        <v>19</v>
      </c>
    </row>
    <row r="31" spans="1:41" x14ac:dyDescent="0.3">
      <c r="A31" s="17" t="s">
        <v>26</v>
      </c>
      <c r="B31" s="31">
        <f>VLOOKUP($A31,'Open STK'!$A$1:$E$31,4,0)</f>
        <v>1</v>
      </c>
      <c r="C31" s="31">
        <f>VLOOKUP($A31,'Madras Sales'!$A$4:$P$35,C$1+1,0)</f>
        <v>1</v>
      </c>
      <c r="D31" s="31">
        <f>VLOOKUP($A31,'Stock Transfer'!$A$3:$AE$32,16+C$1,0)</f>
        <v>2</v>
      </c>
      <c r="E31" s="31">
        <f t="shared" si="0"/>
        <v>2</v>
      </c>
      <c r="F31" s="31">
        <f t="shared" si="1"/>
        <v>2</v>
      </c>
      <c r="G31" s="31">
        <f>VLOOKUP($A31,'Madras Sales'!$A$4:$P$35,G$1+1,0)</f>
        <v>0</v>
      </c>
      <c r="H31" s="31">
        <f>VLOOKUP($A31,'Stock Transfer'!$A$3:$AE$32,16+G$1,0)</f>
        <v>2</v>
      </c>
      <c r="I31" s="31">
        <f t="shared" si="2"/>
        <v>4</v>
      </c>
      <c r="J31" s="31">
        <f t="shared" si="3"/>
        <v>4</v>
      </c>
      <c r="K31" s="31">
        <f>VLOOKUP($A31,'Madras Sales'!$A$4:$P$35,K$1+1,0)</f>
        <v>0</v>
      </c>
      <c r="L31" s="31">
        <f>VLOOKUP($A31,'Stock Transfer'!$A$3:$AE$32,16+K$1,0)</f>
        <v>2</v>
      </c>
      <c r="M31" s="31">
        <f t="shared" si="4"/>
        <v>6</v>
      </c>
      <c r="N31" s="31">
        <f t="shared" si="5"/>
        <v>6</v>
      </c>
      <c r="O31" s="31">
        <f>VLOOKUP($A31,'Madras Sales'!$A$4:$P$35,O$1+1,0)</f>
        <v>0</v>
      </c>
      <c r="P31" s="31">
        <f>VLOOKUP($A31,'Stock Transfer'!$A$3:$AE$32,16+O$1,0)</f>
        <v>2</v>
      </c>
      <c r="Q31" s="31">
        <f t="shared" si="6"/>
        <v>8</v>
      </c>
      <c r="R31" s="31">
        <f t="shared" si="7"/>
        <v>8</v>
      </c>
      <c r="S31" s="31">
        <f>VLOOKUP($A31,'Madras Sales'!$A$4:$P$35,S$1+1,0)</f>
        <v>1</v>
      </c>
      <c r="T31" s="31">
        <f>VLOOKUP($A31,'Stock Transfer'!$A$3:$AE$32,16+S$1,0)</f>
        <v>2</v>
      </c>
      <c r="U31" s="31">
        <f t="shared" si="8"/>
        <v>9</v>
      </c>
      <c r="V31" s="31">
        <f t="shared" si="9"/>
        <v>9</v>
      </c>
      <c r="W31" s="31">
        <f>VLOOKUP($A31,'Madras Sales'!$A$4:$P$35,W$1+1,0)</f>
        <v>1</v>
      </c>
      <c r="X31" s="31">
        <f>VLOOKUP($A31,'Stock Transfer'!$A$3:$AE$32,16+W$1,0)</f>
        <v>2</v>
      </c>
      <c r="Y31" s="31">
        <f t="shared" si="10"/>
        <v>10</v>
      </c>
      <c r="Z31" s="31">
        <f t="shared" si="11"/>
        <v>10</v>
      </c>
      <c r="AA31" s="31">
        <f>VLOOKUP($A31,'Madras Sales'!$A$4:$P$35,AA$1+1,0)</f>
        <v>0</v>
      </c>
      <c r="AB31" s="31">
        <f>VLOOKUP($A31,'Stock Transfer'!$A$3:$AE$32,16+AA$1,0)</f>
        <v>2</v>
      </c>
      <c r="AC31" s="31">
        <f t="shared" si="12"/>
        <v>12</v>
      </c>
      <c r="AD31" s="31">
        <f t="shared" si="13"/>
        <v>12</v>
      </c>
      <c r="AE31" s="31">
        <f>VLOOKUP($A31,'Madras Sales'!$A$4:$P$35,AE$1+1,0)</f>
        <v>1</v>
      </c>
      <c r="AF31" s="31">
        <f>VLOOKUP($A31,'Stock Transfer'!$A$3:$AE$32,16+AE$1,0)</f>
        <v>2</v>
      </c>
      <c r="AG31" s="31">
        <f t="shared" si="14"/>
        <v>13</v>
      </c>
      <c r="AH31" s="31">
        <f t="shared" si="15"/>
        <v>13</v>
      </c>
      <c r="AI31" s="31">
        <f>VLOOKUP($A31,'Madras Sales'!$A$4:$P$35,AI$1+1,0)</f>
        <v>1</v>
      </c>
      <c r="AJ31" s="31">
        <f>VLOOKUP($A31,'Stock Transfer'!$A$3:$AE$32,16+AI$1,0)</f>
        <v>2</v>
      </c>
      <c r="AK31" s="31">
        <f t="shared" si="16"/>
        <v>14</v>
      </c>
      <c r="AL31" s="31">
        <f t="shared" si="17"/>
        <v>14</v>
      </c>
      <c r="AM31" s="31">
        <f>VLOOKUP($A31,'Madras Sales'!$A$4:$P$35,AM$1+1,0)</f>
        <v>0</v>
      </c>
      <c r="AN31" s="31">
        <f>VLOOKUP($A31,'Stock Transfer'!$A$3:$AE$32,16+AM$1,0)</f>
        <v>2</v>
      </c>
      <c r="AO31" s="31">
        <f t="shared" si="18"/>
        <v>16</v>
      </c>
    </row>
    <row r="32" spans="1:41" x14ac:dyDescent="0.3">
      <c r="A32" s="17" t="s">
        <v>29</v>
      </c>
      <c r="B32" s="31">
        <f>VLOOKUP($A32,'Open STK'!$A$1:$E$31,4,0)</f>
        <v>2</v>
      </c>
      <c r="C32" s="31">
        <f>VLOOKUP($A32,'Madras Sales'!$A$4:$P$35,C$1+1,0)</f>
        <v>0</v>
      </c>
      <c r="D32" s="31">
        <f>VLOOKUP($A32,'Stock Transfer'!$A$3:$AE$32,16+C$1,0)</f>
        <v>2</v>
      </c>
      <c r="E32" s="31">
        <f t="shared" si="0"/>
        <v>4</v>
      </c>
      <c r="F32" s="31">
        <f t="shared" si="1"/>
        <v>4</v>
      </c>
      <c r="G32" s="31">
        <f>VLOOKUP($A32,'Madras Sales'!$A$4:$P$35,G$1+1,0)</f>
        <v>1</v>
      </c>
      <c r="H32" s="31">
        <f>VLOOKUP($A32,'Stock Transfer'!$A$3:$AE$32,16+G$1,0)</f>
        <v>2</v>
      </c>
      <c r="I32" s="31">
        <f t="shared" si="2"/>
        <v>5</v>
      </c>
      <c r="J32" s="31">
        <f t="shared" si="3"/>
        <v>5</v>
      </c>
      <c r="K32" s="31">
        <f>VLOOKUP($A32,'Madras Sales'!$A$4:$P$35,K$1+1,0)</f>
        <v>0</v>
      </c>
      <c r="L32" s="31">
        <f>VLOOKUP($A32,'Stock Transfer'!$A$3:$AE$32,16+K$1,0)</f>
        <v>2</v>
      </c>
      <c r="M32" s="31">
        <f t="shared" si="4"/>
        <v>7</v>
      </c>
      <c r="N32" s="31">
        <f t="shared" si="5"/>
        <v>7</v>
      </c>
      <c r="O32" s="31">
        <f>VLOOKUP($A32,'Madras Sales'!$A$4:$P$35,O$1+1,0)</f>
        <v>1</v>
      </c>
      <c r="P32" s="31">
        <f>VLOOKUP($A32,'Stock Transfer'!$A$3:$AE$32,16+O$1,0)</f>
        <v>2</v>
      </c>
      <c r="Q32" s="31">
        <f t="shared" si="6"/>
        <v>8</v>
      </c>
      <c r="R32" s="31">
        <f t="shared" si="7"/>
        <v>8</v>
      </c>
      <c r="S32" s="31">
        <f>VLOOKUP($A32,'Madras Sales'!$A$4:$P$35,S$1+1,0)</f>
        <v>0</v>
      </c>
      <c r="T32" s="31">
        <f>VLOOKUP($A32,'Stock Transfer'!$A$3:$AE$32,16+S$1,0)</f>
        <v>2</v>
      </c>
      <c r="U32" s="31">
        <f t="shared" si="8"/>
        <v>10</v>
      </c>
      <c r="V32" s="31">
        <f t="shared" si="9"/>
        <v>10</v>
      </c>
      <c r="W32" s="31">
        <f>VLOOKUP($A32,'Madras Sales'!$A$4:$P$35,W$1+1,0)</f>
        <v>0</v>
      </c>
      <c r="X32" s="31">
        <f>VLOOKUP($A32,'Stock Transfer'!$A$3:$AE$32,16+W$1,0)</f>
        <v>2</v>
      </c>
      <c r="Y32" s="31">
        <f t="shared" si="10"/>
        <v>12</v>
      </c>
      <c r="Z32" s="31">
        <f t="shared" si="11"/>
        <v>12</v>
      </c>
      <c r="AA32" s="31">
        <f>VLOOKUP($A32,'Madras Sales'!$A$4:$P$35,AA$1+1,0)</f>
        <v>1</v>
      </c>
      <c r="AB32" s="31">
        <f>VLOOKUP($A32,'Stock Transfer'!$A$3:$AE$32,16+AA$1,0)</f>
        <v>2</v>
      </c>
      <c r="AC32" s="31">
        <f t="shared" si="12"/>
        <v>13</v>
      </c>
      <c r="AD32" s="31">
        <f t="shared" si="13"/>
        <v>13</v>
      </c>
      <c r="AE32" s="31">
        <f>VLOOKUP($A32,'Madras Sales'!$A$4:$P$35,AE$1+1,0)</f>
        <v>0</v>
      </c>
      <c r="AF32" s="31">
        <f>VLOOKUP($A32,'Stock Transfer'!$A$3:$AE$32,16+AE$1,0)</f>
        <v>2</v>
      </c>
      <c r="AG32" s="31">
        <f t="shared" si="14"/>
        <v>15</v>
      </c>
      <c r="AH32" s="31">
        <f t="shared" si="15"/>
        <v>15</v>
      </c>
      <c r="AI32" s="31">
        <f>VLOOKUP($A32,'Madras Sales'!$A$4:$P$35,AI$1+1,0)</f>
        <v>0</v>
      </c>
      <c r="AJ32" s="31">
        <f>VLOOKUP($A32,'Stock Transfer'!$A$3:$AE$32,16+AI$1,0)</f>
        <v>2</v>
      </c>
      <c r="AK32" s="31">
        <f t="shared" si="16"/>
        <v>17</v>
      </c>
      <c r="AL32" s="31">
        <f t="shared" si="17"/>
        <v>17</v>
      </c>
      <c r="AM32" s="31">
        <f>VLOOKUP($A32,'Madras Sales'!$A$4:$P$35,AM$1+1,0)</f>
        <v>0</v>
      </c>
      <c r="AN32" s="31">
        <f>VLOOKUP($A32,'Stock Transfer'!$A$3:$AE$32,16+AM$1,0)</f>
        <v>2</v>
      </c>
      <c r="AO32" s="31">
        <f t="shared" si="18"/>
        <v>19</v>
      </c>
    </row>
    <row r="33" spans="1:41" x14ac:dyDescent="0.3">
      <c r="A33" s="17" t="s">
        <v>32</v>
      </c>
      <c r="B33" s="31">
        <f>VLOOKUP($A33,'Open STK'!$A$1:$E$31,4,0)</f>
        <v>1</v>
      </c>
      <c r="C33" s="31">
        <f>VLOOKUP($A33,'Madras Sales'!$A$4:$P$35,C$1+1,0)</f>
        <v>0</v>
      </c>
      <c r="D33" s="31">
        <f>VLOOKUP($A33,'Stock Transfer'!$A$3:$AE$32,16+C$1,0)</f>
        <v>2</v>
      </c>
      <c r="E33" s="31">
        <f t="shared" si="0"/>
        <v>3</v>
      </c>
      <c r="F33" s="31">
        <f t="shared" si="1"/>
        <v>3</v>
      </c>
      <c r="G33" s="31">
        <f>VLOOKUP($A33,'Madras Sales'!$A$4:$P$35,G$1+1,0)</f>
        <v>0</v>
      </c>
      <c r="H33" s="31">
        <f>VLOOKUP($A33,'Stock Transfer'!$A$3:$AE$32,16+G$1,0)</f>
        <v>2</v>
      </c>
      <c r="I33" s="31">
        <f t="shared" si="2"/>
        <v>5</v>
      </c>
      <c r="J33" s="31">
        <f t="shared" si="3"/>
        <v>5</v>
      </c>
      <c r="K33" s="31">
        <f>VLOOKUP($A33,'Madras Sales'!$A$4:$P$35,K$1+1,0)</f>
        <v>0</v>
      </c>
      <c r="L33" s="31">
        <f>VLOOKUP($A33,'Stock Transfer'!$A$3:$AE$32,16+K$1,0)</f>
        <v>2</v>
      </c>
      <c r="M33" s="31">
        <f t="shared" si="4"/>
        <v>7</v>
      </c>
      <c r="N33" s="31">
        <f t="shared" si="5"/>
        <v>7</v>
      </c>
      <c r="O33" s="31">
        <f>VLOOKUP($A33,'Madras Sales'!$A$4:$P$35,O$1+1,0)</f>
        <v>0</v>
      </c>
      <c r="P33" s="31">
        <f>VLOOKUP($A33,'Stock Transfer'!$A$3:$AE$32,16+O$1,0)</f>
        <v>2</v>
      </c>
      <c r="Q33" s="31">
        <f t="shared" si="6"/>
        <v>9</v>
      </c>
      <c r="R33" s="31">
        <f t="shared" si="7"/>
        <v>9</v>
      </c>
      <c r="S33" s="31">
        <f>VLOOKUP($A33,'Madras Sales'!$A$4:$P$35,S$1+1,0)</f>
        <v>1</v>
      </c>
      <c r="T33" s="31">
        <f>VLOOKUP($A33,'Stock Transfer'!$A$3:$AE$32,16+S$1,0)</f>
        <v>2</v>
      </c>
      <c r="U33" s="31">
        <f t="shared" si="8"/>
        <v>10</v>
      </c>
      <c r="V33" s="31">
        <f t="shared" si="9"/>
        <v>10</v>
      </c>
      <c r="W33" s="31">
        <f>VLOOKUP($A33,'Madras Sales'!$A$4:$P$35,W$1+1,0)</f>
        <v>1</v>
      </c>
      <c r="X33" s="31">
        <f>VLOOKUP($A33,'Stock Transfer'!$A$3:$AE$32,16+W$1,0)</f>
        <v>2</v>
      </c>
      <c r="Y33" s="31">
        <f t="shared" si="10"/>
        <v>11</v>
      </c>
      <c r="Z33" s="31">
        <f t="shared" si="11"/>
        <v>11</v>
      </c>
      <c r="AA33" s="31">
        <f>VLOOKUP($A33,'Madras Sales'!$A$4:$P$35,AA$1+1,0)</f>
        <v>0</v>
      </c>
      <c r="AB33" s="31">
        <f>VLOOKUP($A33,'Stock Transfer'!$A$3:$AE$32,16+AA$1,0)</f>
        <v>2</v>
      </c>
      <c r="AC33" s="31">
        <f t="shared" si="12"/>
        <v>13</v>
      </c>
      <c r="AD33" s="31">
        <f t="shared" si="13"/>
        <v>13</v>
      </c>
      <c r="AE33" s="31">
        <f>VLOOKUP($A33,'Madras Sales'!$A$4:$P$35,AE$1+1,0)</f>
        <v>0</v>
      </c>
      <c r="AF33" s="31">
        <f>VLOOKUP($A33,'Stock Transfer'!$A$3:$AE$32,16+AE$1,0)</f>
        <v>2</v>
      </c>
      <c r="AG33" s="31">
        <f t="shared" si="14"/>
        <v>15</v>
      </c>
      <c r="AH33" s="31">
        <f t="shared" si="15"/>
        <v>15</v>
      </c>
      <c r="AI33" s="31">
        <f>VLOOKUP($A33,'Madras Sales'!$A$4:$P$35,AI$1+1,0)</f>
        <v>0</v>
      </c>
      <c r="AJ33" s="31">
        <f>VLOOKUP($A33,'Stock Transfer'!$A$3:$AE$32,16+AI$1,0)</f>
        <v>2</v>
      </c>
      <c r="AK33" s="31">
        <f t="shared" si="16"/>
        <v>17</v>
      </c>
      <c r="AL33" s="31">
        <f t="shared" si="17"/>
        <v>17</v>
      </c>
      <c r="AM33" s="31">
        <f>VLOOKUP($A33,'Madras Sales'!$A$4:$P$35,AM$1+1,0)</f>
        <v>0</v>
      </c>
      <c r="AN33" s="31">
        <f>VLOOKUP($A33,'Stock Transfer'!$A$3:$AE$32,16+AM$1,0)</f>
        <v>2</v>
      </c>
      <c r="AO33" s="31">
        <f t="shared" si="18"/>
        <v>19</v>
      </c>
    </row>
  </sheetData>
  <mergeCells count="10">
    <mergeCell ref="Z2:AC2"/>
    <mergeCell ref="AD2:AG2"/>
    <mergeCell ref="AH2:AK2"/>
    <mergeCell ref="AL2:AO2"/>
    <mergeCell ref="B2:E2"/>
    <mergeCell ref="F2:I2"/>
    <mergeCell ref="J2:M2"/>
    <mergeCell ref="N2:Q2"/>
    <mergeCell ref="R2:U2"/>
    <mergeCell ref="V2:Y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workbookViewId="0">
      <selection activeCell="B5" sqref="B5"/>
    </sheetView>
  </sheetViews>
  <sheetFormatPr defaultRowHeight="13.2" x14ac:dyDescent="0.25"/>
  <cols>
    <col min="1" max="1" width="13.33203125" bestFit="1" customWidth="1"/>
    <col min="2" max="2" width="16.21875" customWidth="1"/>
    <col min="3" max="16" width="10.33203125" bestFit="1" customWidth="1"/>
    <col min="17" max="17" width="11.33203125" bestFit="1" customWidth="1"/>
  </cols>
  <sheetData>
    <row r="1" spans="1:17" x14ac:dyDescent="0.25">
      <c r="A1" s="14" t="s">
        <v>101</v>
      </c>
      <c r="B1" t="s">
        <v>98</v>
      </c>
    </row>
    <row r="3" spans="1:17" x14ac:dyDescent="0.25">
      <c r="A3" s="14" t="s">
        <v>108</v>
      </c>
      <c r="B3" s="14" t="s">
        <v>115</v>
      </c>
    </row>
    <row r="4" spans="1:17" x14ac:dyDescent="0.25">
      <c r="A4" s="14" t="s">
        <v>107</v>
      </c>
      <c r="B4" s="26">
        <v>44287</v>
      </c>
      <c r="C4" s="26">
        <v>44288</v>
      </c>
      <c r="D4" s="26">
        <v>44289</v>
      </c>
      <c r="E4" s="26">
        <v>44290</v>
      </c>
      <c r="F4" s="26">
        <v>44291</v>
      </c>
      <c r="G4" s="26">
        <v>44292</v>
      </c>
      <c r="H4" s="26">
        <v>44293</v>
      </c>
      <c r="I4" s="26">
        <v>44294</v>
      </c>
      <c r="J4" s="26">
        <v>44295</v>
      </c>
      <c r="K4" s="26">
        <v>44296</v>
      </c>
      <c r="L4" s="26">
        <v>44297</v>
      </c>
      <c r="M4" s="26">
        <v>44298</v>
      </c>
      <c r="N4" s="26">
        <v>44299</v>
      </c>
      <c r="O4" s="26">
        <v>44300</v>
      </c>
      <c r="P4" s="26">
        <v>44301</v>
      </c>
      <c r="Q4" s="26" t="s">
        <v>103</v>
      </c>
    </row>
    <row r="5" spans="1:17" x14ac:dyDescent="0.25">
      <c r="A5" s="27" t="s">
        <v>36</v>
      </c>
      <c r="B5" s="16">
        <v>14</v>
      </c>
      <c r="C5" s="16">
        <v>9</v>
      </c>
      <c r="D5" s="16">
        <v>13</v>
      </c>
      <c r="E5" s="16">
        <v>6</v>
      </c>
      <c r="F5" s="16">
        <v>21</v>
      </c>
      <c r="G5" s="16">
        <v>18</v>
      </c>
      <c r="H5" s="16">
        <v>2</v>
      </c>
      <c r="I5" s="16">
        <v>24</v>
      </c>
      <c r="J5" s="16">
        <v>5</v>
      </c>
      <c r="K5" s="16">
        <v>13</v>
      </c>
      <c r="L5" s="16">
        <v>9</v>
      </c>
      <c r="M5" s="16">
        <v>23</v>
      </c>
      <c r="N5" s="16">
        <v>25</v>
      </c>
      <c r="O5" s="16">
        <v>2</v>
      </c>
      <c r="P5" s="16">
        <v>26</v>
      </c>
      <c r="Q5" s="16">
        <v>210</v>
      </c>
    </row>
    <row r="6" spans="1:17" x14ac:dyDescent="0.25">
      <c r="A6" s="27" t="s">
        <v>39</v>
      </c>
      <c r="B6" s="16">
        <v>13</v>
      </c>
      <c r="C6" s="16">
        <v>5</v>
      </c>
      <c r="D6" s="16">
        <v>4</v>
      </c>
      <c r="E6" s="16">
        <v>2</v>
      </c>
      <c r="F6" s="16">
        <v>7</v>
      </c>
      <c r="G6" s="16">
        <v>3</v>
      </c>
      <c r="H6" s="16">
        <v>7</v>
      </c>
      <c r="I6" s="16">
        <v>3</v>
      </c>
      <c r="J6" s="16">
        <v>1</v>
      </c>
      <c r="K6" s="16">
        <v>3</v>
      </c>
      <c r="L6" s="16">
        <v>13</v>
      </c>
      <c r="M6" s="16">
        <v>10</v>
      </c>
      <c r="N6" s="16">
        <v>3</v>
      </c>
      <c r="O6" s="16">
        <v>10</v>
      </c>
      <c r="P6" s="16">
        <v>3</v>
      </c>
      <c r="Q6" s="16">
        <v>87</v>
      </c>
    </row>
    <row r="7" spans="1:17" x14ac:dyDescent="0.25">
      <c r="A7" s="27" t="s">
        <v>42</v>
      </c>
      <c r="B7" s="16">
        <v>8</v>
      </c>
      <c r="C7" s="16">
        <v>5</v>
      </c>
      <c r="D7" s="16">
        <v>7</v>
      </c>
      <c r="E7" s="16">
        <v>0</v>
      </c>
      <c r="F7" s="16">
        <v>0</v>
      </c>
      <c r="G7" s="16">
        <v>6</v>
      </c>
      <c r="H7" s="16">
        <v>5</v>
      </c>
      <c r="I7" s="16">
        <v>0</v>
      </c>
      <c r="J7" s="16">
        <v>4</v>
      </c>
      <c r="K7" s="16">
        <v>1</v>
      </c>
      <c r="L7" s="16">
        <v>1</v>
      </c>
      <c r="M7" s="16">
        <v>9</v>
      </c>
      <c r="N7" s="16">
        <v>11</v>
      </c>
      <c r="O7" s="16">
        <v>10</v>
      </c>
      <c r="P7" s="16">
        <v>9</v>
      </c>
      <c r="Q7" s="16">
        <v>76</v>
      </c>
    </row>
    <row r="8" spans="1:17" x14ac:dyDescent="0.25">
      <c r="A8" s="27" t="s">
        <v>45</v>
      </c>
      <c r="B8" s="16">
        <v>1</v>
      </c>
      <c r="C8" s="16">
        <v>1</v>
      </c>
      <c r="D8" s="16">
        <v>3</v>
      </c>
      <c r="E8" s="16">
        <v>2</v>
      </c>
      <c r="F8" s="16">
        <v>1</v>
      </c>
      <c r="G8" s="16">
        <v>7</v>
      </c>
      <c r="H8" s="16">
        <v>2</v>
      </c>
      <c r="I8" s="16">
        <v>7</v>
      </c>
      <c r="J8" s="16">
        <v>6</v>
      </c>
      <c r="K8" s="16">
        <v>6</v>
      </c>
      <c r="L8" s="16">
        <v>4</v>
      </c>
      <c r="M8" s="16">
        <v>0</v>
      </c>
      <c r="N8" s="16">
        <v>5</v>
      </c>
      <c r="O8" s="16">
        <v>6</v>
      </c>
      <c r="P8" s="16">
        <v>8</v>
      </c>
      <c r="Q8" s="16">
        <v>59</v>
      </c>
    </row>
    <row r="9" spans="1:17" x14ac:dyDescent="0.25">
      <c r="A9" s="27" t="s">
        <v>48</v>
      </c>
      <c r="B9" s="16">
        <v>2</v>
      </c>
      <c r="C9" s="16">
        <v>0</v>
      </c>
      <c r="D9" s="16">
        <v>0</v>
      </c>
      <c r="E9" s="16">
        <v>4</v>
      </c>
      <c r="F9" s="16">
        <v>3</v>
      </c>
      <c r="G9" s="16">
        <v>7</v>
      </c>
      <c r="H9" s="16">
        <v>4</v>
      </c>
      <c r="I9" s="16">
        <v>2</v>
      </c>
      <c r="J9" s="16">
        <v>0</v>
      </c>
      <c r="K9" s="16">
        <v>3</v>
      </c>
      <c r="L9" s="16">
        <v>3</v>
      </c>
      <c r="M9" s="16">
        <v>4</v>
      </c>
      <c r="N9" s="16">
        <v>0</v>
      </c>
      <c r="O9" s="16">
        <v>0</v>
      </c>
      <c r="P9" s="16">
        <v>0</v>
      </c>
      <c r="Q9" s="16">
        <v>32</v>
      </c>
    </row>
    <row r="10" spans="1:17" x14ac:dyDescent="0.25">
      <c r="A10" s="27" t="s">
        <v>51</v>
      </c>
      <c r="B10" s="16">
        <v>0</v>
      </c>
      <c r="C10" s="16">
        <v>3</v>
      </c>
      <c r="D10" s="16">
        <v>0</v>
      </c>
      <c r="E10" s="16">
        <v>2</v>
      </c>
      <c r="F10" s="16">
        <v>1</v>
      </c>
      <c r="G10" s="16">
        <v>1</v>
      </c>
      <c r="H10" s="16">
        <v>2</v>
      </c>
      <c r="I10" s="16">
        <v>0</v>
      </c>
      <c r="J10" s="16">
        <v>3</v>
      </c>
      <c r="K10" s="16">
        <v>1</v>
      </c>
      <c r="L10" s="16">
        <v>3</v>
      </c>
      <c r="M10" s="16">
        <v>4</v>
      </c>
      <c r="N10" s="16">
        <v>1</v>
      </c>
      <c r="O10" s="16">
        <v>0</v>
      </c>
      <c r="P10" s="16">
        <v>0</v>
      </c>
      <c r="Q10" s="16">
        <v>21</v>
      </c>
    </row>
    <row r="11" spans="1:17" x14ac:dyDescent="0.25">
      <c r="A11" s="27" t="s">
        <v>54</v>
      </c>
      <c r="B11" s="16">
        <v>4</v>
      </c>
      <c r="C11" s="16">
        <v>1</v>
      </c>
      <c r="D11" s="16">
        <v>1</v>
      </c>
      <c r="E11" s="16">
        <v>0</v>
      </c>
      <c r="F11" s="16">
        <v>1</v>
      </c>
      <c r="G11" s="16">
        <v>3</v>
      </c>
      <c r="H11" s="16">
        <v>4</v>
      </c>
      <c r="I11" s="16">
        <v>2</v>
      </c>
      <c r="J11" s="16">
        <v>1</v>
      </c>
      <c r="K11" s="16">
        <v>3</v>
      </c>
      <c r="L11" s="16">
        <v>2</v>
      </c>
      <c r="M11" s="16">
        <v>0</v>
      </c>
      <c r="N11" s="16">
        <v>1</v>
      </c>
      <c r="O11" s="16">
        <v>1</v>
      </c>
      <c r="P11" s="16">
        <v>2</v>
      </c>
      <c r="Q11" s="16">
        <v>26</v>
      </c>
    </row>
    <row r="12" spans="1:17" x14ac:dyDescent="0.25">
      <c r="A12" s="27" t="s">
        <v>57</v>
      </c>
      <c r="B12" s="16">
        <v>1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1</v>
      </c>
      <c r="I12" s="16">
        <v>0</v>
      </c>
      <c r="J12" s="16">
        <v>2</v>
      </c>
      <c r="K12" s="16">
        <v>0</v>
      </c>
      <c r="L12" s="16">
        <v>0</v>
      </c>
      <c r="M12" s="16">
        <v>1</v>
      </c>
      <c r="N12" s="16">
        <v>0</v>
      </c>
      <c r="O12" s="16">
        <v>1</v>
      </c>
      <c r="P12" s="16">
        <v>0</v>
      </c>
      <c r="Q12" s="16">
        <v>6</v>
      </c>
    </row>
    <row r="13" spans="1:17" x14ac:dyDescent="0.25">
      <c r="A13" s="27" t="s">
        <v>60</v>
      </c>
      <c r="B13" s="16">
        <v>0</v>
      </c>
      <c r="C13" s="16">
        <v>1</v>
      </c>
      <c r="D13" s="16">
        <v>0</v>
      </c>
      <c r="E13" s="16">
        <v>1</v>
      </c>
      <c r="F13" s="16">
        <v>0</v>
      </c>
      <c r="G13" s="16">
        <v>0</v>
      </c>
      <c r="H13" s="16">
        <v>0</v>
      </c>
      <c r="I13" s="16">
        <v>0</v>
      </c>
      <c r="J13" s="16">
        <v>1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3</v>
      </c>
    </row>
    <row r="14" spans="1:17" x14ac:dyDescent="0.25">
      <c r="A14" s="27" t="s">
        <v>63</v>
      </c>
      <c r="B14" s="16">
        <v>0</v>
      </c>
      <c r="C14" s="16">
        <v>0</v>
      </c>
      <c r="D14" s="16">
        <v>0</v>
      </c>
      <c r="E14" s="16">
        <v>0</v>
      </c>
      <c r="F14" s="16">
        <v>1</v>
      </c>
      <c r="G14" s="16">
        <v>1</v>
      </c>
      <c r="H14" s="16">
        <v>0</v>
      </c>
      <c r="I14" s="16">
        <v>0</v>
      </c>
      <c r="J14" s="16">
        <v>0</v>
      </c>
      <c r="K14" s="16">
        <v>2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4</v>
      </c>
    </row>
    <row r="15" spans="1:17" x14ac:dyDescent="0.25">
      <c r="A15" s="27" t="s">
        <v>67</v>
      </c>
      <c r="B15" s="16">
        <v>20</v>
      </c>
      <c r="C15" s="16">
        <v>18</v>
      </c>
      <c r="D15" s="16">
        <v>17</v>
      </c>
      <c r="E15" s="16">
        <v>18</v>
      </c>
      <c r="F15" s="16">
        <v>18</v>
      </c>
      <c r="G15" s="16">
        <v>20</v>
      </c>
      <c r="H15" s="16">
        <v>25</v>
      </c>
      <c r="I15" s="16">
        <v>22</v>
      </c>
      <c r="J15" s="16">
        <v>19</v>
      </c>
      <c r="K15" s="16">
        <v>24</v>
      </c>
      <c r="L15" s="16">
        <v>20</v>
      </c>
      <c r="M15" s="16">
        <v>19</v>
      </c>
      <c r="N15" s="16">
        <v>24</v>
      </c>
      <c r="O15" s="16">
        <v>19</v>
      </c>
      <c r="P15" s="16">
        <v>18</v>
      </c>
      <c r="Q15" s="16">
        <v>301</v>
      </c>
    </row>
    <row r="16" spans="1:17" x14ac:dyDescent="0.25">
      <c r="A16" s="27" t="s">
        <v>70</v>
      </c>
      <c r="B16" s="16">
        <v>8</v>
      </c>
      <c r="C16" s="16">
        <v>10</v>
      </c>
      <c r="D16" s="16">
        <v>11</v>
      </c>
      <c r="E16" s="16">
        <v>9</v>
      </c>
      <c r="F16" s="16">
        <v>14</v>
      </c>
      <c r="G16" s="16">
        <v>10</v>
      </c>
      <c r="H16" s="16">
        <v>10</v>
      </c>
      <c r="I16" s="16">
        <v>10</v>
      </c>
      <c r="J16" s="16">
        <v>8</v>
      </c>
      <c r="K16" s="16">
        <v>11</v>
      </c>
      <c r="L16" s="16">
        <v>8</v>
      </c>
      <c r="M16" s="16">
        <v>8</v>
      </c>
      <c r="N16" s="16">
        <v>9</v>
      </c>
      <c r="O16" s="16">
        <v>10</v>
      </c>
      <c r="P16" s="16">
        <v>13</v>
      </c>
      <c r="Q16" s="16">
        <v>149</v>
      </c>
    </row>
    <row r="17" spans="1:17" x14ac:dyDescent="0.25">
      <c r="A17" s="27" t="s">
        <v>73</v>
      </c>
      <c r="B17" s="16">
        <v>8</v>
      </c>
      <c r="C17" s="16">
        <v>7</v>
      </c>
      <c r="D17" s="16">
        <v>7</v>
      </c>
      <c r="E17" s="16">
        <v>9</v>
      </c>
      <c r="F17" s="16">
        <v>7</v>
      </c>
      <c r="G17" s="16">
        <v>7</v>
      </c>
      <c r="H17" s="16">
        <v>6</v>
      </c>
      <c r="I17" s="16">
        <v>9</v>
      </c>
      <c r="J17" s="16">
        <v>7</v>
      </c>
      <c r="K17" s="16">
        <v>7</v>
      </c>
      <c r="L17" s="16">
        <v>6</v>
      </c>
      <c r="M17" s="16">
        <v>8</v>
      </c>
      <c r="N17" s="16">
        <v>7</v>
      </c>
      <c r="O17" s="16">
        <v>6</v>
      </c>
      <c r="P17" s="16">
        <v>8</v>
      </c>
      <c r="Q17" s="16">
        <v>109</v>
      </c>
    </row>
    <row r="18" spans="1:17" x14ac:dyDescent="0.25">
      <c r="A18" s="27" t="s">
        <v>76</v>
      </c>
      <c r="B18" s="16">
        <v>4</v>
      </c>
      <c r="C18" s="16">
        <v>4</v>
      </c>
      <c r="D18" s="16">
        <v>6</v>
      </c>
      <c r="E18" s="16">
        <v>6</v>
      </c>
      <c r="F18" s="16">
        <v>5</v>
      </c>
      <c r="G18" s="16">
        <v>6</v>
      </c>
      <c r="H18" s="16">
        <v>7</v>
      </c>
      <c r="I18" s="16">
        <v>6</v>
      </c>
      <c r="J18" s="16">
        <v>6</v>
      </c>
      <c r="K18" s="16">
        <v>5</v>
      </c>
      <c r="L18" s="16">
        <v>5</v>
      </c>
      <c r="M18" s="16">
        <v>7</v>
      </c>
      <c r="N18" s="16">
        <v>6</v>
      </c>
      <c r="O18" s="16">
        <v>5</v>
      </c>
      <c r="P18" s="16">
        <v>7</v>
      </c>
      <c r="Q18" s="16">
        <v>85</v>
      </c>
    </row>
    <row r="19" spans="1:17" x14ac:dyDescent="0.25">
      <c r="A19" s="27" t="s">
        <v>78</v>
      </c>
      <c r="B19" s="16">
        <v>3</v>
      </c>
      <c r="C19" s="16">
        <v>1</v>
      </c>
      <c r="D19" s="16">
        <v>4</v>
      </c>
      <c r="E19" s="16">
        <v>2</v>
      </c>
      <c r="F19" s="16">
        <v>3</v>
      </c>
      <c r="G19" s="16">
        <v>2</v>
      </c>
      <c r="H19" s="16">
        <v>5</v>
      </c>
      <c r="I19" s="16">
        <v>1</v>
      </c>
      <c r="J19" s="16">
        <v>4</v>
      </c>
      <c r="K19" s="16">
        <v>5</v>
      </c>
      <c r="L19" s="16">
        <v>2</v>
      </c>
      <c r="M19" s="16">
        <v>2</v>
      </c>
      <c r="N19" s="16">
        <v>3</v>
      </c>
      <c r="O19" s="16">
        <v>2</v>
      </c>
      <c r="P19" s="16">
        <v>3</v>
      </c>
      <c r="Q19" s="16">
        <v>42</v>
      </c>
    </row>
    <row r="20" spans="1:17" x14ac:dyDescent="0.25">
      <c r="A20" s="27" t="s">
        <v>81</v>
      </c>
      <c r="B20" s="16">
        <v>0</v>
      </c>
      <c r="C20" s="16">
        <v>0</v>
      </c>
      <c r="D20" s="16">
        <v>1</v>
      </c>
      <c r="E20" s="16">
        <v>1</v>
      </c>
      <c r="F20" s="16">
        <v>0</v>
      </c>
      <c r="G20" s="16">
        <v>1</v>
      </c>
      <c r="H20" s="16">
        <v>2</v>
      </c>
      <c r="I20" s="16">
        <v>1</v>
      </c>
      <c r="J20" s="16">
        <v>0</v>
      </c>
      <c r="K20" s="16">
        <v>0</v>
      </c>
      <c r="L20" s="16">
        <v>0</v>
      </c>
      <c r="M20" s="16">
        <v>1</v>
      </c>
      <c r="N20" s="16">
        <v>2</v>
      </c>
      <c r="O20" s="16">
        <v>4</v>
      </c>
      <c r="P20" s="16">
        <v>5</v>
      </c>
      <c r="Q20" s="16">
        <v>18</v>
      </c>
    </row>
    <row r="21" spans="1:17" x14ac:dyDescent="0.25">
      <c r="A21" s="27" t="s">
        <v>84</v>
      </c>
      <c r="B21" s="16">
        <v>0</v>
      </c>
      <c r="C21" s="16">
        <v>1</v>
      </c>
      <c r="D21" s="16">
        <v>0</v>
      </c>
      <c r="E21" s="16">
        <v>2</v>
      </c>
      <c r="F21" s="16">
        <v>0</v>
      </c>
      <c r="G21" s="16">
        <v>0</v>
      </c>
      <c r="H21" s="16">
        <v>0</v>
      </c>
      <c r="I21" s="16">
        <v>0</v>
      </c>
      <c r="J21" s="16">
        <v>1</v>
      </c>
      <c r="K21" s="16">
        <v>1</v>
      </c>
      <c r="L21" s="16">
        <v>0</v>
      </c>
      <c r="M21" s="16">
        <v>1</v>
      </c>
      <c r="N21" s="16">
        <v>1</v>
      </c>
      <c r="O21" s="16">
        <v>1</v>
      </c>
      <c r="P21" s="16">
        <v>0</v>
      </c>
      <c r="Q21" s="16">
        <v>8</v>
      </c>
    </row>
    <row r="22" spans="1:17" x14ac:dyDescent="0.25">
      <c r="A22" s="27" t="s">
        <v>87</v>
      </c>
      <c r="B22" s="16">
        <v>0</v>
      </c>
      <c r="C22" s="16">
        <v>0</v>
      </c>
      <c r="D22" s="16">
        <v>1</v>
      </c>
      <c r="E22" s="16">
        <v>0</v>
      </c>
      <c r="F22" s="16">
        <v>0</v>
      </c>
      <c r="G22" s="16">
        <v>0</v>
      </c>
      <c r="H22" s="16">
        <v>1</v>
      </c>
      <c r="I22" s="16">
        <v>0</v>
      </c>
      <c r="J22" s="16">
        <v>1</v>
      </c>
      <c r="K22" s="16">
        <v>0</v>
      </c>
      <c r="L22" s="16">
        <v>0</v>
      </c>
      <c r="M22" s="16">
        <v>0</v>
      </c>
      <c r="N22" s="16">
        <v>0</v>
      </c>
      <c r="O22" s="16">
        <v>1</v>
      </c>
      <c r="P22" s="16">
        <v>1</v>
      </c>
      <c r="Q22" s="16">
        <v>5</v>
      </c>
    </row>
    <row r="23" spans="1:17" x14ac:dyDescent="0.25">
      <c r="A23" s="27" t="s">
        <v>90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1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1</v>
      </c>
    </row>
    <row r="24" spans="1:17" x14ac:dyDescent="0.25">
      <c r="A24" s="27" t="s">
        <v>93</v>
      </c>
      <c r="B24" s="16">
        <v>1</v>
      </c>
      <c r="C24" s="16">
        <v>0</v>
      </c>
      <c r="D24" s="16">
        <v>0</v>
      </c>
      <c r="E24" s="16">
        <v>1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2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4</v>
      </c>
    </row>
    <row r="25" spans="1:17" x14ac:dyDescent="0.25">
      <c r="A25" s="27" t="s">
        <v>6</v>
      </c>
      <c r="B25" s="16">
        <v>17</v>
      </c>
      <c r="C25" s="16">
        <v>23</v>
      </c>
      <c r="D25" s="16">
        <v>23</v>
      </c>
      <c r="E25" s="16">
        <v>19</v>
      </c>
      <c r="F25" s="16">
        <v>24</v>
      </c>
      <c r="G25" s="16">
        <v>22</v>
      </c>
      <c r="H25" s="16">
        <v>19</v>
      </c>
      <c r="I25" s="16">
        <v>18</v>
      </c>
      <c r="J25" s="16">
        <v>20</v>
      </c>
      <c r="K25" s="16">
        <v>21</v>
      </c>
      <c r="L25" s="16">
        <v>23</v>
      </c>
      <c r="M25" s="16">
        <v>23</v>
      </c>
      <c r="N25" s="16">
        <v>24</v>
      </c>
      <c r="O25" s="16">
        <v>22</v>
      </c>
      <c r="P25" s="16">
        <v>19</v>
      </c>
      <c r="Q25" s="16">
        <v>317</v>
      </c>
    </row>
    <row r="26" spans="1:17" x14ac:dyDescent="0.25">
      <c r="A26" s="27" t="s">
        <v>9</v>
      </c>
      <c r="B26" s="16">
        <v>12</v>
      </c>
      <c r="C26" s="16">
        <v>9</v>
      </c>
      <c r="D26" s="16">
        <v>10</v>
      </c>
      <c r="E26" s="16">
        <v>10</v>
      </c>
      <c r="F26" s="16">
        <v>11</v>
      </c>
      <c r="G26" s="16">
        <v>9</v>
      </c>
      <c r="H26" s="16">
        <v>11</v>
      </c>
      <c r="I26" s="16">
        <v>9</v>
      </c>
      <c r="J26" s="16">
        <v>9</v>
      </c>
      <c r="K26" s="16">
        <v>9</v>
      </c>
      <c r="L26" s="16">
        <v>13</v>
      </c>
      <c r="M26" s="16">
        <v>10</v>
      </c>
      <c r="N26" s="16">
        <v>9</v>
      </c>
      <c r="O26" s="16">
        <v>12</v>
      </c>
      <c r="P26" s="16">
        <v>11</v>
      </c>
      <c r="Q26" s="16">
        <v>154</v>
      </c>
    </row>
    <row r="27" spans="1:17" x14ac:dyDescent="0.25">
      <c r="A27" s="27" t="s">
        <v>12</v>
      </c>
      <c r="B27" s="16">
        <v>8</v>
      </c>
      <c r="C27" s="16">
        <v>6</v>
      </c>
      <c r="D27" s="16">
        <v>9</v>
      </c>
      <c r="E27" s="16">
        <v>9</v>
      </c>
      <c r="F27" s="16">
        <v>8</v>
      </c>
      <c r="G27" s="16">
        <v>9</v>
      </c>
      <c r="H27" s="16">
        <v>6</v>
      </c>
      <c r="I27" s="16">
        <v>8</v>
      </c>
      <c r="J27" s="16">
        <v>7</v>
      </c>
      <c r="K27" s="16">
        <v>9</v>
      </c>
      <c r="L27" s="16">
        <v>8</v>
      </c>
      <c r="M27" s="16">
        <v>8</v>
      </c>
      <c r="N27" s="16">
        <v>6</v>
      </c>
      <c r="O27" s="16">
        <v>6</v>
      </c>
      <c r="P27" s="16">
        <v>8</v>
      </c>
      <c r="Q27" s="16">
        <v>115</v>
      </c>
    </row>
    <row r="28" spans="1:17" x14ac:dyDescent="0.25">
      <c r="A28" s="27" t="s">
        <v>15</v>
      </c>
      <c r="B28" s="16">
        <v>5</v>
      </c>
      <c r="C28" s="16">
        <v>5</v>
      </c>
      <c r="D28" s="16">
        <v>5</v>
      </c>
      <c r="E28" s="16">
        <v>6</v>
      </c>
      <c r="F28" s="16">
        <v>8</v>
      </c>
      <c r="G28" s="16">
        <v>7</v>
      </c>
      <c r="H28" s="16">
        <v>6</v>
      </c>
      <c r="I28" s="16">
        <v>6</v>
      </c>
      <c r="J28" s="16">
        <v>6</v>
      </c>
      <c r="K28" s="16">
        <v>5</v>
      </c>
      <c r="L28" s="16">
        <v>5</v>
      </c>
      <c r="M28" s="16">
        <v>5</v>
      </c>
      <c r="N28" s="16">
        <v>6</v>
      </c>
      <c r="O28" s="16">
        <v>6</v>
      </c>
      <c r="P28" s="16">
        <v>6</v>
      </c>
      <c r="Q28" s="16">
        <v>87</v>
      </c>
    </row>
    <row r="29" spans="1:17" x14ac:dyDescent="0.25">
      <c r="A29" s="27" t="s">
        <v>17</v>
      </c>
      <c r="B29" s="16">
        <v>5</v>
      </c>
      <c r="C29" s="16">
        <v>5</v>
      </c>
      <c r="D29" s="16">
        <v>4</v>
      </c>
      <c r="E29" s="16">
        <v>4</v>
      </c>
      <c r="F29" s="16">
        <v>4</v>
      </c>
      <c r="G29" s="16">
        <v>4</v>
      </c>
      <c r="H29" s="16">
        <v>3</v>
      </c>
      <c r="I29" s="16">
        <v>3</v>
      </c>
      <c r="J29" s="16">
        <v>4</v>
      </c>
      <c r="K29" s="16">
        <v>4</v>
      </c>
      <c r="L29" s="16">
        <v>4</v>
      </c>
      <c r="M29" s="16">
        <v>3</v>
      </c>
      <c r="N29" s="16">
        <v>4</v>
      </c>
      <c r="O29" s="16">
        <v>4</v>
      </c>
      <c r="P29" s="16">
        <v>3</v>
      </c>
      <c r="Q29" s="16">
        <v>58</v>
      </c>
    </row>
    <row r="30" spans="1:17" x14ac:dyDescent="0.25">
      <c r="A30" s="27" t="s">
        <v>20</v>
      </c>
      <c r="B30" s="16">
        <v>2</v>
      </c>
      <c r="C30" s="16">
        <v>4</v>
      </c>
      <c r="D30" s="16">
        <v>4</v>
      </c>
      <c r="E30" s="16">
        <v>2</v>
      </c>
      <c r="F30" s="16">
        <v>2</v>
      </c>
      <c r="G30" s="16">
        <v>3</v>
      </c>
      <c r="H30" s="16">
        <v>2</v>
      </c>
      <c r="I30" s="16">
        <v>2</v>
      </c>
      <c r="J30" s="16">
        <v>3</v>
      </c>
      <c r="K30" s="16">
        <v>3</v>
      </c>
      <c r="L30" s="16">
        <v>3</v>
      </c>
      <c r="M30" s="16">
        <v>1</v>
      </c>
      <c r="N30" s="16">
        <v>3</v>
      </c>
      <c r="O30" s="16">
        <v>2</v>
      </c>
      <c r="P30" s="16">
        <v>1</v>
      </c>
      <c r="Q30" s="16">
        <v>37</v>
      </c>
    </row>
    <row r="31" spans="1:17" x14ac:dyDescent="0.25">
      <c r="A31" s="27" t="s">
        <v>23</v>
      </c>
      <c r="B31" s="16">
        <v>3</v>
      </c>
      <c r="C31" s="16">
        <v>1</v>
      </c>
      <c r="D31" s="16">
        <v>3</v>
      </c>
      <c r="E31" s="16">
        <v>3</v>
      </c>
      <c r="F31" s="16">
        <v>3</v>
      </c>
      <c r="G31" s="16">
        <v>2</v>
      </c>
      <c r="H31" s="16">
        <v>2</v>
      </c>
      <c r="I31" s="16">
        <v>2</v>
      </c>
      <c r="J31" s="16">
        <v>2</v>
      </c>
      <c r="K31" s="16">
        <v>2</v>
      </c>
      <c r="L31" s="16">
        <v>3</v>
      </c>
      <c r="M31" s="16">
        <v>3</v>
      </c>
      <c r="N31" s="16">
        <v>2</v>
      </c>
      <c r="O31" s="16">
        <v>3</v>
      </c>
      <c r="P31" s="16">
        <v>2</v>
      </c>
      <c r="Q31" s="16">
        <v>36</v>
      </c>
    </row>
    <row r="32" spans="1:17" x14ac:dyDescent="0.25">
      <c r="A32" s="27" t="s">
        <v>26</v>
      </c>
      <c r="B32" s="16">
        <v>1</v>
      </c>
      <c r="C32" s="16">
        <v>0</v>
      </c>
      <c r="D32" s="16">
        <v>0</v>
      </c>
      <c r="E32" s="16">
        <v>0</v>
      </c>
      <c r="F32" s="16">
        <v>1</v>
      </c>
      <c r="G32" s="16">
        <v>1</v>
      </c>
      <c r="H32" s="16">
        <v>0</v>
      </c>
      <c r="I32" s="16">
        <v>1</v>
      </c>
      <c r="J32" s="16">
        <v>1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5</v>
      </c>
    </row>
    <row r="33" spans="1:17" x14ac:dyDescent="0.25">
      <c r="A33" s="27" t="s">
        <v>29</v>
      </c>
      <c r="B33" s="16">
        <v>0</v>
      </c>
      <c r="C33" s="16">
        <v>1</v>
      </c>
      <c r="D33" s="16">
        <v>0</v>
      </c>
      <c r="E33" s="16">
        <v>1</v>
      </c>
      <c r="F33" s="16">
        <v>0</v>
      </c>
      <c r="G33" s="16">
        <v>0</v>
      </c>
      <c r="H33" s="16">
        <v>1</v>
      </c>
      <c r="I33" s="16">
        <v>0</v>
      </c>
      <c r="J33" s="16">
        <v>0</v>
      </c>
      <c r="K33" s="16">
        <v>0</v>
      </c>
      <c r="L33" s="16">
        <v>1</v>
      </c>
      <c r="M33" s="16">
        <v>1</v>
      </c>
      <c r="N33" s="16">
        <v>0</v>
      </c>
      <c r="O33" s="16">
        <v>0</v>
      </c>
      <c r="P33" s="16">
        <v>1</v>
      </c>
      <c r="Q33" s="16">
        <v>6</v>
      </c>
    </row>
    <row r="34" spans="1:17" x14ac:dyDescent="0.25">
      <c r="A34" s="27" t="s">
        <v>32</v>
      </c>
      <c r="B34" s="16">
        <v>0</v>
      </c>
      <c r="C34" s="16">
        <v>0</v>
      </c>
      <c r="D34" s="16">
        <v>0</v>
      </c>
      <c r="E34" s="16">
        <v>0</v>
      </c>
      <c r="F34" s="16">
        <v>1</v>
      </c>
      <c r="G34" s="16">
        <v>1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1</v>
      </c>
      <c r="N34" s="16">
        <v>1</v>
      </c>
      <c r="O34" s="16">
        <v>0</v>
      </c>
      <c r="P34" s="16">
        <v>0</v>
      </c>
      <c r="Q34" s="16">
        <v>4</v>
      </c>
    </row>
    <row r="35" spans="1:17" x14ac:dyDescent="0.25">
      <c r="A35" s="27" t="s">
        <v>103</v>
      </c>
      <c r="B35" s="16">
        <v>140</v>
      </c>
      <c r="C35" s="16">
        <v>120</v>
      </c>
      <c r="D35" s="16">
        <v>133</v>
      </c>
      <c r="E35" s="16">
        <v>119</v>
      </c>
      <c r="F35" s="16">
        <v>144</v>
      </c>
      <c r="G35" s="16">
        <v>150</v>
      </c>
      <c r="H35" s="16">
        <v>133</v>
      </c>
      <c r="I35" s="16">
        <v>137</v>
      </c>
      <c r="J35" s="16">
        <v>121</v>
      </c>
      <c r="K35" s="16">
        <v>140</v>
      </c>
      <c r="L35" s="16">
        <v>136</v>
      </c>
      <c r="M35" s="16">
        <v>152</v>
      </c>
      <c r="N35" s="16">
        <v>153</v>
      </c>
      <c r="O35" s="16">
        <v>133</v>
      </c>
      <c r="P35" s="16">
        <v>154</v>
      </c>
      <c r="Q35" s="16">
        <v>2065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3:G48"/>
  <sheetViews>
    <sheetView workbookViewId="0">
      <selection activeCell="B3" sqref="B3"/>
    </sheetView>
  </sheetViews>
  <sheetFormatPr defaultRowHeight="13.8" x14ac:dyDescent="0.3"/>
  <cols>
    <col min="1" max="1" width="13.33203125" style="17" bestFit="1" customWidth="1"/>
    <col min="2" max="2" width="16.6640625" style="17" customWidth="1"/>
    <col min="3" max="3" width="8.88671875" style="17"/>
    <col min="4" max="4" width="10.21875" style="17" bestFit="1" customWidth="1"/>
    <col min="5" max="5" width="13.77734375" style="17" bestFit="1" customWidth="1"/>
    <col min="6" max="6" width="16.88671875" style="17" bestFit="1" customWidth="1"/>
    <col min="7" max="16384" width="8.88671875" style="17"/>
  </cols>
  <sheetData>
    <row r="3" spans="1:7" x14ac:dyDescent="0.3">
      <c r="A3" s="19" t="s">
        <v>107</v>
      </c>
      <c r="B3" s="37" t="s">
        <v>122</v>
      </c>
      <c r="D3" s="18" t="s">
        <v>107</v>
      </c>
      <c r="E3" s="18" t="s">
        <v>123</v>
      </c>
      <c r="F3" s="18" t="s">
        <v>124</v>
      </c>
      <c r="G3" s="18" t="s">
        <v>125</v>
      </c>
    </row>
    <row r="4" spans="1:7" hidden="1" x14ac:dyDescent="0.3">
      <c r="A4" s="38" t="s">
        <v>36</v>
      </c>
      <c r="B4" s="37">
        <v>2923886</v>
      </c>
      <c r="D4" s="38" t="s">
        <v>36</v>
      </c>
      <c r="E4" s="37">
        <v>2923886</v>
      </c>
      <c r="F4" s="37">
        <v>2923886</v>
      </c>
      <c r="G4" s="39">
        <f>F4/GETPIVOTDATA("Revenue",$A$3)</f>
        <v>0.38078904284994464</v>
      </c>
    </row>
    <row r="5" spans="1:7" hidden="1" x14ac:dyDescent="0.3">
      <c r="A5" s="38" t="s">
        <v>39</v>
      </c>
      <c r="B5" s="37">
        <v>159159</v>
      </c>
      <c r="D5" s="38" t="s">
        <v>39</v>
      </c>
      <c r="E5" s="37">
        <v>159159</v>
      </c>
      <c r="F5" s="37">
        <f>F4+E5</f>
        <v>3083045</v>
      </c>
      <c r="G5" s="39">
        <f t="shared" ref="G5:G33" si="0">F5/GETPIVOTDATA("Revenue",$A$3)</f>
        <v>0.40151693828463475</v>
      </c>
    </row>
    <row r="6" spans="1:7" hidden="1" x14ac:dyDescent="0.3">
      <c r="A6" s="38" t="s">
        <v>42</v>
      </c>
      <c r="B6" s="37">
        <v>763600</v>
      </c>
      <c r="D6" s="38" t="s">
        <v>42</v>
      </c>
      <c r="E6" s="37">
        <v>763600</v>
      </c>
      <c r="F6" s="37">
        <f t="shared" ref="F6:F33" si="1">F5+E6</f>
        <v>3846645</v>
      </c>
      <c r="G6" s="39">
        <f t="shared" si="0"/>
        <v>0.5009635354229014</v>
      </c>
    </row>
    <row r="7" spans="1:7" hidden="1" x14ac:dyDescent="0.3">
      <c r="A7" s="38" t="s">
        <v>45</v>
      </c>
      <c r="B7" s="37">
        <v>136726</v>
      </c>
      <c r="D7" s="38" t="s">
        <v>45</v>
      </c>
      <c r="E7" s="37">
        <v>136726</v>
      </c>
      <c r="F7" s="37">
        <f t="shared" si="1"/>
        <v>3983371</v>
      </c>
      <c r="G7" s="39">
        <f t="shared" si="0"/>
        <v>0.51876989404040608</v>
      </c>
    </row>
    <row r="8" spans="1:7" hidden="1" x14ac:dyDescent="0.3">
      <c r="A8" s="38" t="s">
        <v>48</v>
      </c>
      <c r="B8" s="37">
        <v>55315</v>
      </c>
      <c r="D8" s="38" t="s">
        <v>48</v>
      </c>
      <c r="E8" s="37">
        <v>55315</v>
      </c>
      <c r="F8" s="37">
        <f t="shared" si="1"/>
        <v>4038686</v>
      </c>
      <c r="G8" s="39">
        <f t="shared" si="0"/>
        <v>0.52597378157406671</v>
      </c>
    </row>
    <row r="9" spans="1:7" hidden="1" x14ac:dyDescent="0.3">
      <c r="A9" s="38" t="s">
        <v>51</v>
      </c>
      <c r="B9" s="37">
        <v>100912</v>
      </c>
      <c r="D9" s="38" t="s">
        <v>51</v>
      </c>
      <c r="E9" s="37">
        <v>100912</v>
      </c>
      <c r="F9" s="37">
        <f t="shared" si="1"/>
        <v>4139598</v>
      </c>
      <c r="G9" s="39">
        <f t="shared" si="0"/>
        <v>0.53911594371447624</v>
      </c>
    </row>
    <row r="10" spans="1:7" hidden="1" x14ac:dyDescent="0.3">
      <c r="A10" s="38" t="s">
        <v>54</v>
      </c>
      <c r="B10" s="37">
        <v>104048</v>
      </c>
      <c r="D10" s="38" t="s">
        <v>54</v>
      </c>
      <c r="E10" s="37">
        <v>104048</v>
      </c>
      <c r="F10" s="37">
        <f t="shared" si="1"/>
        <v>4243646</v>
      </c>
      <c r="G10" s="39">
        <f t="shared" si="0"/>
        <v>0.55266651932872768</v>
      </c>
    </row>
    <row r="11" spans="1:7" hidden="1" x14ac:dyDescent="0.3">
      <c r="A11" s="38" t="s">
        <v>57</v>
      </c>
      <c r="B11" s="37">
        <v>39140</v>
      </c>
      <c r="D11" s="38" t="s">
        <v>57</v>
      </c>
      <c r="E11" s="37">
        <v>39140</v>
      </c>
      <c r="F11" s="37">
        <f t="shared" si="1"/>
        <v>4282786</v>
      </c>
      <c r="G11" s="39">
        <f t="shared" si="0"/>
        <v>0.55776387371844971</v>
      </c>
    </row>
    <row r="12" spans="1:7" hidden="1" x14ac:dyDescent="0.3">
      <c r="A12" s="38" t="s">
        <v>60</v>
      </c>
      <c r="B12" s="37">
        <v>45214</v>
      </c>
      <c r="D12" s="38" t="s">
        <v>60</v>
      </c>
      <c r="E12" s="37">
        <v>45214</v>
      </c>
      <c r="F12" s="37">
        <f t="shared" si="1"/>
        <v>4328000</v>
      </c>
      <c r="G12" s="39">
        <f t="shared" si="0"/>
        <v>0.56365226874596353</v>
      </c>
    </row>
    <row r="13" spans="1:7" hidden="1" x14ac:dyDescent="0.3">
      <c r="A13" s="38" t="s">
        <v>63</v>
      </c>
      <c r="B13" s="37">
        <v>33099</v>
      </c>
      <c r="D13" s="38" t="s">
        <v>63</v>
      </c>
      <c r="E13" s="37">
        <v>33099</v>
      </c>
      <c r="F13" s="37">
        <f t="shared" si="1"/>
        <v>4361099</v>
      </c>
      <c r="G13" s="39">
        <f t="shared" si="0"/>
        <v>0.56796288021620911</v>
      </c>
    </row>
    <row r="14" spans="1:7" hidden="1" x14ac:dyDescent="0.3">
      <c r="A14" s="38" t="s">
        <v>67</v>
      </c>
      <c r="B14" s="37">
        <v>1612800</v>
      </c>
      <c r="D14" s="38" t="s">
        <v>67</v>
      </c>
      <c r="E14" s="37">
        <v>1612800</v>
      </c>
      <c r="F14" s="37">
        <f t="shared" si="1"/>
        <v>5973899</v>
      </c>
      <c r="G14" s="39">
        <f t="shared" si="0"/>
        <v>0.77800409533485282</v>
      </c>
    </row>
    <row r="15" spans="1:7" hidden="1" x14ac:dyDescent="0.3">
      <c r="A15" s="38" t="s">
        <v>70</v>
      </c>
      <c r="B15" s="37">
        <v>157665</v>
      </c>
      <c r="D15" s="38" t="s">
        <v>70</v>
      </c>
      <c r="E15" s="37">
        <v>157665</v>
      </c>
      <c r="F15" s="37">
        <f t="shared" si="1"/>
        <v>6131564</v>
      </c>
      <c r="G15" s="39">
        <f t="shared" si="0"/>
        <v>0.79853742134035932</v>
      </c>
    </row>
    <row r="16" spans="1:7" hidden="1" x14ac:dyDescent="0.3">
      <c r="A16" s="38" t="s">
        <v>73</v>
      </c>
      <c r="B16" s="37">
        <v>116550</v>
      </c>
      <c r="D16" s="38" t="s">
        <v>73</v>
      </c>
      <c r="E16" s="37">
        <v>116550</v>
      </c>
      <c r="F16" s="37">
        <f t="shared" si="1"/>
        <v>6248114</v>
      </c>
      <c r="G16" s="39">
        <f t="shared" si="0"/>
        <v>0.81371618102666765</v>
      </c>
    </row>
    <row r="17" spans="1:7" hidden="1" x14ac:dyDescent="0.3">
      <c r="A17" s="38" t="s">
        <v>76</v>
      </c>
      <c r="B17" s="37">
        <v>403200</v>
      </c>
      <c r="D17" s="38" t="s">
        <v>76</v>
      </c>
      <c r="E17" s="37">
        <v>403200</v>
      </c>
      <c r="F17" s="37">
        <f t="shared" si="1"/>
        <v>6651314</v>
      </c>
      <c r="G17" s="39">
        <f t="shared" si="0"/>
        <v>0.86622648480632858</v>
      </c>
    </row>
    <row r="18" spans="1:7" hidden="1" x14ac:dyDescent="0.3">
      <c r="A18" s="38" t="s">
        <v>78</v>
      </c>
      <c r="B18" s="37">
        <v>203775</v>
      </c>
      <c r="D18" s="38" t="s">
        <v>78</v>
      </c>
      <c r="E18" s="37">
        <v>203775</v>
      </c>
      <c r="F18" s="37">
        <f t="shared" si="1"/>
        <v>6855089</v>
      </c>
      <c r="G18" s="39">
        <f t="shared" si="0"/>
        <v>0.89276489540330373</v>
      </c>
    </row>
    <row r="19" spans="1:7" hidden="1" x14ac:dyDescent="0.3">
      <c r="A19" s="38" t="s">
        <v>81</v>
      </c>
      <c r="B19" s="37">
        <v>130460</v>
      </c>
      <c r="D19" s="38" t="s">
        <v>81</v>
      </c>
      <c r="E19" s="37">
        <v>130460</v>
      </c>
      <c r="F19" s="37">
        <f t="shared" si="1"/>
        <v>6985549</v>
      </c>
      <c r="G19" s="39">
        <f t="shared" si="0"/>
        <v>0.90975520847645497</v>
      </c>
    </row>
    <row r="20" spans="1:7" hidden="1" x14ac:dyDescent="0.3">
      <c r="A20" s="38" t="s">
        <v>84</v>
      </c>
      <c r="B20" s="37">
        <v>39270</v>
      </c>
      <c r="D20" s="38" t="s">
        <v>84</v>
      </c>
      <c r="E20" s="37">
        <v>39270</v>
      </c>
      <c r="F20" s="37">
        <f t="shared" si="1"/>
        <v>7024819</v>
      </c>
      <c r="G20" s="39">
        <f t="shared" si="0"/>
        <v>0.91486949327166156</v>
      </c>
    </row>
    <row r="21" spans="1:7" hidden="1" x14ac:dyDescent="0.3">
      <c r="A21" s="38" t="s">
        <v>87</v>
      </c>
      <c r="B21" s="37">
        <v>58500</v>
      </c>
      <c r="D21" s="38" t="s">
        <v>87</v>
      </c>
      <c r="E21" s="37">
        <v>58500</v>
      </c>
      <c r="F21" s="37">
        <f t="shared" si="1"/>
        <v>7083319</v>
      </c>
      <c r="G21" s="39">
        <f t="shared" si="0"/>
        <v>0.92248817573969266</v>
      </c>
    </row>
    <row r="22" spans="1:7" hidden="1" x14ac:dyDescent="0.3">
      <c r="A22" s="38" t="s">
        <v>90</v>
      </c>
      <c r="B22" s="37">
        <v>54000</v>
      </c>
      <c r="D22" s="38" t="s">
        <v>90</v>
      </c>
      <c r="E22" s="37">
        <v>54000</v>
      </c>
      <c r="F22" s="37">
        <f t="shared" si="1"/>
        <v>7137319</v>
      </c>
      <c r="G22" s="39">
        <f t="shared" si="0"/>
        <v>0.92952080571018303</v>
      </c>
    </row>
    <row r="23" spans="1:7" hidden="1" x14ac:dyDescent="0.3">
      <c r="A23" s="38" t="s">
        <v>93</v>
      </c>
      <c r="B23" s="37">
        <v>29540</v>
      </c>
      <c r="D23" s="38" t="s">
        <v>93</v>
      </c>
      <c r="E23" s="37">
        <v>29540</v>
      </c>
      <c r="F23" s="37">
        <f t="shared" si="1"/>
        <v>7166859</v>
      </c>
      <c r="G23" s="39">
        <f t="shared" si="0"/>
        <v>0.93336791477181791</v>
      </c>
    </row>
    <row r="24" spans="1:7" x14ac:dyDescent="0.3">
      <c r="A24" s="38" t="s">
        <v>6</v>
      </c>
      <c r="B24" s="37">
        <v>190890</v>
      </c>
      <c r="D24" s="38" t="s">
        <v>6</v>
      </c>
      <c r="E24" s="37">
        <v>190890</v>
      </c>
      <c r="F24" s="37">
        <f t="shared" si="1"/>
        <v>7357749</v>
      </c>
      <c r="G24" s="39">
        <f t="shared" si="0"/>
        <v>0.95822826171750108</v>
      </c>
    </row>
    <row r="25" spans="1:7" x14ac:dyDescent="0.3">
      <c r="A25" s="38" t="s">
        <v>9</v>
      </c>
      <c r="B25" s="37">
        <v>92336</v>
      </c>
      <c r="D25" s="38" t="s">
        <v>9</v>
      </c>
      <c r="E25" s="37">
        <v>92336</v>
      </c>
      <c r="F25" s="37">
        <f t="shared" si="1"/>
        <v>7450085</v>
      </c>
      <c r="G25" s="39">
        <f t="shared" si="0"/>
        <v>0.97025353803148617</v>
      </c>
    </row>
    <row r="26" spans="1:7" x14ac:dyDescent="0.3">
      <c r="A26" s="38" t="s">
        <v>12</v>
      </c>
      <c r="B26" s="37">
        <v>110124</v>
      </c>
      <c r="D26" s="38" t="s">
        <v>12</v>
      </c>
      <c r="E26" s="37">
        <v>110124</v>
      </c>
      <c r="F26" s="37">
        <f t="shared" si="1"/>
        <v>7560209</v>
      </c>
      <c r="G26" s="39">
        <f t="shared" si="0"/>
        <v>0.98459541475130596</v>
      </c>
    </row>
    <row r="27" spans="1:7" x14ac:dyDescent="0.3">
      <c r="A27" s="38" t="s">
        <v>15</v>
      </c>
      <c r="B27" s="37">
        <v>43792</v>
      </c>
      <c r="D27" s="38" t="s">
        <v>15</v>
      </c>
      <c r="E27" s="37">
        <v>43792</v>
      </c>
      <c r="F27" s="37">
        <f t="shared" si="1"/>
        <v>7604001</v>
      </c>
      <c r="G27" s="39">
        <f t="shared" si="0"/>
        <v>0.990298617189597</v>
      </c>
    </row>
    <row r="28" spans="1:7" x14ac:dyDescent="0.3">
      <c r="A28" s="38" t="s">
        <v>17</v>
      </c>
      <c r="B28" s="37">
        <v>20928</v>
      </c>
      <c r="D28" s="38" t="s">
        <v>17</v>
      </c>
      <c r="E28" s="37">
        <v>20928</v>
      </c>
      <c r="F28" s="37">
        <f t="shared" si="1"/>
        <v>7624929</v>
      </c>
      <c r="G28" s="39">
        <f t="shared" si="0"/>
        <v>0.99302415200482697</v>
      </c>
    </row>
    <row r="29" spans="1:7" x14ac:dyDescent="0.3">
      <c r="A29" s="38" t="s">
        <v>20</v>
      </c>
      <c r="B29" s="37">
        <v>14518</v>
      </c>
      <c r="D29" s="38" t="s">
        <v>20</v>
      </c>
      <c r="E29" s="37">
        <v>14518</v>
      </c>
      <c r="F29" s="37">
        <f t="shared" si="1"/>
        <v>7639447</v>
      </c>
      <c r="G29" s="39">
        <f t="shared" si="0"/>
        <v>0.99491488759578217</v>
      </c>
    </row>
    <row r="30" spans="1:7" x14ac:dyDescent="0.3">
      <c r="A30" s="38" t="s">
        <v>23</v>
      </c>
      <c r="B30" s="37">
        <v>11232</v>
      </c>
      <c r="D30" s="38" t="s">
        <v>23</v>
      </c>
      <c r="E30" s="37">
        <v>11232</v>
      </c>
      <c r="F30" s="37">
        <f t="shared" si="1"/>
        <v>7650679</v>
      </c>
      <c r="G30" s="39">
        <f t="shared" si="0"/>
        <v>0.99637767462964411</v>
      </c>
    </row>
    <row r="31" spans="1:7" x14ac:dyDescent="0.3">
      <c r="A31" s="38" t="s">
        <v>26</v>
      </c>
      <c r="B31" s="37">
        <v>2044</v>
      </c>
      <c r="D31" s="38" t="s">
        <v>26</v>
      </c>
      <c r="E31" s="37">
        <v>2044</v>
      </c>
      <c r="F31" s="37">
        <f t="shared" si="1"/>
        <v>7652723</v>
      </c>
      <c r="G31" s="39">
        <f t="shared" si="0"/>
        <v>0.99664387269741606</v>
      </c>
    </row>
    <row r="32" spans="1:7" x14ac:dyDescent="0.3">
      <c r="A32" s="38" t="s">
        <v>29</v>
      </c>
      <c r="B32" s="37">
        <v>9000</v>
      </c>
      <c r="D32" s="38" t="s">
        <v>29</v>
      </c>
      <c r="E32" s="37">
        <v>9000</v>
      </c>
      <c r="F32" s="37">
        <f t="shared" si="1"/>
        <v>7661723</v>
      </c>
      <c r="G32" s="39">
        <f t="shared" si="0"/>
        <v>0.99781597769249775</v>
      </c>
    </row>
    <row r="33" spans="1:7" x14ac:dyDescent="0.3">
      <c r="A33" s="38" t="s">
        <v>32</v>
      </c>
      <c r="B33" s="37">
        <v>16770</v>
      </c>
      <c r="D33" s="38" t="s">
        <v>32</v>
      </c>
      <c r="E33" s="37">
        <v>16770</v>
      </c>
      <c r="F33" s="37">
        <f t="shared" si="1"/>
        <v>7678493</v>
      </c>
      <c r="G33" s="39">
        <f t="shared" si="0"/>
        <v>1</v>
      </c>
    </row>
    <row r="34" spans="1:7" x14ac:dyDescent="0.3">
      <c r="A34" s="38" t="s">
        <v>103</v>
      </c>
      <c r="B34" s="37">
        <v>7678493</v>
      </c>
    </row>
    <row r="39" spans="1:7" x14ac:dyDescent="0.3">
      <c r="B39" s="18" t="s">
        <v>127</v>
      </c>
    </row>
    <row r="40" spans="1:7" x14ac:dyDescent="0.3">
      <c r="B40" s="18" t="s">
        <v>126</v>
      </c>
      <c r="C40" s="18" t="s">
        <v>102</v>
      </c>
    </row>
    <row r="41" spans="1:7" x14ac:dyDescent="0.3">
      <c r="B41" s="17" t="s">
        <v>128</v>
      </c>
      <c r="C41" s="17">
        <v>208</v>
      </c>
    </row>
    <row r="42" spans="1:7" x14ac:dyDescent="0.3">
      <c r="B42" s="17" t="s">
        <v>129</v>
      </c>
      <c r="C42" s="17">
        <v>227</v>
      </c>
    </row>
    <row r="43" spans="1:7" x14ac:dyDescent="0.3">
      <c r="B43" s="17" t="s">
        <v>130</v>
      </c>
      <c r="C43" s="17">
        <v>266</v>
      </c>
    </row>
    <row r="44" spans="1:7" x14ac:dyDescent="0.3">
      <c r="B44" s="17" t="s">
        <v>131</v>
      </c>
      <c r="C44" s="17">
        <v>346</v>
      </c>
    </row>
    <row r="45" spans="1:7" x14ac:dyDescent="0.3">
      <c r="B45" s="17" t="s">
        <v>132</v>
      </c>
      <c r="C45" s="17">
        <v>277</v>
      </c>
    </row>
    <row r="46" spans="1:7" x14ac:dyDescent="0.3">
      <c r="B46" s="17" t="s">
        <v>133</v>
      </c>
      <c r="C46" s="17">
        <v>239</v>
      </c>
    </row>
    <row r="47" spans="1:7" x14ac:dyDescent="0.3">
      <c r="B47" s="17" t="s">
        <v>134</v>
      </c>
      <c r="C47" s="17">
        <v>267</v>
      </c>
    </row>
    <row r="48" spans="1:7" x14ac:dyDescent="0.3">
      <c r="B48" s="18" t="s">
        <v>135</v>
      </c>
      <c r="C48" s="17">
        <f>MIN(C41:C47)</f>
        <v>208</v>
      </c>
    </row>
  </sheetData>
  <autoFilter ref="D3:G33">
    <filterColumn colId="0">
      <filters>
        <filter val="M01"/>
        <filter val="M02"/>
        <filter val="M03"/>
        <filter val="M04"/>
        <filter val="M05"/>
        <filter val="M06"/>
        <filter val="M07"/>
        <filter val="M08"/>
        <filter val="M09"/>
        <filter val="M10"/>
      </filters>
    </filterColumn>
  </autoFilter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34"/>
  <sheetViews>
    <sheetView workbookViewId="0">
      <selection activeCell="I10" sqref="I10"/>
    </sheetView>
  </sheetViews>
  <sheetFormatPr defaultRowHeight="13.8" x14ac:dyDescent="0.3"/>
  <cols>
    <col min="1" max="1" width="13.33203125" style="17" bestFit="1" customWidth="1"/>
    <col min="2" max="2" width="12.33203125" style="17" bestFit="1" customWidth="1"/>
    <col min="3" max="3" width="14.6640625" style="17" customWidth="1"/>
    <col min="4" max="4" width="9.5546875" style="17" bestFit="1" customWidth="1"/>
    <col min="5" max="5" width="10.6640625" style="17" bestFit="1" customWidth="1"/>
    <col min="6" max="6" width="14.21875" style="17" bestFit="1" customWidth="1"/>
    <col min="7" max="7" width="15.21875" style="17" bestFit="1" customWidth="1"/>
    <col min="8" max="16384" width="8.88671875" style="17"/>
  </cols>
  <sheetData>
    <row r="3" spans="1:7" x14ac:dyDescent="0.3">
      <c r="A3" s="19" t="s">
        <v>107</v>
      </c>
      <c r="B3" s="17" t="s">
        <v>108</v>
      </c>
      <c r="D3" s="18" t="s">
        <v>107</v>
      </c>
      <c r="E3" s="18" t="s">
        <v>137</v>
      </c>
      <c r="F3" s="18" t="s">
        <v>136</v>
      </c>
      <c r="G3" s="18" t="s">
        <v>138</v>
      </c>
    </row>
    <row r="4" spans="1:7" x14ac:dyDescent="0.3">
      <c r="A4" s="38" t="s">
        <v>36</v>
      </c>
      <c r="B4" s="20">
        <v>914</v>
      </c>
      <c r="C4" s="20"/>
      <c r="D4" s="38" t="s">
        <v>36</v>
      </c>
      <c r="E4" s="20">
        <v>914</v>
      </c>
      <c r="F4" s="20">
        <v>914</v>
      </c>
      <c r="G4" s="39">
        <f>F4/GETPIVOTDATA("Sales",$A$3)</f>
        <v>0.12288249529443399</v>
      </c>
    </row>
    <row r="5" spans="1:7" x14ac:dyDescent="0.3">
      <c r="A5" s="38" t="s">
        <v>39</v>
      </c>
      <c r="B5" s="20">
        <v>429</v>
      </c>
      <c r="D5" s="38" t="s">
        <v>39</v>
      </c>
      <c r="E5" s="20">
        <v>429</v>
      </c>
      <c r="F5" s="17">
        <f>F4+E5</f>
        <v>1343</v>
      </c>
      <c r="G5" s="39">
        <f t="shared" ref="G5:G33" si="0">F5/GETPIVOTDATA("Sales",$A$3)</f>
        <v>0.18055929013175584</v>
      </c>
    </row>
    <row r="6" spans="1:7" x14ac:dyDescent="0.3">
      <c r="A6" s="38" t="s">
        <v>42</v>
      </c>
      <c r="B6" s="20">
        <v>332</v>
      </c>
      <c r="D6" s="38" t="s">
        <v>42</v>
      </c>
      <c r="E6" s="20">
        <v>332</v>
      </c>
      <c r="F6" s="17">
        <f t="shared" ref="F6:F33" si="1">F5+E6</f>
        <v>1675</v>
      </c>
      <c r="G6" s="39">
        <f t="shared" si="0"/>
        <v>0.22519494487765529</v>
      </c>
    </row>
    <row r="7" spans="1:7" x14ac:dyDescent="0.3">
      <c r="A7" s="38" t="s">
        <v>45</v>
      </c>
      <c r="B7" s="20">
        <v>274</v>
      </c>
      <c r="D7" s="38" t="s">
        <v>45</v>
      </c>
      <c r="E7" s="20">
        <v>274</v>
      </c>
      <c r="F7" s="17">
        <f t="shared" si="1"/>
        <v>1949</v>
      </c>
      <c r="G7" s="39">
        <f t="shared" si="0"/>
        <v>0.2620328045173434</v>
      </c>
    </row>
    <row r="8" spans="1:7" x14ac:dyDescent="0.3">
      <c r="A8" s="38" t="s">
        <v>48</v>
      </c>
      <c r="B8" s="20">
        <v>185</v>
      </c>
      <c r="D8" s="38" t="s">
        <v>48</v>
      </c>
      <c r="E8" s="20">
        <v>185</v>
      </c>
      <c r="F8" s="17">
        <f t="shared" si="1"/>
        <v>2134</v>
      </c>
      <c r="G8" s="39">
        <f t="shared" si="0"/>
        <v>0.28690508201129333</v>
      </c>
    </row>
    <row r="9" spans="1:7" x14ac:dyDescent="0.3">
      <c r="A9" s="38" t="s">
        <v>51</v>
      </c>
      <c r="B9" s="20">
        <v>112</v>
      </c>
      <c r="D9" s="38" t="s">
        <v>51</v>
      </c>
      <c r="E9" s="20">
        <v>112</v>
      </c>
      <c r="F9" s="17">
        <f t="shared" si="1"/>
        <v>2246</v>
      </c>
      <c r="G9" s="39">
        <f t="shared" si="0"/>
        <v>0.30196289325087389</v>
      </c>
    </row>
    <row r="10" spans="1:7" x14ac:dyDescent="0.3">
      <c r="A10" s="38" t="s">
        <v>54</v>
      </c>
      <c r="B10" s="20">
        <v>112</v>
      </c>
      <c r="D10" s="38" t="s">
        <v>54</v>
      </c>
      <c r="E10" s="20">
        <v>112</v>
      </c>
      <c r="F10" s="17">
        <f t="shared" si="1"/>
        <v>2358</v>
      </c>
      <c r="G10" s="39">
        <f t="shared" si="0"/>
        <v>0.31702070449045444</v>
      </c>
    </row>
    <row r="11" spans="1:7" x14ac:dyDescent="0.3">
      <c r="A11" s="38" t="s">
        <v>57</v>
      </c>
      <c r="B11" s="20">
        <v>38</v>
      </c>
      <c r="D11" s="38" t="s">
        <v>57</v>
      </c>
      <c r="E11" s="20">
        <v>38</v>
      </c>
      <c r="F11" s="17">
        <f t="shared" si="1"/>
        <v>2396</v>
      </c>
      <c r="G11" s="39">
        <f t="shared" si="0"/>
        <v>0.32212960473245494</v>
      </c>
    </row>
    <row r="12" spans="1:7" x14ac:dyDescent="0.3">
      <c r="A12" s="38" t="s">
        <v>60</v>
      </c>
      <c r="B12" s="20">
        <v>37</v>
      </c>
      <c r="D12" s="38" t="s">
        <v>60</v>
      </c>
      <c r="E12" s="20">
        <v>37</v>
      </c>
      <c r="F12" s="17">
        <f t="shared" si="1"/>
        <v>2433</v>
      </c>
      <c r="G12" s="39">
        <f t="shared" si="0"/>
        <v>0.32710406023124494</v>
      </c>
    </row>
    <row r="13" spans="1:7" x14ac:dyDescent="0.3">
      <c r="A13" s="38" t="s">
        <v>63</v>
      </c>
      <c r="B13" s="20">
        <v>51</v>
      </c>
      <c r="D13" s="38" t="s">
        <v>63</v>
      </c>
      <c r="E13" s="20">
        <v>51</v>
      </c>
      <c r="F13" s="17">
        <f t="shared" si="1"/>
        <v>2484</v>
      </c>
      <c r="G13" s="39">
        <f t="shared" si="0"/>
        <v>0.3339607421349825</v>
      </c>
    </row>
    <row r="14" spans="1:7" x14ac:dyDescent="0.3">
      <c r="A14" s="38" t="s">
        <v>67</v>
      </c>
      <c r="B14" s="20">
        <v>896</v>
      </c>
      <c r="D14" s="38" t="s">
        <v>67</v>
      </c>
      <c r="E14" s="20">
        <v>896</v>
      </c>
      <c r="F14" s="17">
        <f t="shared" si="1"/>
        <v>3380</v>
      </c>
      <c r="G14" s="39">
        <f t="shared" si="0"/>
        <v>0.45442323205162677</v>
      </c>
    </row>
    <row r="15" spans="1:7" x14ac:dyDescent="0.3">
      <c r="A15" s="38" t="s">
        <v>70</v>
      </c>
      <c r="B15" s="20">
        <v>457</v>
      </c>
      <c r="D15" s="38" t="s">
        <v>70</v>
      </c>
      <c r="E15" s="20">
        <v>457</v>
      </c>
      <c r="F15" s="17">
        <f t="shared" si="1"/>
        <v>3837</v>
      </c>
      <c r="G15" s="39">
        <f t="shared" si="0"/>
        <v>0.51586447969884375</v>
      </c>
    </row>
    <row r="16" spans="1:7" x14ac:dyDescent="0.3">
      <c r="A16" s="38" t="s">
        <v>73</v>
      </c>
      <c r="B16" s="20">
        <v>333</v>
      </c>
      <c r="D16" s="38" t="s">
        <v>73</v>
      </c>
      <c r="E16" s="20">
        <v>333</v>
      </c>
      <c r="F16" s="17">
        <f t="shared" si="1"/>
        <v>4170</v>
      </c>
      <c r="G16" s="39">
        <f t="shared" si="0"/>
        <v>0.56063457918795379</v>
      </c>
    </row>
    <row r="17" spans="1:7" x14ac:dyDescent="0.3">
      <c r="A17" s="38" t="s">
        <v>76</v>
      </c>
      <c r="B17" s="20">
        <v>256</v>
      </c>
      <c r="D17" s="38" t="s">
        <v>76</v>
      </c>
      <c r="E17" s="20">
        <v>256</v>
      </c>
      <c r="F17" s="17">
        <f t="shared" si="1"/>
        <v>4426</v>
      </c>
      <c r="G17" s="39">
        <f t="shared" si="0"/>
        <v>0.59505243344985215</v>
      </c>
    </row>
    <row r="18" spans="1:7" x14ac:dyDescent="0.3">
      <c r="A18" s="38" t="s">
        <v>78</v>
      </c>
      <c r="B18" s="20">
        <v>195</v>
      </c>
      <c r="D18" s="38" t="s">
        <v>78</v>
      </c>
      <c r="E18" s="20">
        <v>195</v>
      </c>
      <c r="F18" s="17">
        <f t="shared" si="1"/>
        <v>4621</v>
      </c>
      <c r="G18" s="39">
        <f t="shared" si="0"/>
        <v>0.62126915837590746</v>
      </c>
    </row>
    <row r="19" spans="1:7" x14ac:dyDescent="0.3">
      <c r="A19" s="38" t="s">
        <v>81</v>
      </c>
      <c r="B19" s="20">
        <v>110</v>
      </c>
      <c r="D19" s="38" t="s">
        <v>81</v>
      </c>
      <c r="E19" s="20">
        <v>110</v>
      </c>
      <c r="F19" s="17">
        <f t="shared" si="1"/>
        <v>4731</v>
      </c>
      <c r="G19" s="39">
        <f t="shared" si="0"/>
        <v>0.63605808012906695</v>
      </c>
    </row>
    <row r="20" spans="1:7" x14ac:dyDescent="0.3">
      <c r="A20" s="38" t="s">
        <v>84</v>
      </c>
      <c r="B20" s="20">
        <v>105</v>
      </c>
      <c r="D20" s="38" t="s">
        <v>84</v>
      </c>
      <c r="E20" s="20">
        <v>105</v>
      </c>
      <c r="F20" s="17">
        <f t="shared" si="1"/>
        <v>4836</v>
      </c>
      <c r="G20" s="39">
        <f t="shared" si="0"/>
        <v>0.65017477816617375</v>
      </c>
    </row>
    <row r="21" spans="1:7" x14ac:dyDescent="0.3">
      <c r="A21" s="38" t="s">
        <v>87</v>
      </c>
      <c r="B21" s="20">
        <v>39</v>
      </c>
      <c r="D21" s="38" t="s">
        <v>87</v>
      </c>
      <c r="E21" s="20">
        <v>39</v>
      </c>
      <c r="F21" s="17">
        <f t="shared" si="1"/>
        <v>4875</v>
      </c>
      <c r="G21" s="39">
        <f t="shared" si="0"/>
        <v>0.65541812315138481</v>
      </c>
    </row>
    <row r="22" spans="1:7" x14ac:dyDescent="0.3">
      <c r="A22" s="38" t="s">
        <v>90</v>
      </c>
      <c r="B22" s="20">
        <v>30</v>
      </c>
      <c r="D22" s="38" t="s">
        <v>90</v>
      </c>
      <c r="E22" s="20">
        <v>30</v>
      </c>
      <c r="F22" s="17">
        <f t="shared" si="1"/>
        <v>4905</v>
      </c>
      <c r="G22" s="39">
        <f t="shared" si="0"/>
        <v>0.65945146544770095</v>
      </c>
    </row>
    <row r="23" spans="1:7" x14ac:dyDescent="0.3">
      <c r="A23" s="38" t="s">
        <v>93</v>
      </c>
      <c r="B23" s="20">
        <v>20</v>
      </c>
      <c r="D23" s="38" t="s">
        <v>93</v>
      </c>
      <c r="E23" s="20">
        <v>20</v>
      </c>
      <c r="F23" s="17">
        <f t="shared" si="1"/>
        <v>4925</v>
      </c>
      <c r="G23" s="39">
        <f t="shared" si="0"/>
        <v>0.66214036031191181</v>
      </c>
    </row>
    <row r="24" spans="1:7" x14ac:dyDescent="0.3">
      <c r="A24" s="38" t="s">
        <v>6</v>
      </c>
      <c r="B24" s="20">
        <v>909</v>
      </c>
      <c r="D24" s="38" t="s">
        <v>6</v>
      </c>
      <c r="E24" s="20">
        <v>909</v>
      </c>
      <c r="F24" s="17">
        <f t="shared" si="1"/>
        <v>5834</v>
      </c>
      <c r="G24" s="39">
        <f t="shared" si="0"/>
        <v>0.78435063189029308</v>
      </c>
    </row>
    <row r="25" spans="1:7" x14ac:dyDescent="0.3">
      <c r="A25" s="38" t="s">
        <v>9</v>
      </c>
      <c r="B25" s="20">
        <v>464</v>
      </c>
      <c r="D25" s="38" t="s">
        <v>9</v>
      </c>
      <c r="E25" s="20">
        <v>464</v>
      </c>
      <c r="F25" s="17">
        <f t="shared" si="1"/>
        <v>6298</v>
      </c>
      <c r="G25" s="39">
        <f t="shared" si="0"/>
        <v>0.84673299273998381</v>
      </c>
    </row>
    <row r="26" spans="1:7" x14ac:dyDescent="0.3">
      <c r="A26" s="38" t="s">
        <v>12</v>
      </c>
      <c r="B26" s="20">
        <v>342</v>
      </c>
      <c r="D26" s="38" t="s">
        <v>12</v>
      </c>
      <c r="E26" s="20">
        <v>342</v>
      </c>
      <c r="F26" s="17">
        <f t="shared" si="1"/>
        <v>6640</v>
      </c>
      <c r="G26" s="39">
        <f t="shared" si="0"/>
        <v>0.89271309491798867</v>
      </c>
    </row>
    <row r="27" spans="1:7" x14ac:dyDescent="0.3">
      <c r="A27" s="38" t="s">
        <v>15</v>
      </c>
      <c r="B27" s="20">
        <v>272</v>
      </c>
      <c r="D27" s="38" t="s">
        <v>15</v>
      </c>
      <c r="E27" s="20">
        <v>272</v>
      </c>
      <c r="F27" s="17">
        <f t="shared" si="1"/>
        <v>6912</v>
      </c>
      <c r="G27" s="39">
        <f t="shared" si="0"/>
        <v>0.92928206507125566</v>
      </c>
    </row>
    <row r="28" spans="1:7" x14ac:dyDescent="0.3">
      <c r="A28" s="38" t="s">
        <v>17</v>
      </c>
      <c r="B28" s="20">
        <v>192</v>
      </c>
      <c r="D28" s="38" t="s">
        <v>17</v>
      </c>
      <c r="E28" s="20">
        <v>192</v>
      </c>
      <c r="F28" s="17">
        <f t="shared" si="1"/>
        <v>7104</v>
      </c>
      <c r="G28" s="39">
        <f t="shared" si="0"/>
        <v>0.95509545576767951</v>
      </c>
    </row>
    <row r="29" spans="1:7" x14ac:dyDescent="0.3">
      <c r="A29" s="38" t="s">
        <v>20</v>
      </c>
      <c r="B29" s="20">
        <v>119</v>
      </c>
      <c r="D29" s="38" t="s">
        <v>20</v>
      </c>
      <c r="E29" s="20">
        <v>119</v>
      </c>
      <c r="F29" s="17">
        <f t="shared" si="1"/>
        <v>7223</v>
      </c>
      <c r="G29" s="39">
        <f t="shared" si="0"/>
        <v>0.97109438020973382</v>
      </c>
    </row>
    <row r="30" spans="1:7" x14ac:dyDescent="0.3">
      <c r="A30" s="38" t="s">
        <v>23</v>
      </c>
      <c r="B30" s="20">
        <v>117</v>
      </c>
      <c r="D30" s="38" t="s">
        <v>23</v>
      </c>
      <c r="E30" s="20">
        <v>117</v>
      </c>
      <c r="F30" s="17">
        <f t="shared" si="1"/>
        <v>7340</v>
      </c>
      <c r="G30" s="39">
        <f t="shared" si="0"/>
        <v>0.98682441516536701</v>
      </c>
    </row>
    <row r="31" spans="1:7" x14ac:dyDescent="0.3">
      <c r="A31" s="38" t="s">
        <v>26</v>
      </c>
      <c r="B31" s="20">
        <v>28</v>
      </c>
      <c r="D31" s="38" t="s">
        <v>26</v>
      </c>
      <c r="E31" s="20">
        <v>28</v>
      </c>
      <c r="F31" s="17">
        <f t="shared" si="1"/>
        <v>7368</v>
      </c>
      <c r="G31" s="39">
        <f t="shared" si="0"/>
        <v>0.99058886797526213</v>
      </c>
    </row>
    <row r="32" spans="1:7" x14ac:dyDescent="0.3">
      <c r="A32" s="38" t="s">
        <v>29</v>
      </c>
      <c r="B32" s="20">
        <v>40</v>
      </c>
      <c r="D32" s="38" t="s">
        <v>29</v>
      </c>
      <c r="E32" s="20">
        <v>40</v>
      </c>
      <c r="F32" s="17">
        <f t="shared" si="1"/>
        <v>7408</v>
      </c>
      <c r="G32" s="39">
        <f t="shared" si="0"/>
        <v>0.99596665770368376</v>
      </c>
    </row>
    <row r="33" spans="1:7" x14ac:dyDescent="0.3">
      <c r="A33" s="38" t="s">
        <v>32</v>
      </c>
      <c r="B33" s="20">
        <v>30</v>
      </c>
      <c r="D33" s="38" t="s">
        <v>32</v>
      </c>
      <c r="E33" s="20">
        <v>30</v>
      </c>
      <c r="F33" s="17">
        <f t="shared" si="1"/>
        <v>7438</v>
      </c>
      <c r="G33" s="39">
        <f t="shared" si="0"/>
        <v>1</v>
      </c>
    </row>
    <row r="34" spans="1:7" x14ac:dyDescent="0.3">
      <c r="A34" s="38" t="s">
        <v>103</v>
      </c>
      <c r="B34" s="20">
        <v>7438</v>
      </c>
    </row>
  </sheetData>
  <autoFilter ref="D3:G33"/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34"/>
  <sheetViews>
    <sheetView zoomScale="85" zoomScaleNormal="85" workbookViewId="0">
      <selection activeCell="O57" sqref="O57"/>
    </sheetView>
  </sheetViews>
  <sheetFormatPr defaultRowHeight="13.2" x14ac:dyDescent="0.25"/>
  <cols>
    <col min="1" max="1" width="13.33203125" bestFit="1" customWidth="1"/>
    <col min="2" max="2" width="12.33203125" bestFit="1" customWidth="1"/>
    <col min="3" max="3" width="16.44140625" bestFit="1" customWidth="1"/>
    <col min="7" max="7" width="13.44140625" bestFit="1" customWidth="1"/>
    <col min="11" max="11" width="14.44140625" bestFit="1" customWidth="1"/>
    <col min="15" max="15" width="13.44140625" bestFit="1" customWidth="1"/>
  </cols>
  <sheetData>
    <row r="1" spans="1:15" x14ac:dyDescent="0.25">
      <c r="A1" s="14" t="s">
        <v>101</v>
      </c>
      <c r="B1" t="s">
        <v>98</v>
      </c>
    </row>
    <row r="2" spans="1:15" x14ac:dyDescent="0.25">
      <c r="E2" s="41" t="s">
        <v>141</v>
      </c>
      <c r="F2" s="42"/>
      <c r="G2" s="42"/>
      <c r="I2" s="41" t="s">
        <v>142</v>
      </c>
      <c r="J2" s="42"/>
      <c r="K2" s="42"/>
      <c r="M2" s="41" t="s">
        <v>143</v>
      </c>
      <c r="N2" s="42"/>
      <c r="O2" s="42"/>
    </row>
    <row r="3" spans="1:15" x14ac:dyDescent="0.25">
      <c r="A3" s="14" t="s">
        <v>107</v>
      </c>
      <c r="B3" t="s">
        <v>108</v>
      </c>
      <c r="C3" s="36" t="s">
        <v>122</v>
      </c>
      <c r="E3" s="43" t="s">
        <v>139</v>
      </c>
      <c r="F3" s="43" t="s">
        <v>140</v>
      </c>
      <c r="G3" s="43" t="s">
        <v>106</v>
      </c>
      <c r="I3" s="43" t="s">
        <v>139</v>
      </c>
      <c r="J3" s="43" t="s">
        <v>140</v>
      </c>
      <c r="K3" s="43" t="s">
        <v>106</v>
      </c>
      <c r="M3" s="43" t="s">
        <v>139</v>
      </c>
      <c r="N3" s="43" t="s">
        <v>140</v>
      </c>
      <c r="O3" s="43" t="s">
        <v>106</v>
      </c>
    </row>
    <row r="4" spans="1:15" hidden="1" x14ac:dyDescent="0.25">
      <c r="A4" s="27" t="s">
        <v>36</v>
      </c>
      <c r="B4" s="16">
        <v>210</v>
      </c>
      <c r="C4" s="36">
        <v>671790</v>
      </c>
      <c r="E4" s="44" t="s">
        <v>93</v>
      </c>
      <c r="F4" s="45">
        <v>10</v>
      </c>
      <c r="G4" s="46">
        <v>14770</v>
      </c>
      <c r="I4" s="44" t="s">
        <v>93</v>
      </c>
      <c r="J4" s="45">
        <v>6</v>
      </c>
      <c r="K4" s="46">
        <v>8862</v>
      </c>
      <c r="M4" s="44" t="s">
        <v>90</v>
      </c>
      <c r="N4" s="45">
        <v>1</v>
      </c>
      <c r="O4" s="46">
        <v>1800</v>
      </c>
    </row>
    <row r="5" spans="1:15" hidden="1" x14ac:dyDescent="0.25">
      <c r="A5" s="27" t="s">
        <v>39</v>
      </c>
      <c r="B5" s="16">
        <v>87</v>
      </c>
      <c r="C5" s="36">
        <v>32277</v>
      </c>
      <c r="E5" s="44" t="s">
        <v>26</v>
      </c>
      <c r="F5" s="45">
        <v>12</v>
      </c>
      <c r="G5" s="46">
        <v>876</v>
      </c>
      <c r="I5" s="44" t="s">
        <v>32</v>
      </c>
      <c r="J5" s="45">
        <v>8</v>
      </c>
      <c r="K5" s="46">
        <v>4472</v>
      </c>
      <c r="M5" s="44" t="s">
        <v>60</v>
      </c>
      <c r="N5" s="45">
        <v>3</v>
      </c>
      <c r="O5" s="46">
        <v>3666</v>
      </c>
    </row>
    <row r="6" spans="1:15" hidden="1" x14ac:dyDescent="0.25">
      <c r="A6" s="27" t="s">
        <v>42</v>
      </c>
      <c r="B6" s="16">
        <v>76</v>
      </c>
      <c r="C6" s="36">
        <v>174800</v>
      </c>
      <c r="E6" s="44" t="s">
        <v>32</v>
      </c>
      <c r="F6" s="45">
        <v>18</v>
      </c>
      <c r="G6" s="46">
        <v>10062</v>
      </c>
      <c r="I6" s="44" t="s">
        <v>90</v>
      </c>
      <c r="J6" s="45">
        <v>9</v>
      </c>
      <c r="K6" s="46">
        <v>16200</v>
      </c>
      <c r="M6" s="44" t="s">
        <v>63</v>
      </c>
      <c r="N6" s="45">
        <v>4</v>
      </c>
      <c r="O6" s="46">
        <v>2596</v>
      </c>
    </row>
    <row r="7" spans="1:15" hidden="1" x14ac:dyDescent="0.25">
      <c r="A7" s="27" t="s">
        <v>45</v>
      </c>
      <c r="B7" s="16">
        <v>59</v>
      </c>
      <c r="C7" s="36">
        <v>29441</v>
      </c>
      <c r="E7" s="44" t="s">
        <v>57</v>
      </c>
      <c r="F7" s="45">
        <v>20</v>
      </c>
      <c r="G7" s="46">
        <v>20600</v>
      </c>
      <c r="I7" s="44" t="s">
        <v>26</v>
      </c>
      <c r="J7" s="45">
        <v>11</v>
      </c>
      <c r="K7" s="46">
        <v>803</v>
      </c>
      <c r="M7" s="44" t="s">
        <v>93</v>
      </c>
      <c r="N7" s="45">
        <v>4</v>
      </c>
      <c r="O7" s="46">
        <v>5908</v>
      </c>
    </row>
    <row r="8" spans="1:15" hidden="1" x14ac:dyDescent="0.25">
      <c r="A8" s="27" t="s">
        <v>48</v>
      </c>
      <c r="B8" s="16">
        <v>32</v>
      </c>
      <c r="C8" s="36">
        <v>9568</v>
      </c>
      <c r="E8" s="44" t="s">
        <v>90</v>
      </c>
      <c r="F8" s="45">
        <v>20</v>
      </c>
      <c r="G8" s="46">
        <v>36000</v>
      </c>
      <c r="I8" s="44" t="s">
        <v>57</v>
      </c>
      <c r="J8" s="45">
        <v>12</v>
      </c>
      <c r="K8" s="46">
        <v>12360</v>
      </c>
      <c r="M8" s="44" t="s">
        <v>32</v>
      </c>
      <c r="N8" s="45">
        <v>4</v>
      </c>
      <c r="O8" s="46">
        <v>2236</v>
      </c>
    </row>
    <row r="9" spans="1:15" hidden="1" x14ac:dyDescent="0.25">
      <c r="A9" s="27" t="s">
        <v>51</v>
      </c>
      <c r="B9" s="16">
        <v>21</v>
      </c>
      <c r="C9" s="36">
        <v>18921</v>
      </c>
      <c r="E9" s="44" t="s">
        <v>29</v>
      </c>
      <c r="F9" s="45">
        <v>20</v>
      </c>
      <c r="G9" s="46">
        <v>4500</v>
      </c>
      <c r="I9" s="44" t="s">
        <v>87</v>
      </c>
      <c r="J9" s="45">
        <v>12</v>
      </c>
      <c r="K9" s="46">
        <v>18000</v>
      </c>
      <c r="M9" s="44" t="s">
        <v>87</v>
      </c>
      <c r="N9" s="45">
        <v>5</v>
      </c>
      <c r="O9" s="46">
        <v>7500</v>
      </c>
    </row>
    <row r="10" spans="1:15" hidden="1" x14ac:dyDescent="0.25">
      <c r="A10" s="27" t="s">
        <v>54</v>
      </c>
      <c r="B10" s="16">
        <v>26</v>
      </c>
      <c r="C10" s="36">
        <v>24154</v>
      </c>
      <c r="E10" s="44" t="s">
        <v>60</v>
      </c>
      <c r="F10" s="45">
        <v>21</v>
      </c>
      <c r="G10" s="46">
        <v>25662</v>
      </c>
      <c r="I10" s="44" t="s">
        <v>60</v>
      </c>
      <c r="J10" s="45">
        <v>13</v>
      </c>
      <c r="K10" s="46">
        <v>15886</v>
      </c>
      <c r="M10" s="44" t="s">
        <v>26</v>
      </c>
      <c r="N10" s="45">
        <v>5</v>
      </c>
      <c r="O10" s="46">
        <v>365</v>
      </c>
    </row>
    <row r="11" spans="1:15" hidden="1" x14ac:dyDescent="0.25">
      <c r="A11" s="27" t="s">
        <v>57</v>
      </c>
      <c r="B11" s="16">
        <v>6</v>
      </c>
      <c r="C11" s="36">
        <v>6180</v>
      </c>
      <c r="E11" s="44" t="s">
        <v>87</v>
      </c>
      <c r="F11" s="45">
        <v>22</v>
      </c>
      <c r="G11" s="46">
        <v>33000</v>
      </c>
      <c r="I11" s="44" t="s">
        <v>29</v>
      </c>
      <c r="J11" s="45">
        <v>14</v>
      </c>
      <c r="K11" s="46">
        <v>3150</v>
      </c>
      <c r="M11" s="44" t="s">
        <v>57</v>
      </c>
      <c r="N11" s="45">
        <v>6</v>
      </c>
      <c r="O11" s="46">
        <v>6180</v>
      </c>
    </row>
    <row r="12" spans="1:15" hidden="1" x14ac:dyDescent="0.25">
      <c r="A12" s="27" t="s">
        <v>60</v>
      </c>
      <c r="B12" s="16">
        <v>3</v>
      </c>
      <c r="C12" s="36">
        <v>3666</v>
      </c>
      <c r="E12" s="44" t="s">
        <v>20</v>
      </c>
      <c r="F12" s="45">
        <v>27</v>
      </c>
      <c r="G12" s="46">
        <v>3294</v>
      </c>
      <c r="I12" s="44" t="s">
        <v>63</v>
      </c>
      <c r="J12" s="45">
        <v>19</v>
      </c>
      <c r="K12" s="46">
        <v>12331</v>
      </c>
      <c r="M12" s="44" t="s">
        <v>29</v>
      </c>
      <c r="N12" s="45">
        <v>6</v>
      </c>
      <c r="O12" s="46">
        <v>1350</v>
      </c>
    </row>
    <row r="13" spans="1:15" hidden="1" x14ac:dyDescent="0.25">
      <c r="A13" s="27" t="s">
        <v>63</v>
      </c>
      <c r="B13" s="16">
        <v>4</v>
      </c>
      <c r="C13" s="36">
        <v>2596</v>
      </c>
      <c r="E13" s="44" t="s">
        <v>63</v>
      </c>
      <c r="F13" s="45">
        <v>28</v>
      </c>
      <c r="G13" s="46">
        <v>18172</v>
      </c>
      <c r="I13" s="44" t="s">
        <v>84</v>
      </c>
      <c r="J13" s="45">
        <v>45</v>
      </c>
      <c r="K13" s="46">
        <v>16830</v>
      </c>
      <c r="M13" s="44" t="s">
        <v>84</v>
      </c>
      <c r="N13" s="45">
        <v>8</v>
      </c>
      <c r="O13" s="46">
        <v>2992</v>
      </c>
    </row>
    <row r="14" spans="1:15" hidden="1" x14ac:dyDescent="0.25">
      <c r="A14" s="27" t="s">
        <v>67</v>
      </c>
      <c r="B14" s="16">
        <v>301</v>
      </c>
      <c r="C14" s="36">
        <v>541800</v>
      </c>
      <c r="E14" s="44" t="s">
        <v>23</v>
      </c>
      <c r="F14" s="45">
        <v>28</v>
      </c>
      <c r="G14" s="46">
        <v>2688</v>
      </c>
      <c r="I14" s="44" t="s">
        <v>51</v>
      </c>
      <c r="J14" s="45">
        <v>46</v>
      </c>
      <c r="K14" s="46">
        <v>41446</v>
      </c>
      <c r="M14" s="44" t="s">
        <v>81</v>
      </c>
      <c r="N14" s="45">
        <v>18</v>
      </c>
      <c r="O14" s="46">
        <v>21348</v>
      </c>
    </row>
    <row r="15" spans="1:15" hidden="1" x14ac:dyDescent="0.25">
      <c r="A15" s="27" t="s">
        <v>70</v>
      </c>
      <c r="B15" s="16">
        <v>149</v>
      </c>
      <c r="C15" s="36">
        <v>51405</v>
      </c>
      <c r="E15" s="44" t="s">
        <v>54</v>
      </c>
      <c r="F15" s="45">
        <v>37</v>
      </c>
      <c r="G15" s="46">
        <v>34373</v>
      </c>
      <c r="I15" s="44" t="s">
        <v>81</v>
      </c>
      <c r="J15" s="45">
        <v>48</v>
      </c>
      <c r="K15" s="46">
        <v>56928</v>
      </c>
      <c r="M15" s="44" t="s">
        <v>51</v>
      </c>
      <c r="N15" s="45">
        <v>21</v>
      </c>
      <c r="O15" s="46">
        <v>18921</v>
      </c>
    </row>
    <row r="16" spans="1:15" hidden="1" x14ac:dyDescent="0.25">
      <c r="A16" s="27" t="s">
        <v>73</v>
      </c>
      <c r="B16" s="16">
        <v>109</v>
      </c>
      <c r="C16" s="36">
        <v>38150</v>
      </c>
      <c r="E16" s="44" t="s">
        <v>81</v>
      </c>
      <c r="F16" s="45">
        <v>44</v>
      </c>
      <c r="G16" s="46">
        <v>52184</v>
      </c>
      <c r="I16" s="44" t="s">
        <v>54</v>
      </c>
      <c r="J16" s="45">
        <v>49</v>
      </c>
      <c r="K16" s="46">
        <v>45521</v>
      </c>
      <c r="M16" s="44" t="s">
        <v>54</v>
      </c>
      <c r="N16" s="45">
        <v>26</v>
      </c>
      <c r="O16" s="46">
        <v>24154</v>
      </c>
    </row>
    <row r="17" spans="1:15" hidden="1" x14ac:dyDescent="0.25">
      <c r="A17" s="27" t="s">
        <v>76</v>
      </c>
      <c r="B17" s="16">
        <v>85</v>
      </c>
      <c r="C17" s="36">
        <v>133875</v>
      </c>
      <c r="E17" s="44" t="s">
        <v>17</v>
      </c>
      <c r="F17" s="45">
        <v>44</v>
      </c>
      <c r="G17" s="46">
        <v>4796</v>
      </c>
      <c r="I17" s="44" t="s">
        <v>23</v>
      </c>
      <c r="J17" s="45">
        <v>53</v>
      </c>
      <c r="K17" s="46">
        <v>5088</v>
      </c>
      <c r="M17" s="44" t="s">
        <v>48</v>
      </c>
      <c r="N17" s="45">
        <v>32</v>
      </c>
      <c r="O17" s="46">
        <v>9568</v>
      </c>
    </row>
    <row r="18" spans="1:15" hidden="1" x14ac:dyDescent="0.25">
      <c r="A18" s="27" t="s">
        <v>78</v>
      </c>
      <c r="B18" s="16">
        <v>42</v>
      </c>
      <c r="C18" s="36">
        <v>43890</v>
      </c>
      <c r="E18" s="44" t="s">
        <v>51</v>
      </c>
      <c r="F18" s="45">
        <v>45</v>
      </c>
      <c r="G18" s="46">
        <v>40545</v>
      </c>
      <c r="I18" s="44" t="s">
        <v>20</v>
      </c>
      <c r="J18" s="45">
        <v>55</v>
      </c>
      <c r="K18" s="46">
        <v>6710</v>
      </c>
      <c r="M18" s="44" t="s">
        <v>23</v>
      </c>
      <c r="N18" s="45">
        <v>36</v>
      </c>
      <c r="O18" s="46">
        <v>3456</v>
      </c>
    </row>
    <row r="19" spans="1:15" hidden="1" x14ac:dyDescent="0.25">
      <c r="A19" s="27" t="s">
        <v>81</v>
      </c>
      <c r="B19" s="16">
        <v>18</v>
      </c>
      <c r="C19" s="36">
        <v>21348</v>
      </c>
      <c r="E19" s="44" t="s">
        <v>76</v>
      </c>
      <c r="F19" s="45">
        <v>46</v>
      </c>
      <c r="G19" s="46">
        <v>72450</v>
      </c>
      <c r="I19" s="44" t="s">
        <v>78</v>
      </c>
      <c r="J19" s="45">
        <v>87</v>
      </c>
      <c r="K19" s="46">
        <v>90915</v>
      </c>
      <c r="M19" s="44" t="s">
        <v>20</v>
      </c>
      <c r="N19" s="45">
        <v>37</v>
      </c>
      <c r="O19" s="46">
        <v>4514</v>
      </c>
    </row>
    <row r="20" spans="1:15" hidden="1" x14ac:dyDescent="0.25">
      <c r="A20" s="27" t="s">
        <v>84</v>
      </c>
      <c r="B20" s="16">
        <v>8</v>
      </c>
      <c r="C20" s="36">
        <v>2992</v>
      </c>
      <c r="E20" s="44" t="s">
        <v>84</v>
      </c>
      <c r="F20" s="45">
        <v>52</v>
      </c>
      <c r="G20" s="46">
        <v>19448</v>
      </c>
      <c r="I20" s="44" t="s">
        <v>48</v>
      </c>
      <c r="J20" s="45">
        <v>89</v>
      </c>
      <c r="K20" s="46">
        <v>26611</v>
      </c>
      <c r="M20" s="44" t="s">
        <v>78</v>
      </c>
      <c r="N20" s="45">
        <v>42</v>
      </c>
      <c r="O20" s="46">
        <v>43890</v>
      </c>
    </row>
    <row r="21" spans="1:15" hidden="1" x14ac:dyDescent="0.25">
      <c r="A21" s="27" t="s">
        <v>87</v>
      </c>
      <c r="B21" s="16">
        <v>5</v>
      </c>
      <c r="C21" s="36">
        <v>7500</v>
      </c>
      <c r="E21" s="44" t="s">
        <v>73</v>
      </c>
      <c r="F21" s="45">
        <v>62</v>
      </c>
      <c r="G21" s="46">
        <v>21700</v>
      </c>
      <c r="I21" s="44" t="s">
        <v>17</v>
      </c>
      <c r="J21" s="45">
        <v>90</v>
      </c>
      <c r="K21" s="46">
        <v>9810</v>
      </c>
      <c r="M21" s="44" t="s">
        <v>17</v>
      </c>
      <c r="N21" s="45">
        <v>58</v>
      </c>
      <c r="O21" s="46">
        <v>6322</v>
      </c>
    </row>
    <row r="22" spans="1:15" hidden="1" x14ac:dyDescent="0.25">
      <c r="A22" s="27" t="s">
        <v>90</v>
      </c>
      <c r="B22" s="16">
        <v>1</v>
      </c>
      <c r="C22" s="36">
        <v>1800</v>
      </c>
      <c r="E22" s="44" t="s">
        <v>15</v>
      </c>
      <c r="F22" s="45">
        <v>63</v>
      </c>
      <c r="G22" s="46">
        <v>10143</v>
      </c>
      <c r="I22" s="44" t="s">
        <v>15</v>
      </c>
      <c r="J22" s="45">
        <v>122</v>
      </c>
      <c r="K22" s="46">
        <v>19642</v>
      </c>
      <c r="M22" s="44" t="s">
        <v>45</v>
      </c>
      <c r="N22" s="45">
        <v>59</v>
      </c>
      <c r="O22" s="46">
        <v>29441</v>
      </c>
    </row>
    <row r="23" spans="1:15" hidden="1" x14ac:dyDescent="0.25">
      <c r="A23" s="27" t="s">
        <v>93</v>
      </c>
      <c r="B23" s="16">
        <v>4</v>
      </c>
      <c r="C23" s="36">
        <v>5908</v>
      </c>
      <c r="E23" s="44" t="s">
        <v>48</v>
      </c>
      <c r="F23" s="45">
        <v>64</v>
      </c>
      <c r="G23" s="46">
        <v>19136</v>
      </c>
      <c r="I23" s="44" t="s">
        <v>76</v>
      </c>
      <c r="J23" s="45">
        <v>125</v>
      </c>
      <c r="K23" s="46">
        <v>196875</v>
      </c>
      <c r="M23" s="44" t="s">
        <v>42</v>
      </c>
      <c r="N23" s="45">
        <v>76</v>
      </c>
      <c r="O23" s="46">
        <v>174800</v>
      </c>
    </row>
    <row r="24" spans="1:15" hidden="1" x14ac:dyDescent="0.25">
      <c r="A24" s="27" t="s">
        <v>6</v>
      </c>
      <c r="B24" s="16">
        <v>317</v>
      </c>
      <c r="C24" s="36">
        <v>66570</v>
      </c>
      <c r="E24" s="44" t="s">
        <v>78</v>
      </c>
      <c r="F24" s="45">
        <v>66</v>
      </c>
      <c r="G24" s="46">
        <v>68970</v>
      </c>
      <c r="I24" s="44" t="s">
        <v>45</v>
      </c>
      <c r="J24" s="45">
        <v>138</v>
      </c>
      <c r="K24" s="46">
        <v>68862</v>
      </c>
      <c r="M24" s="44" t="s">
        <v>76</v>
      </c>
      <c r="N24" s="45">
        <v>85</v>
      </c>
      <c r="O24" s="46">
        <v>133875</v>
      </c>
    </row>
    <row r="25" spans="1:15" hidden="1" x14ac:dyDescent="0.25">
      <c r="A25" s="27" t="s">
        <v>9</v>
      </c>
      <c r="B25" s="16">
        <v>154</v>
      </c>
      <c r="C25" s="36">
        <v>30646</v>
      </c>
      <c r="E25" s="44" t="s">
        <v>12</v>
      </c>
      <c r="F25" s="45">
        <v>67</v>
      </c>
      <c r="G25" s="46">
        <v>21574</v>
      </c>
      <c r="I25" s="44" t="s">
        <v>12</v>
      </c>
      <c r="J25" s="45">
        <v>160</v>
      </c>
      <c r="K25" s="46">
        <v>51520</v>
      </c>
      <c r="M25" s="44" t="s">
        <v>39</v>
      </c>
      <c r="N25" s="45">
        <v>87</v>
      </c>
      <c r="O25" s="46">
        <v>32277</v>
      </c>
    </row>
    <row r="26" spans="1:15" hidden="1" x14ac:dyDescent="0.25">
      <c r="A26" s="27" t="s">
        <v>12</v>
      </c>
      <c r="B26" s="16">
        <v>115</v>
      </c>
      <c r="C26" s="36">
        <v>37030</v>
      </c>
      <c r="E26" s="44" t="s">
        <v>45</v>
      </c>
      <c r="F26" s="45">
        <v>77</v>
      </c>
      <c r="G26" s="46">
        <v>38423</v>
      </c>
      <c r="I26" s="44" t="s">
        <v>42</v>
      </c>
      <c r="J26" s="45">
        <v>161</v>
      </c>
      <c r="K26" s="46">
        <v>370300</v>
      </c>
      <c r="M26" s="44" t="s">
        <v>15</v>
      </c>
      <c r="N26" s="45">
        <v>87</v>
      </c>
      <c r="O26" s="46">
        <v>14007</v>
      </c>
    </row>
    <row r="27" spans="1:15" hidden="1" x14ac:dyDescent="0.25">
      <c r="A27" s="27" t="s">
        <v>15</v>
      </c>
      <c r="B27" s="16">
        <v>87</v>
      </c>
      <c r="C27" s="36">
        <v>14007</v>
      </c>
      <c r="E27" s="44" t="s">
        <v>9</v>
      </c>
      <c r="F27" s="45">
        <v>84</v>
      </c>
      <c r="G27" s="46">
        <v>16716</v>
      </c>
      <c r="I27" s="44" t="s">
        <v>73</v>
      </c>
      <c r="J27" s="45">
        <v>162</v>
      </c>
      <c r="K27" s="46">
        <v>56700</v>
      </c>
      <c r="M27" s="44" t="s">
        <v>73</v>
      </c>
      <c r="N27" s="45">
        <v>109</v>
      </c>
      <c r="O27" s="46">
        <v>38150</v>
      </c>
    </row>
    <row r="28" spans="1:15" hidden="1" x14ac:dyDescent="0.25">
      <c r="A28" s="27" t="s">
        <v>17</v>
      </c>
      <c r="B28" s="16">
        <v>58</v>
      </c>
      <c r="C28" s="36">
        <v>6322</v>
      </c>
      <c r="E28" s="44" t="s">
        <v>70</v>
      </c>
      <c r="F28" s="45">
        <v>88</v>
      </c>
      <c r="G28" s="46">
        <v>30360</v>
      </c>
      <c r="I28" s="44" t="s">
        <v>39</v>
      </c>
      <c r="J28" s="45">
        <v>211</v>
      </c>
      <c r="K28" s="46">
        <v>78281</v>
      </c>
      <c r="M28" s="44" t="s">
        <v>12</v>
      </c>
      <c r="N28" s="45">
        <v>115</v>
      </c>
      <c r="O28" s="46">
        <v>37030</v>
      </c>
    </row>
    <row r="29" spans="1:15" x14ac:dyDescent="0.25">
      <c r="A29" s="27" t="s">
        <v>20</v>
      </c>
      <c r="B29" s="16">
        <v>37</v>
      </c>
      <c r="C29" s="36">
        <v>4514</v>
      </c>
      <c r="E29" s="44" t="s">
        <v>42</v>
      </c>
      <c r="F29" s="45">
        <v>95</v>
      </c>
      <c r="G29" s="46">
        <v>218500</v>
      </c>
      <c r="I29" s="44" t="s">
        <v>70</v>
      </c>
      <c r="J29" s="45">
        <v>220</v>
      </c>
      <c r="K29" s="46">
        <v>75900</v>
      </c>
      <c r="M29" s="44" t="s">
        <v>70</v>
      </c>
      <c r="N29" s="45">
        <v>149</v>
      </c>
      <c r="O29" s="46">
        <v>51405</v>
      </c>
    </row>
    <row r="30" spans="1:15" x14ac:dyDescent="0.25">
      <c r="A30" s="27" t="s">
        <v>23</v>
      </c>
      <c r="B30" s="16">
        <v>36</v>
      </c>
      <c r="C30" s="36">
        <v>3456</v>
      </c>
      <c r="E30" s="44" t="s">
        <v>6</v>
      </c>
      <c r="F30" s="45">
        <v>128</v>
      </c>
      <c r="G30" s="46">
        <v>26880</v>
      </c>
      <c r="I30" s="44" t="s">
        <v>9</v>
      </c>
      <c r="J30" s="45">
        <v>226</v>
      </c>
      <c r="K30" s="46">
        <v>44974</v>
      </c>
      <c r="M30" s="44" t="s">
        <v>9</v>
      </c>
      <c r="N30" s="45">
        <v>154</v>
      </c>
      <c r="O30" s="46">
        <v>30646</v>
      </c>
    </row>
    <row r="31" spans="1:15" hidden="1" x14ac:dyDescent="0.25">
      <c r="A31" s="27" t="s">
        <v>26</v>
      </c>
      <c r="B31" s="16">
        <v>5</v>
      </c>
      <c r="C31" s="36">
        <v>365</v>
      </c>
      <c r="E31" s="44" t="s">
        <v>39</v>
      </c>
      <c r="F31" s="45">
        <v>131</v>
      </c>
      <c r="G31" s="46">
        <v>48601</v>
      </c>
      <c r="I31" s="44" t="s">
        <v>36</v>
      </c>
      <c r="J31" s="45">
        <v>443</v>
      </c>
      <c r="K31" s="46">
        <v>1417157</v>
      </c>
      <c r="M31" s="44" t="s">
        <v>36</v>
      </c>
      <c r="N31" s="45">
        <v>210</v>
      </c>
      <c r="O31" s="46">
        <v>671790</v>
      </c>
    </row>
    <row r="32" spans="1:15" x14ac:dyDescent="0.25">
      <c r="A32" s="27" t="s">
        <v>29</v>
      </c>
      <c r="B32" s="16">
        <v>6</v>
      </c>
      <c r="C32" s="36">
        <v>1350</v>
      </c>
      <c r="E32" s="44" t="s">
        <v>67</v>
      </c>
      <c r="F32" s="45">
        <v>150</v>
      </c>
      <c r="G32" s="46">
        <v>270000</v>
      </c>
      <c r="I32" s="44" t="s">
        <v>67</v>
      </c>
      <c r="J32" s="45">
        <v>445</v>
      </c>
      <c r="K32" s="46">
        <v>801000</v>
      </c>
      <c r="M32" s="44" t="s">
        <v>67</v>
      </c>
      <c r="N32" s="45">
        <v>301</v>
      </c>
      <c r="O32" s="46">
        <v>541800</v>
      </c>
    </row>
    <row r="33" spans="1:15" hidden="1" x14ac:dyDescent="0.25">
      <c r="A33" s="27" t="s">
        <v>32</v>
      </c>
      <c r="B33" s="16">
        <v>4</v>
      </c>
      <c r="C33" s="36">
        <v>2236</v>
      </c>
      <c r="E33" s="44" t="s">
        <v>36</v>
      </c>
      <c r="F33" s="45">
        <v>261</v>
      </c>
      <c r="G33" s="46">
        <v>834939</v>
      </c>
      <c r="I33" s="44" t="s">
        <v>6</v>
      </c>
      <c r="J33" s="45">
        <v>464</v>
      </c>
      <c r="K33" s="46">
        <v>97440</v>
      </c>
      <c r="M33" s="44" t="s">
        <v>6</v>
      </c>
      <c r="N33" s="45">
        <v>317</v>
      </c>
      <c r="O33" s="46">
        <v>66570</v>
      </c>
    </row>
    <row r="34" spans="1:15" x14ac:dyDescent="0.25">
      <c r="A34" s="27" t="s">
        <v>103</v>
      </c>
      <c r="B34" s="16">
        <v>2065</v>
      </c>
      <c r="C34" s="36">
        <v>1988557</v>
      </c>
    </row>
  </sheetData>
  <autoFilter ref="E3:O33">
    <filterColumn colId="4">
      <filters>
        <filter val="L01"/>
        <filter val="L02"/>
        <filter val="M02"/>
      </filters>
    </filterColumn>
  </autoFilter>
  <sortState ref="M4:O33">
    <sortCondition ref="N4:N33"/>
  </sortState>
  <mergeCells count="3">
    <mergeCell ref="E2:G2"/>
    <mergeCell ref="I2:K2"/>
    <mergeCell ref="M2:O2"/>
  </mergeCell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36"/>
  <sheetViews>
    <sheetView workbookViewId="0">
      <selection activeCell="K26" sqref="K26"/>
    </sheetView>
  </sheetViews>
  <sheetFormatPr defaultRowHeight="13.2" x14ac:dyDescent="0.25"/>
  <cols>
    <col min="1" max="1" width="13.33203125" bestFit="1" customWidth="1"/>
    <col min="2" max="2" width="15.33203125" bestFit="1" customWidth="1"/>
    <col min="4" max="4" width="10.33203125" bestFit="1" customWidth="1"/>
    <col min="5" max="5" width="14.44140625" customWidth="1"/>
    <col min="6" max="6" width="19" bestFit="1" customWidth="1"/>
    <col min="7" max="7" width="10.33203125" bestFit="1" customWidth="1"/>
    <col min="9" max="9" width="10.33203125" bestFit="1" customWidth="1"/>
    <col min="11" max="11" width="11.33203125" bestFit="1" customWidth="1"/>
    <col min="12" max="12" width="10.33203125" bestFit="1" customWidth="1"/>
  </cols>
  <sheetData>
    <row r="3" spans="1:12" x14ac:dyDescent="0.25">
      <c r="A3" s="14" t="s">
        <v>107</v>
      </c>
      <c r="B3" s="36" t="s">
        <v>122</v>
      </c>
      <c r="D3" s="10" t="s">
        <v>145</v>
      </c>
      <c r="E3" s="10" t="s">
        <v>144</v>
      </c>
      <c r="F3" s="10" t="s">
        <v>124</v>
      </c>
      <c r="G3" s="10" t="s">
        <v>146</v>
      </c>
      <c r="H3" s="10" t="s">
        <v>147</v>
      </c>
    </row>
    <row r="4" spans="1:12" x14ac:dyDescent="0.25">
      <c r="A4" s="15">
        <v>44287</v>
      </c>
      <c r="B4" s="36">
        <v>482300</v>
      </c>
      <c r="D4" s="15">
        <v>44287</v>
      </c>
      <c r="E4" s="36">
        <v>482300</v>
      </c>
      <c r="F4" s="36">
        <v>482300</v>
      </c>
      <c r="G4" s="47">
        <f>F4/GETPIVOTDATA("Revenue",$A$3)</f>
        <v>6.2811804347545797E-2</v>
      </c>
      <c r="I4" s="15">
        <v>44287</v>
      </c>
    </row>
    <row r="5" spans="1:12" x14ac:dyDescent="0.25">
      <c r="A5" s="15">
        <v>44288</v>
      </c>
      <c r="B5" s="36">
        <v>516662</v>
      </c>
      <c r="D5" s="15">
        <v>44288</v>
      </c>
      <c r="E5" s="36">
        <v>516662</v>
      </c>
      <c r="F5" s="36">
        <f>F4+E5</f>
        <v>998962</v>
      </c>
      <c r="G5" s="47">
        <f t="shared" ref="G5:G18" si="0">F5/GETPIVOTDATA("Revenue",$A$3)</f>
        <v>0.13009870556631359</v>
      </c>
      <c r="H5" s="48">
        <f>G5-G4</f>
        <v>6.7286901218767792E-2</v>
      </c>
      <c r="I5" s="15">
        <v>44288</v>
      </c>
    </row>
    <row r="6" spans="1:12" x14ac:dyDescent="0.25">
      <c r="A6" s="15">
        <v>44289</v>
      </c>
      <c r="B6" s="36">
        <v>519461</v>
      </c>
      <c r="D6" s="15">
        <v>44289</v>
      </c>
      <c r="E6" s="36">
        <v>519461</v>
      </c>
      <c r="F6" s="36">
        <f t="shared" ref="F6:F18" si="1">F5+E6</f>
        <v>1518423</v>
      </c>
      <c r="G6" s="47">
        <f t="shared" si="0"/>
        <v>0.1977501314385518</v>
      </c>
      <c r="H6" s="48">
        <f t="shared" ref="H6:H18" si="2">G6-G5</f>
        <v>6.7651425872238213E-2</v>
      </c>
      <c r="I6" s="15">
        <v>44289</v>
      </c>
    </row>
    <row r="7" spans="1:12" x14ac:dyDescent="0.25">
      <c r="A7" s="15">
        <v>44290</v>
      </c>
      <c r="B7" s="36">
        <v>526452</v>
      </c>
      <c r="D7" s="15">
        <v>44290</v>
      </c>
      <c r="E7" s="36">
        <v>526452</v>
      </c>
      <c r="F7" s="36">
        <f t="shared" si="1"/>
        <v>2044875</v>
      </c>
      <c r="G7" s="47">
        <f t="shared" si="0"/>
        <v>0.26631202242419183</v>
      </c>
      <c r="H7" s="48">
        <f t="shared" si="2"/>
        <v>6.8561890985640028E-2</v>
      </c>
      <c r="I7" s="15">
        <v>44290</v>
      </c>
    </row>
    <row r="8" spans="1:12" x14ac:dyDescent="0.25">
      <c r="A8" s="15">
        <v>44291</v>
      </c>
      <c r="B8" s="36">
        <v>505618</v>
      </c>
      <c r="D8" s="15">
        <v>44291</v>
      </c>
      <c r="E8" s="36">
        <v>505618</v>
      </c>
      <c r="F8" s="36">
        <f t="shared" si="1"/>
        <v>2550493</v>
      </c>
      <c r="G8" s="47">
        <f t="shared" si="0"/>
        <v>0.33216062058010604</v>
      </c>
      <c r="H8" s="48">
        <f t="shared" si="2"/>
        <v>6.5848598155914206E-2</v>
      </c>
      <c r="I8" s="15">
        <v>44291</v>
      </c>
      <c r="K8" s="11" t="s">
        <v>148</v>
      </c>
      <c r="L8" s="48">
        <f>MAX(H5:H18)</f>
        <v>6.9963337858092722E-2</v>
      </c>
    </row>
    <row r="9" spans="1:12" x14ac:dyDescent="0.25">
      <c r="A9" s="15">
        <v>44292</v>
      </c>
      <c r="B9" s="36">
        <v>505672</v>
      </c>
      <c r="D9" s="15">
        <v>44292</v>
      </c>
      <c r="E9" s="36">
        <v>505672</v>
      </c>
      <c r="F9" s="36">
        <f t="shared" si="1"/>
        <v>3056165</v>
      </c>
      <c r="G9" s="47">
        <f t="shared" si="0"/>
        <v>0.39801625136599067</v>
      </c>
      <c r="H9" s="48">
        <f t="shared" si="2"/>
        <v>6.5855630785884633E-2</v>
      </c>
      <c r="I9" s="15">
        <v>44292</v>
      </c>
      <c r="K9" s="11" t="s">
        <v>149</v>
      </c>
      <c r="L9" s="26">
        <f>VLOOKUP(L8,H5:I18,2,0)</f>
        <v>44299</v>
      </c>
    </row>
    <row r="10" spans="1:12" x14ac:dyDescent="0.25">
      <c r="A10" s="15">
        <v>44293</v>
      </c>
      <c r="B10" s="36">
        <v>517023</v>
      </c>
      <c r="D10" s="15">
        <v>44293</v>
      </c>
      <c r="E10" s="36">
        <v>517023</v>
      </c>
      <c r="F10" s="36">
        <f t="shared" si="1"/>
        <v>3573188</v>
      </c>
      <c r="G10" s="47">
        <f t="shared" si="0"/>
        <v>0.46535016701845011</v>
      </c>
      <c r="H10" s="48">
        <f t="shared" si="2"/>
        <v>6.7333915652459442E-2</v>
      </c>
      <c r="I10" s="15">
        <v>44293</v>
      </c>
    </row>
    <row r="11" spans="1:12" x14ac:dyDescent="0.25">
      <c r="A11" s="15">
        <v>44294</v>
      </c>
      <c r="B11" s="36">
        <v>501575</v>
      </c>
      <c r="D11" s="15">
        <v>44294</v>
      </c>
      <c r="E11" s="36">
        <v>501575</v>
      </c>
      <c r="F11" s="36">
        <f t="shared" si="1"/>
        <v>4074763</v>
      </c>
      <c r="G11" s="47">
        <f t="shared" si="0"/>
        <v>0.53067222956379589</v>
      </c>
      <c r="H11" s="48">
        <f t="shared" si="2"/>
        <v>6.5322062545345783E-2</v>
      </c>
      <c r="I11" s="15">
        <v>44294</v>
      </c>
    </row>
    <row r="12" spans="1:12" x14ac:dyDescent="0.25">
      <c r="A12" s="15">
        <v>44295</v>
      </c>
      <c r="B12" s="36">
        <v>524258</v>
      </c>
      <c r="D12" s="15">
        <v>44295</v>
      </c>
      <c r="E12" s="36">
        <v>524258</v>
      </c>
      <c r="F12" s="36">
        <f t="shared" si="1"/>
        <v>4599021</v>
      </c>
      <c r="G12" s="47">
        <f t="shared" si="0"/>
        <v>0.59894838739841272</v>
      </c>
      <c r="H12" s="48">
        <f t="shared" si="2"/>
        <v>6.8276157834616824E-2</v>
      </c>
      <c r="I12" s="15">
        <v>44295</v>
      </c>
    </row>
    <row r="13" spans="1:12" x14ac:dyDescent="0.25">
      <c r="A13" s="15">
        <v>44296</v>
      </c>
      <c r="B13" s="36">
        <v>524265</v>
      </c>
      <c r="D13" s="15">
        <v>44296</v>
      </c>
      <c r="E13" s="36">
        <v>524265</v>
      </c>
      <c r="F13" s="36">
        <f t="shared" si="1"/>
        <v>5123286</v>
      </c>
      <c r="G13" s="47">
        <f t="shared" si="0"/>
        <v>0.66722545687024781</v>
      </c>
      <c r="H13" s="48">
        <f t="shared" si="2"/>
        <v>6.8277069471835095E-2</v>
      </c>
      <c r="I13" s="15">
        <v>44296</v>
      </c>
    </row>
    <row r="14" spans="1:12" x14ac:dyDescent="0.25">
      <c r="A14" s="15">
        <v>44297</v>
      </c>
      <c r="B14" s="36">
        <v>505666</v>
      </c>
      <c r="D14" s="15">
        <v>44297</v>
      </c>
      <c r="E14" s="36">
        <v>505666</v>
      </c>
      <c r="F14" s="36">
        <f t="shared" si="1"/>
        <v>5628952</v>
      </c>
      <c r="G14" s="47">
        <f t="shared" si="0"/>
        <v>0.73308030625280252</v>
      </c>
      <c r="H14" s="48">
        <f t="shared" si="2"/>
        <v>6.5854849382554703E-2</v>
      </c>
      <c r="I14" s="15">
        <v>44297</v>
      </c>
    </row>
    <row r="15" spans="1:12" x14ac:dyDescent="0.25">
      <c r="A15" s="15">
        <v>44298</v>
      </c>
      <c r="B15" s="36">
        <v>496066</v>
      </c>
      <c r="D15" s="15">
        <v>44298</v>
      </c>
      <c r="E15" s="36">
        <v>496066</v>
      </c>
      <c r="F15" s="36">
        <f t="shared" si="1"/>
        <v>6125018</v>
      </c>
      <c r="G15" s="47">
        <f t="shared" si="0"/>
        <v>0.79768491030726996</v>
      </c>
      <c r="H15" s="48">
        <f t="shared" si="2"/>
        <v>6.460460405446744E-2</v>
      </c>
      <c r="I15" s="15">
        <v>44298</v>
      </c>
    </row>
    <row r="16" spans="1:12" x14ac:dyDescent="0.25">
      <c r="A16" s="15">
        <v>44299</v>
      </c>
      <c r="B16" s="36">
        <v>537213</v>
      </c>
      <c r="D16" s="15">
        <v>44299</v>
      </c>
      <c r="E16" s="36">
        <v>537213</v>
      </c>
      <c r="F16" s="36">
        <f t="shared" si="1"/>
        <v>6662231</v>
      </c>
      <c r="G16" s="47">
        <f t="shared" si="0"/>
        <v>0.86764824816536268</v>
      </c>
      <c r="H16" s="48">
        <f t="shared" si="2"/>
        <v>6.9963337858092722E-2</v>
      </c>
      <c r="I16" s="15">
        <v>44299</v>
      </c>
    </row>
    <row r="17" spans="1:9" x14ac:dyDescent="0.25">
      <c r="A17" s="15">
        <v>44300</v>
      </c>
      <c r="B17" s="36">
        <v>515809</v>
      </c>
      <c r="D17" s="15">
        <v>44300</v>
      </c>
      <c r="E17" s="36">
        <v>515809</v>
      </c>
      <c r="F17" s="36">
        <f t="shared" si="1"/>
        <v>7178040</v>
      </c>
      <c r="G17" s="47">
        <f t="shared" si="0"/>
        <v>0.93482405987737438</v>
      </c>
      <c r="H17" s="48">
        <f t="shared" si="2"/>
        <v>6.7175811712011702E-2</v>
      </c>
      <c r="I17" s="15">
        <v>44300</v>
      </c>
    </row>
    <row r="18" spans="1:9" x14ac:dyDescent="0.25">
      <c r="A18" s="15">
        <v>44301</v>
      </c>
      <c r="B18" s="36">
        <v>500453</v>
      </c>
      <c r="D18" s="15">
        <v>44301</v>
      </c>
      <c r="E18" s="36">
        <v>500453</v>
      </c>
      <c r="F18" s="36">
        <f t="shared" si="1"/>
        <v>7678493</v>
      </c>
      <c r="G18" s="47">
        <f t="shared" si="0"/>
        <v>1</v>
      </c>
      <c r="H18" s="48">
        <f t="shared" si="2"/>
        <v>6.517594012262562E-2</v>
      </c>
      <c r="I18" s="15">
        <v>44301</v>
      </c>
    </row>
    <row r="19" spans="1:9" x14ac:dyDescent="0.25">
      <c r="A19" s="15" t="s">
        <v>103</v>
      </c>
      <c r="B19" s="36">
        <v>7678493</v>
      </c>
    </row>
    <row r="20" spans="1:9" x14ac:dyDescent="0.25">
      <c r="A20" s="15"/>
      <c r="B20" s="36"/>
    </row>
    <row r="21" spans="1:9" x14ac:dyDescent="0.25">
      <c r="G21" s="10" t="s">
        <v>100</v>
      </c>
      <c r="H21" s="10" t="s">
        <v>150</v>
      </c>
    </row>
    <row r="22" spans="1:9" x14ac:dyDescent="0.25">
      <c r="G22" s="15">
        <v>44287</v>
      </c>
      <c r="H22" s="49"/>
    </row>
    <row r="23" spans="1:9" x14ac:dyDescent="0.25">
      <c r="G23" s="15">
        <v>44288</v>
      </c>
      <c r="H23" s="49">
        <v>6.7286901218767792E-2</v>
      </c>
    </row>
    <row r="24" spans="1:9" x14ac:dyDescent="0.25">
      <c r="G24" s="15">
        <v>44289</v>
      </c>
      <c r="H24" s="49">
        <v>6.7651425872238213E-2</v>
      </c>
    </row>
    <row r="25" spans="1:9" x14ac:dyDescent="0.25">
      <c r="G25" s="15">
        <v>44290</v>
      </c>
      <c r="H25" s="49">
        <v>6.8561890985640028E-2</v>
      </c>
    </row>
    <row r="26" spans="1:9" x14ac:dyDescent="0.25">
      <c r="G26" s="15">
        <v>44291</v>
      </c>
      <c r="H26" s="49">
        <v>6.5848598155914206E-2</v>
      </c>
    </row>
    <row r="27" spans="1:9" x14ac:dyDescent="0.25">
      <c r="G27" s="15">
        <v>44292</v>
      </c>
      <c r="H27" s="49">
        <v>6.5855630785884633E-2</v>
      </c>
    </row>
    <row r="28" spans="1:9" x14ac:dyDescent="0.25">
      <c r="G28" s="15">
        <v>44293</v>
      </c>
      <c r="H28" s="49">
        <v>6.7333915652459442E-2</v>
      </c>
    </row>
    <row r="29" spans="1:9" x14ac:dyDescent="0.25">
      <c r="G29" s="15">
        <v>44294</v>
      </c>
      <c r="H29" s="49">
        <v>6.5322062545345783E-2</v>
      </c>
    </row>
    <row r="30" spans="1:9" x14ac:dyDescent="0.25">
      <c r="G30" s="15">
        <v>44295</v>
      </c>
      <c r="H30" s="49">
        <v>6.8276157834616824E-2</v>
      </c>
    </row>
    <row r="31" spans="1:9" x14ac:dyDescent="0.25">
      <c r="G31" s="15">
        <v>44296</v>
      </c>
      <c r="H31" s="49">
        <v>6.8277069471835095E-2</v>
      </c>
    </row>
    <row r="32" spans="1:9" x14ac:dyDescent="0.25">
      <c r="G32" s="15">
        <v>44297</v>
      </c>
      <c r="H32" s="49">
        <v>6.5854849382554703E-2</v>
      </c>
    </row>
    <row r="33" spans="7:8" x14ac:dyDescent="0.25">
      <c r="G33" s="15">
        <v>44298</v>
      </c>
      <c r="H33" s="49">
        <v>6.460460405446744E-2</v>
      </c>
    </row>
    <row r="34" spans="7:8" x14ac:dyDescent="0.25">
      <c r="G34" s="15">
        <v>44299</v>
      </c>
      <c r="H34" s="49">
        <v>6.9963337858092722E-2</v>
      </c>
    </row>
    <row r="35" spans="7:8" x14ac:dyDescent="0.25">
      <c r="G35" s="15">
        <v>44300</v>
      </c>
      <c r="H35" s="49">
        <v>6.7175811712011702E-2</v>
      </c>
    </row>
    <row r="36" spans="7:8" x14ac:dyDescent="0.25">
      <c r="G36" s="15">
        <v>44301</v>
      </c>
      <c r="H36" s="49">
        <v>6.517594012262562E-2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3"/>
  <sheetViews>
    <sheetView topLeftCell="A3" workbookViewId="0">
      <pane xSplit="1" topLeftCell="BI1" activePane="topRight" state="frozen"/>
      <selection pane="topRight" activeCell="BI35" sqref="BI35"/>
    </sheetView>
  </sheetViews>
  <sheetFormatPr defaultRowHeight="13.8" x14ac:dyDescent="0.3"/>
  <cols>
    <col min="1" max="1" width="8.88671875" style="17"/>
    <col min="2" max="2" width="11.33203125" style="17" customWidth="1"/>
    <col min="3" max="3" width="8.88671875" style="17"/>
    <col min="4" max="4" width="10.88671875" style="17" customWidth="1"/>
    <col min="5" max="6" width="11.44140625" style="17" customWidth="1"/>
    <col min="7" max="8" width="8.88671875" style="17"/>
    <col min="9" max="9" width="11.5546875" style="17" customWidth="1"/>
    <col min="10" max="10" width="10" style="17" bestFit="1" customWidth="1"/>
    <col min="11" max="11" width="12.5546875" style="17" customWidth="1"/>
    <col min="12" max="12" width="13.33203125" style="17" customWidth="1"/>
    <col min="13" max="13" width="14" style="17" customWidth="1"/>
    <col min="14" max="16384" width="8.88671875" style="17"/>
  </cols>
  <sheetData>
    <row r="1" spans="1:66" x14ac:dyDescent="0.3">
      <c r="A1" s="18"/>
      <c r="B1" s="28"/>
      <c r="C1" s="28">
        <v>1</v>
      </c>
      <c r="D1" s="28"/>
      <c r="E1" s="28"/>
      <c r="F1" s="28"/>
      <c r="G1" s="28">
        <f>C1+1</f>
        <v>2</v>
      </c>
      <c r="H1" s="28"/>
      <c r="I1" s="28"/>
      <c r="J1" s="28"/>
      <c r="K1" s="28">
        <f>G1+1</f>
        <v>3</v>
      </c>
      <c r="L1" s="28"/>
      <c r="M1" s="28"/>
      <c r="N1" s="28"/>
      <c r="O1" s="28">
        <f t="shared" ref="O1" si="0">K1+1</f>
        <v>4</v>
      </c>
      <c r="P1" s="28"/>
      <c r="Q1" s="28"/>
      <c r="R1" s="28"/>
      <c r="S1" s="28">
        <f t="shared" ref="S1" si="1">O1+1</f>
        <v>5</v>
      </c>
      <c r="T1" s="28"/>
      <c r="U1" s="28"/>
      <c r="V1" s="28"/>
      <c r="W1" s="28">
        <f t="shared" ref="W1" si="2">S1+1</f>
        <v>6</v>
      </c>
      <c r="X1" s="28"/>
      <c r="Y1" s="28"/>
      <c r="Z1" s="28"/>
      <c r="AA1" s="28">
        <f t="shared" ref="AA1" si="3">W1+1</f>
        <v>7</v>
      </c>
      <c r="AB1" s="28"/>
      <c r="AC1" s="28"/>
      <c r="AD1" s="28"/>
      <c r="AE1" s="28">
        <f t="shared" ref="AE1" si="4">AA1+1</f>
        <v>8</v>
      </c>
      <c r="AF1" s="28"/>
      <c r="AG1" s="28"/>
      <c r="AH1" s="28"/>
      <c r="AI1" s="28">
        <f t="shared" ref="AI1" si="5">AE1+1</f>
        <v>9</v>
      </c>
      <c r="AJ1" s="28"/>
      <c r="AK1" s="28"/>
      <c r="AL1" s="28"/>
      <c r="AM1" s="28">
        <f t="shared" ref="AM1" si="6">AI1+1</f>
        <v>10</v>
      </c>
      <c r="AN1" s="28"/>
      <c r="AO1" s="28"/>
      <c r="AP1" s="28"/>
      <c r="AQ1" s="28">
        <f t="shared" ref="AQ1" si="7">AM1+1</f>
        <v>11</v>
      </c>
      <c r="AR1" s="28"/>
      <c r="AS1" s="28"/>
      <c r="AT1" s="28"/>
      <c r="AU1" s="28">
        <f t="shared" ref="AU1" si="8">AQ1+1</f>
        <v>12</v>
      </c>
      <c r="AV1" s="28"/>
      <c r="AW1" s="28"/>
      <c r="AX1" s="28"/>
      <c r="AY1" s="28">
        <f t="shared" ref="AY1" si="9">AU1+1</f>
        <v>13</v>
      </c>
      <c r="AZ1" s="28"/>
      <c r="BA1" s="28"/>
      <c r="BB1" s="28"/>
      <c r="BC1" s="28">
        <f t="shared" ref="BC1" si="10">AY1+1</f>
        <v>14</v>
      </c>
      <c r="BD1" s="28"/>
      <c r="BE1" s="28"/>
      <c r="BF1" s="28"/>
      <c r="BG1" s="28">
        <f t="shared" ref="BG1" si="11">BC1+1</f>
        <v>15</v>
      </c>
      <c r="BH1" s="28"/>
      <c r="BI1" s="28"/>
    </row>
    <row r="2" spans="1:66" x14ac:dyDescent="0.3">
      <c r="A2" s="18"/>
      <c r="B2" s="29">
        <f>DATE(2021,4,C1)</f>
        <v>44287</v>
      </c>
      <c r="C2" s="30"/>
      <c r="D2" s="30"/>
      <c r="E2" s="30"/>
      <c r="F2" s="29">
        <f>DATE(2021,4,G1)</f>
        <v>44288</v>
      </c>
      <c r="G2" s="30"/>
      <c r="H2" s="30"/>
      <c r="I2" s="30"/>
      <c r="J2" s="29">
        <f>DATE(2021,4,K1)</f>
        <v>44289</v>
      </c>
      <c r="K2" s="30"/>
      <c r="L2" s="30"/>
      <c r="M2" s="30"/>
      <c r="N2" s="29">
        <f t="shared" ref="N2:AK2" si="12">DATE(2021,4,O1)</f>
        <v>44290</v>
      </c>
      <c r="O2" s="30"/>
      <c r="P2" s="30"/>
      <c r="Q2" s="30"/>
      <c r="R2" s="29">
        <f t="shared" ref="R2:AK2" si="13">DATE(2021,4,S1)</f>
        <v>44291</v>
      </c>
      <c r="S2" s="30"/>
      <c r="T2" s="30"/>
      <c r="U2" s="30"/>
      <c r="V2" s="29">
        <f t="shared" ref="V2:AK2" si="14">DATE(2021,4,W1)</f>
        <v>44292</v>
      </c>
      <c r="W2" s="30"/>
      <c r="X2" s="30"/>
      <c r="Y2" s="30"/>
      <c r="Z2" s="29">
        <f t="shared" ref="Z2:AK2" si="15">DATE(2021,4,AA1)</f>
        <v>44293</v>
      </c>
      <c r="AA2" s="30"/>
      <c r="AB2" s="30"/>
      <c r="AC2" s="30"/>
      <c r="AD2" s="29">
        <f t="shared" ref="AD2:AK2" si="16">DATE(2021,4,AE1)</f>
        <v>44294</v>
      </c>
      <c r="AE2" s="30"/>
      <c r="AF2" s="30"/>
      <c r="AG2" s="30"/>
      <c r="AH2" s="29">
        <f t="shared" ref="AH2:BB2" si="17">DATE(2021,4,AI1)</f>
        <v>44295</v>
      </c>
      <c r="AI2" s="30"/>
      <c r="AJ2" s="30"/>
      <c r="AK2" s="30"/>
      <c r="AL2" s="29">
        <f t="shared" si="17"/>
        <v>44296</v>
      </c>
      <c r="AM2" s="30"/>
      <c r="AN2" s="30"/>
      <c r="AO2" s="30"/>
      <c r="AP2" s="29">
        <f t="shared" si="17"/>
        <v>44297</v>
      </c>
      <c r="AQ2" s="30"/>
      <c r="AR2" s="30"/>
      <c r="AS2" s="30"/>
      <c r="AT2" s="29">
        <f t="shared" si="17"/>
        <v>44298</v>
      </c>
      <c r="AU2" s="30"/>
      <c r="AV2" s="30"/>
      <c r="AW2" s="30"/>
      <c r="AX2" s="29">
        <f t="shared" si="17"/>
        <v>44299</v>
      </c>
      <c r="AY2" s="30"/>
      <c r="AZ2" s="30"/>
      <c r="BA2" s="30"/>
      <c r="BB2" s="29">
        <f t="shared" si="17"/>
        <v>44300</v>
      </c>
      <c r="BC2" s="30"/>
      <c r="BD2" s="30"/>
      <c r="BE2" s="30"/>
      <c r="BF2" s="29">
        <f t="shared" ref="BF2:BI2" si="18">DATE(2021,4,BG1)</f>
        <v>44301</v>
      </c>
      <c r="BG2" s="30"/>
      <c r="BH2" s="30"/>
      <c r="BI2" s="30"/>
    </row>
    <row r="3" spans="1:66" x14ac:dyDescent="0.3">
      <c r="A3" s="18" t="s">
        <v>1</v>
      </c>
      <c r="B3" s="28" t="s">
        <v>112</v>
      </c>
      <c r="C3" s="28" t="s">
        <v>102</v>
      </c>
      <c r="D3" s="28" t="s">
        <v>113</v>
      </c>
      <c r="E3" s="28" t="s">
        <v>114</v>
      </c>
      <c r="F3" s="28" t="s">
        <v>112</v>
      </c>
      <c r="G3" s="28" t="s">
        <v>102</v>
      </c>
      <c r="H3" s="28" t="s">
        <v>113</v>
      </c>
      <c r="I3" s="28" t="s">
        <v>114</v>
      </c>
      <c r="J3" s="28" t="s">
        <v>112</v>
      </c>
      <c r="K3" s="28" t="s">
        <v>102</v>
      </c>
      <c r="L3" s="28" t="s">
        <v>113</v>
      </c>
      <c r="M3" s="28" t="s">
        <v>114</v>
      </c>
      <c r="N3" s="28" t="s">
        <v>112</v>
      </c>
      <c r="O3" s="28" t="s">
        <v>102</v>
      </c>
      <c r="P3" s="28" t="s">
        <v>113</v>
      </c>
      <c r="Q3" s="28" t="s">
        <v>114</v>
      </c>
      <c r="R3" s="28" t="s">
        <v>112</v>
      </c>
      <c r="S3" s="28" t="s">
        <v>102</v>
      </c>
      <c r="T3" s="28" t="s">
        <v>113</v>
      </c>
      <c r="U3" s="28" t="s">
        <v>114</v>
      </c>
      <c r="V3" s="28" t="s">
        <v>112</v>
      </c>
      <c r="W3" s="28" t="s">
        <v>102</v>
      </c>
      <c r="X3" s="28" t="s">
        <v>113</v>
      </c>
      <c r="Y3" s="28" t="s">
        <v>114</v>
      </c>
      <c r="Z3" s="28" t="s">
        <v>112</v>
      </c>
      <c r="AA3" s="28" t="s">
        <v>102</v>
      </c>
      <c r="AB3" s="28" t="s">
        <v>113</v>
      </c>
      <c r="AC3" s="28" t="s">
        <v>114</v>
      </c>
      <c r="AD3" s="28" t="s">
        <v>112</v>
      </c>
      <c r="AE3" s="28" t="s">
        <v>102</v>
      </c>
      <c r="AF3" s="28" t="s">
        <v>113</v>
      </c>
      <c r="AG3" s="28" t="s">
        <v>114</v>
      </c>
      <c r="AH3" s="28" t="s">
        <v>112</v>
      </c>
      <c r="AI3" s="28" t="s">
        <v>102</v>
      </c>
      <c r="AJ3" s="28" t="s">
        <v>113</v>
      </c>
      <c r="AK3" s="28" t="s">
        <v>114</v>
      </c>
      <c r="AL3" s="28" t="s">
        <v>112</v>
      </c>
      <c r="AM3" s="28" t="s">
        <v>102</v>
      </c>
      <c r="AN3" s="28" t="s">
        <v>113</v>
      </c>
      <c r="AO3" s="28" t="s">
        <v>114</v>
      </c>
      <c r="AP3" s="28" t="s">
        <v>112</v>
      </c>
      <c r="AQ3" s="28" t="s">
        <v>102</v>
      </c>
      <c r="AR3" s="28" t="s">
        <v>113</v>
      </c>
      <c r="AS3" s="28" t="s">
        <v>114</v>
      </c>
      <c r="AT3" s="28" t="s">
        <v>112</v>
      </c>
      <c r="AU3" s="28" t="s">
        <v>102</v>
      </c>
      <c r="AV3" s="28" t="s">
        <v>113</v>
      </c>
      <c r="AW3" s="28" t="s">
        <v>114</v>
      </c>
      <c r="AX3" s="28" t="s">
        <v>112</v>
      </c>
      <c r="AY3" s="28" t="s">
        <v>102</v>
      </c>
      <c r="AZ3" s="28" t="s">
        <v>113</v>
      </c>
      <c r="BA3" s="28" t="s">
        <v>114</v>
      </c>
      <c r="BB3" s="28" t="s">
        <v>112</v>
      </c>
      <c r="BC3" s="28" t="s">
        <v>102</v>
      </c>
      <c r="BD3" s="28" t="s">
        <v>113</v>
      </c>
      <c r="BE3" s="28" t="s">
        <v>114</v>
      </c>
      <c r="BF3" s="28" t="s">
        <v>112</v>
      </c>
      <c r="BG3" s="28" t="s">
        <v>102</v>
      </c>
      <c r="BH3" s="28" t="s">
        <v>113</v>
      </c>
      <c r="BI3" s="28" t="s">
        <v>114</v>
      </c>
    </row>
    <row r="4" spans="1:66" x14ac:dyDescent="0.3">
      <c r="A4" s="17" t="s">
        <v>36</v>
      </c>
      <c r="B4" s="31">
        <f>VLOOKUP($A4,'Open STK'!$A$1:$E$31,3,0)</f>
        <v>75</v>
      </c>
      <c r="C4" s="31">
        <f>VLOOKUP($A4,C_Sales!$A$4:$P$35,C$1+1,0)</f>
        <v>12</v>
      </c>
      <c r="D4" s="31">
        <f>VLOOKUP($A4,'Stock Transfer'!$A$3:$AE$32,1+C$1,0)</f>
        <v>11</v>
      </c>
      <c r="E4" s="31">
        <f>B4-C4+D4</f>
        <v>74</v>
      </c>
      <c r="F4" s="31">
        <f>MAX(E4,0)</f>
        <v>74</v>
      </c>
      <c r="G4" s="31">
        <f>VLOOKUP($A4,C_Sales!$A$4:$P$35,G$1+1,0)</f>
        <v>28</v>
      </c>
      <c r="H4" s="31">
        <f>VLOOKUP($A4,'Stock Transfer'!$A$3:$AE$32,1+G$1,0)</f>
        <v>22</v>
      </c>
      <c r="I4" s="31">
        <f>F4-G4+H4</f>
        <v>68</v>
      </c>
      <c r="J4" s="31">
        <f>MAX(I4,0)</f>
        <v>68</v>
      </c>
      <c r="K4" s="31">
        <f>VLOOKUP($A4,C_Sales!$A$4:$P$35,K$1+1,0)</f>
        <v>23</v>
      </c>
      <c r="L4" s="31">
        <f>VLOOKUP($A4,'Stock Transfer'!$A$3:$AE$32,1+K$1,0)</f>
        <v>16</v>
      </c>
      <c r="M4" s="31">
        <f>J4-K4+L4</f>
        <v>61</v>
      </c>
      <c r="N4" s="31">
        <f t="shared" ref="N4:AK19" si="19">MAX(M4,0)</f>
        <v>61</v>
      </c>
      <c r="O4" s="31">
        <f>VLOOKUP($A4,C_Sales!$A$4:$P$35,O$1+1,0)</f>
        <v>24</v>
      </c>
      <c r="P4" s="31">
        <f>VLOOKUP($A4,'Stock Transfer'!$A$3:$AE$32,1+O$1,0)</f>
        <v>18</v>
      </c>
      <c r="Q4" s="31">
        <f t="shared" ref="Q4:Q33" si="20">N4-O4+P4</f>
        <v>55</v>
      </c>
      <c r="R4" s="31">
        <f t="shared" ref="R4:AK4" si="21">MAX(Q4,0)</f>
        <v>55</v>
      </c>
      <c r="S4" s="31">
        <f>VLOOKUP($A4,C_Sales!$A$4:$P$35,S$1+1,0)</f>
        <v>14</v>
      </c>
      <c r="T4" s="31">
        <f>VLOOKUP($A4,'Stock Transfer'!$A$3:$AE$32,1+S$1,0)</f>
        <v>14</v>
      </c>
      <c r="U4" s="31">
        <f t="shared" ref="U4:U33" si="22">R4-S4+T4</f>
        <v>55</v>
      </c>
      <c r="V4" s="31">
        <f t="shared" ref="V4:AK4" si="23">MAX(U4,0)</f>
        <v>55</v>
      </c>
      <c r="W4" s="31">
        <f>VLOOKUP($A4,C_Sales!$A$4:$P$35,W$1+1,0)</f>
        <v>8</v>
      </c>
      <c r="X4" s="31">
        <f>VLOOKUP($A4,'Stock Transfer'!$A$3:$AE$32,1+W$1,0)</f>
        <v>20</v>
      </c>
      <c r="Y4" s="31">
        <f t="shared" ref="Y4:Y33" si="24">V4-W4+X4</f>
        <v>67</v>
      </c>
      <c r="Z4" s="31">
        <f t="shared" ref="Z4:AK4" si="25">MAX(Y4,0)</f>
        <v>67</v>
      </c>
      <c r="AA4" s="31">
        <f>VLOOKUP($A4,C_Sales!$A$4:$P$35,AA$1+1,0)</f>
        <v>21</v>
      </c>
      <c r="AB4" s="31">
        <f>VLOOKUP($A4,'Stock Transfer'!$A$3:$AE$32,1+AA$1,0)</f>
        <v>16</v>
      </c>
      <c r="AC4" s="31">
        <f t="shared" ref="AC4:AC33" si="26">Z4-AA4+AB4</f>
        <v>62</v>
      </c>
      <c r="AD4" s="31">
        <f t="shared" ref="AD4:AK4" si="27">MAX(AC4,0)</f>
        <v>62</v>
      </c>
      <c r="AE4" s="31">
        <f>VLOOKUP($A4,C_Sales!$A$4:$P$35,AE$1+1,0)</f>
        <v>1</v>
      </c>
      <c r="AF4" s="31">
        <f>VLOOKUP($A4,'Stock Transfer'!$A$3:$AE$32,1+AE$1,0)</f>
        <v>13</v>
      </c>
      <c r="AG4" s="31">
        <f t="shared" ref="AG4:AG33" si="28">AD4-AE4+AF4</f>
        <v>74</v>
      </c>
      <c r="AH4" s="31">
        <f t="shared" ref="AH4:AK4" si="29">MAX(AG4,0)</f>
        <v>74</v>
      </c>
      <c r="AI4" s="31">
        <f>VLOOKUP($A4,C_Sales!$A$4:$P$35,AI$1+1,0)</f>
        <v>30</v>
      </c>
      <c r="AJ4" s="31">
        <f>VLOOKUP($A4,'Stock Transfer'!$A$3:$AE$32,1+AI$1,0)</f>
        <v>17</v>
      </c>
      <c r="AK4" s="31">
        <f t="shared" ref="AK4:AK33" si="30">AH4-AI4+AJ4</f>
        <v>61</v>
      </c>
      <c r="AL4" s="31">
        <f t="shared" ref="AL4:BE4" si="31">MAX(AK4,0)</f>
        <v>61</v>
      </c>
      <c r="AM4" s="31">
        <f>VLOOKUP($A4,C_Sales!$A$4:$P$35,AM$1+1,0)</f>
        <v>23</v>
      </c>
      <c r="AN4" s="31">
        <f>VLOOKUP($A4,'Stock Transfer'!$A$3:$AE$32,1+AM$1,0)</f>
        <v>16</v>
      </c>
      <c r="AO4" s="31">
        <f t="shared" ref="AO4:AO33" si="32">AL4-AM4+AN4</f>
        <v>54</v>
      </c>
      <c r="AP4" s="31">
        <f t="shared" ref="AP4:BE4" si="33">MAX(AO4,0)</f>
        <v>54</v>
      </c>
      <c r="AQ4" s="31">
        <f>VLOOKUP($A4,C_Sales!$A$4:$P$35,AQ$1+1,0)</f>
        <v>21</v>
      </c>
      <c r="AR4" s="31">
        <f>VLOOKUP($A4,'Stock Transfer'!$A$3:$AE$32,1+AQ$1,0)</f>
        <v>14</v>
      </c>
      <c r="AS4" s="31">
        <f t="shared" ref="AS4:AS33" si="34">AP4-AQ4+AR4</f>
        <v>47</v>
      </c>
      <c r="AT4" s="31">
        <f t="shared" ref="AT4:BE4" si="35">MAX(AS4,0)</f>
        <v>47</v>
      </c>
      <c r="AU4" s="31">
        <f>VLOOKUP($A4,C_Sales!$A$4:$P$35,AU$1+1,0)</f>
        <v>14</v>
      </c>
      <c r="AV4" s="31">
        <f>VLOOKUP($A4,'Stock Transfer'!$A$3:$AE$32,1+AU$1,0)</f>
        <v>9</v>
      </c>
      <c r="AW4" s="31">
        <f t="shared" ref="AW4:AW33" si="36">AT4-AU4+AV4</f>
        <v>42</v>
      </c>
      <c r="AX4" s="31">
        <f t="shared" ref="AX4:BE4" si="37">MAX(AW4,0)</f>
        <v>42</v>
      </c>
      <c r="AY4" s="31">
        <f>VLOOKUP($A4,C_Sales!$A$4:$P$35,AY$1+1,0)</f>
        <v>13</v>
      </c>
      <c r="AZ4" s="31">
        <f>VLOOKUP($A4,'Stock Transfer'!$A$3:$AE$32,1+AY$1,0)</f>
        <v>14</v>
      </c>
      <c r="BA4" s="31">
        <f t="shared" ref="BA4:BA33" si="38">AX4-AY4+AZ4</f>
        <v>43</v>
      </c>
      <c r="BB4" s="31">
        <f t="shared" ref="BB4:BE4" si="39">MAX(BA4,0)</f>
        <v>43</v>
      </c>
      <c r="BC4" s="31">
        <f>VLOOKUP($A4,C_Sales!$A$4:$P$35,BC$1+1,0)</f>
        <v>28</v>
      </c>
      <c r="BD4" s="31">
        <f>VLOOKUP($A4,'Stock Transfer'!$A$3:$AE$32,1+BC$1,0)</f>
        <v>12</v>
      </c>
      <c r="BE4" s="31">
        <f t="shared" ref="BE4:BE33" si="40">BB4-BC4+BD4</f>
        <v>27</v>
      </c>
      <c r="BF4" s="31">
        <f t="shared" ref="BF4:BI4" si="41">MAX(BE4,0)</f>
        <v>27</v>
      </c>
      <c r="BG4" s="31">
        <f>VLOOKUP($A4,C_Sales!$A$4:$P$35,BG$1+1,0)</f>
        <v>1</v>
      </c>
      <c r="BH4" s="31">
        <f>VLOOKUP($A4,'Stock Transfer'!$A$3:$AE$32,1+BG$1,0)</f>
        <v>20</v>
      </c>
      <c r="BI4" s="31">
        <f t="shared" ref="BI4:BI33" si="42">BF4-BG4+BH4</f>
        <v>46</v>
      </c>
      <c r="BK4" s="17" t="s">
        <v>151</v>
      </c>
      <c r="BN4" s="17">
        <f>MIN(BI4:BI33)</f>
        <v>15</v>
      </c>
    </row>
    <row r="5" spans="1:66" x14ac:dyDescent="0.3">
      <c r="A5" s="17" t="s">
        <v>39</v>
      </c>
      <c r="B5" s="31">
        <f>VLOOKUP($A5,'Open STK'!$A$1:$E$31,4,0)</f>
        <v>24</v>
      </c>
      <c r="C5" s="31">
        <f>VLOOKUP($A5,C_Sales!$A$4:$P$35,C$1+1,0)</f>
        <v>3</v>
      </c>
      <c r="D5" s="31">
        <f>VLOOKUP($A5,'Stock Transfer'!$A$3:$AE$32,1+C$1,0)</f>
        <v>6</v>
      </c>
      <c r="E5" s="31">
        <f t="shared" ref="E5:E33" si="43">B5-C5+D5</f>
        <v>27</v>
      </c>
      <c r="F5" s="31">
        <f t="shared" ref="F5:F33" si="44">MAX(E5,0)</f>
        <v>27</v>
      </c>
      <c r="G5" s="31">
        <f>VLOOKUP($A5,C_Sales!$A$4:$P$35,G$1+1,0)</f>
        <v>7</v>
      </c>
      <c r="H5" s="31">
        <f>VLOOKUP($A5,'Stock Transfer'!$A$3:$AE$32,1+G$1,0)</f>
        <v>8</v>
      </c>
      <c r="I5" s="31">
        <f t="shared" ref="I5:I33" si="45">F5-G5+H5</f>
        <v>28</v>
      </c>
      <c r="J5" s="31">
        <f t="shared" ref="J5:J33" si="46">MAX(I5,0)</f>
        <v>28</v>
      </c>
      <c r="K5" s="31">
        <f>VLOOKUP($A5,C_Sales!$A$4:$P$35,K$1+1,0)</f>
        <v>13</v>
      </c>
      <c r="L5" s="31">
        <f>VLOOKUP($A5,'Stock Transfer'!$A$3:$AE$32,1+K$1,0)</f>
        <v>7</v>
      </c>
      <c r="M5" s="31">
        <f t="shared" ref="M5:M33" si="47">J5-K5+L5</f>
        <v>22</v>
      </c>
      <c r="N5" s="31">
        <f t="shared" si="19"/>
        <v>22</v>
      </c>
      <c r="O5" s="31">
        <f>VLOOKUP($A5,C_Sales!$A$4:$P$35,O$1+1,0)</f>
        <v>14</v>
      </c>
      <c r="P5" s="31">
        <f>VLOOKUP($A5,'Stock Transfer'!$A$3:$AE$32,1+O$1,0)</f>
        <v>10</v>
      </c>
      <c r="Q5" s="31">
        <f t="shared" si="20"/>
        <v>18</v>
      </c>
      <c r="R5" s="31">
        <f t="shared" si="19"/>
        <v>18</v>
      </c>
      <c r="S5" s="31">
        <f>VLOOKUP($A5,C_Sales!$A$4:$P$35,S$1+1,0)</f>
        <v>6</v>
      </c>
      <c r="T5" s="31">
        <f>VLOOKUP($A5,'Stock Transfer'!$A$3:$AE$32,1+S$1,0)</f>
        <v>8</v>
      </c>
      <c r="U5" s="31">
        <f t="shared" si="22"/>
        <v>20</v>
      </c>
      <c r="V5" s="31">
        <f t="shared" si="19"/>
        <v>20</v>
      </c>
      <c r="W5" s="31">
        <f>VLOOKUP($A5,C_Sales!$A$4:$P$35,W$1+1,0)</f>
        <v>11</v>
      </c>
      <c r="X5" s="31">
        <f>VLOOKUP($A5,'Stock Transfer'!$A$3:$AE$32,1+W$1,0)</f>
        <v>9</v>
      </c>
      <c r="Y5" s="31">
        <f t="shared" si="24"/>
        <v>18</v>
      </c>
      <c r="Z5" s="31">
        <f t="shared" si="19"/>
        <v>18</v>
      </c>
      <c r="AA5" s="31">
        <f>VLOOKUP($A5,C_Sales!$A$4:$P$35,AA$1+1,0)</f>
        <v>9</v>
      </c>
      <c r="AB5" s="31">
        <f>VLOOKUP($A5,'Stock Transfer'!$A$3:$AE$32,1+AA$1,0)</f>
        <v>8</v>
      </c>
      <c r="AC5" s="31">
        <f t="shared" si="26"/>
        <v>17</v>
      </c>
      <c r="AD5" s="31">
        <f t="shared" si="19"/>
        <v>17</v>
      </c>
      <c r="AE5" s="31">
        <f>VLOOKUP($A5,C_Sales!$A$4:$P$35,AE$1+1,0)</f>
        <v>10</v>
      </c>
      <c r="AF5" s="31">
        <f>VLOOKUP($A5,'Stock Transfer'!$A$3:$AE$32,1+AE$1,0)</f>
        <v>7</v>
      </c>
      <c r="AG5" s="31">
        <f t="shared" si="28"/>
        <v>14</v>
      </c>
      <c r="AH5" s="31">
        <f t="shared" si="19"/>
        <v>14</v>
      </c>
      <c r="AI5" s="31">
        <f>VLOOKUP($A5,C_Sales!$A$4:$P$35,AI$1+1,0)</f>
        <v>11</v>
      </c>
      <c r="AJ5" s="31">
        <f>VLOOKUP($A5,'Stock Transfer'!$A$3:$AE$32,1+AI$1,0)</f>
        <v>8</v>
      </c>
      <c r="AK5" s="31">
        <f t="shared" si="30"/>
        <v>11</v>
      </c>
      <c r="AL5" s="31">
        <f t="shared" ref="AL5:BE5" si="48">MAX(AK5,0)</f>
        <v>11</v>
      </c>
      <c r="AM5" s="31">
        <f>VLOOKUP($A5,C_Sales!$A$4:$P$35,AM$1+1,0)</f>
        <v>10</v>
      </c>
      <c r="AN5" s="31">
        <f>VLOOKUP($A5,'Stock Transfer'!$A$3:$AE$32,1+AM$1,0)</f>
        <v>10</v>
      </c>
      <c r="AO5" s="31">
        <f t="shared" si="32"/>
        <v>11</v>
      </c>
      <c r="AP5" s="31">
        <f t="shared" ref="AP5:BE5" si="49">MAX(AO5,0)</f>
        <v>11</v>
      </c>
      <c r="AQ5" s="31">
        <f>VLOOKUP($A5,C_Sales!$A$4:$P$35,AQ$1+1,0)</f>
        <v>1</v>
      </c>
      <c r="AR5" s="31">
        <f>VLOOKUP($A5,'Stock Transfer'!$A$3:$AE$32,1+AQ$1,0)</f>
        <v>6</v>
      </c>
      <c r="AS5" s="31">
        <f t="shared" si="34"/>
        <v>16</v>
      </c>
      <c r="AT5" s="31">
        <f t="shared" ref="AT5:BE5" si="50">MAX(AS5,0)</f>
        <v>16</v>
      </c>
      <c r="AU5" s="31">
        <f>VLOOKUP($A5,C_Sales!$A$4:$P$35,AU$1+1,0)</f>
        <v>6</v>
      </c>
      <c r="AV5" s="31">
        <f>VLOOKUP($A5,'Stock Transfer'!$A$3:$AE$32,1+AU$1,0)</f>
        <v>10</v>
      </c>
      <c r="AW5" s="31">
        <f t="shared" si="36"/>
        <v>20</v>
      </c>
      <c r="AX5" s="31">
        <f t="shared" ref="AX5:BE5" si="51">MAX(AW5,0)</f>
        <v>20</v>
      </c>
      <c r="AY5" s="31">
        <f>VLOOKUP($A5,C_Sales!$A$4:$P$35,AY$1+1,0)</f>
        <v>13</v>
      </c>
      <c r="AZ5" s="31">
        <f>VLOOKUP($A5,'Stock Transfer'!$A$3:$AE$32,1+AY$1,0)</f>
        <v>7</v>
      </c>
      <c r="BA5" s="31">
        <f t="shared" si="38"/>
        <v>14</v>
      </c>
      <c r="BB5" s="31">
        <f t="shared" ref="BB5:BE5" si="52">MAX(BA5,0)</f>
        <v>14</v>
      </c>
      <c r="BC5" s="31">
        <f>VLOOKUP($A5,C_Sales!$A$4:$P$35,BC$1+1,0)</f>
        <v>1</v>
      </c>
      <c r="BD5" s="31">
        <f>VLOOKUP($A5,'Stock Transfer'!$A$3:$AE$32,1+BC$1,0)</f>
        <v>11</v>
      </c>
      <c r="BE5" s="31">
        <f t="shared" si="40"/>
        <v>24</v>
      </c>
      <c r="BF5" s="31">
        <f t="shared" ref="BF5:BI5" si="53">MAX(BE5,0)</f>
        <v>24</v>
      </c>
      <c r="BG5" s="31">
        <f>VLOOKUP($A5,C_Sales!$A$4:$P$35,BG$1+1,0)</f>
        <v>16</v>
      </c>
      <c r="BH5" s="31">
        <f>VLOOKUP($A5,'Stock Transfer'!$A$3:$AE$32,1+BG$1,0)</f>
        <v>7</v>
      </c>
      <c r="BI5" s="31">
        <f t="shared" si="42"/>
        <v>15</v>
      </c>
      <c r="BK5" s="17" t="s">
        <v>152</v>
      </c>
      <c r="BN5" s="17" t="e">
        <f>VLOOKUP(BN4,A3:BI33,61,0)</f>
        <v>#N/A</v>
      </c>
    </row>
    <row r="6" spans="1:66" x14ac:dyDescent="0.3">
      <c r="A6" s="17" t="s">
        <v>42</v>
      </c>
      <c r="B6" s="31">
        <f>VLOOKUP($A6,'Open STK'!$A$1:$E$31,4,0)</f>
        <v>12</v>
      </c>
      <c r="C6" s="31">
        <f>VLOOKUP($A6,C_Sales!$A$4:$P$35,C$1+1,0)</f>
        <v>3</v>
      </c>
      <c r="D6" s="31">
        <f>VLOOKUP($A6,'Stock Transfer'!$A$3:$AE$32,1+C$1,0)</f>
        <v>9</v>
      </c>
      <c r="E6" s="31">
        <f t="shared" si="43"/>
        <v>18</v>
      </c>
      <c r="F6" s="31">
        <f t="shared" si="44"/>
        <v>18</v>
      </c>
      <c r="G6" s="31">
        <f>VLOOKUP($A6,C_Sales!$A$4:$P$35,G$1+1,0)</f>
        <v>5</v>
      </c>
      <c r="H6" s="31">
        <f>VLOOKUP($A6,'Stock Transfer'!$A$3:$AE$32,1+G$1,0)</f>
        <v>7</v>
      </c>
      <c r="I6" s="31">
        <f t="shared" si="45"/>
        <v>20</v>
      </c>
      <c r="J6" s="31">
        <f t="shared" si="46"/>
        <v>20</v>
      </c>
      <c r="K6" s="31">
        <f>VLOOKUP($A6,C_Sales!$A$4:$P$35,K$1+1,0)</f>
        <v>3</v>
      </c>
      <c r="L6" s="31">
        <f>VLOOKUP($A6,'Stock Transfer'!$A$3:$AE$32,1+K$1,0)</f>
        <v>8</v>
      </c>
      <c r="M6" s="31">
        <f t="shared" si="47"/>
        <v>25</v>
      </c>
      <c r="N6" s="31">
        <f t="shared" si="19"/>
        <v>25</v>
      </c>
      <c r="O6" s="31">
        <f>VLOOKUP($A6,C_Sales!$A$4:$P$35,O$1+1,0)</f>
        <v>10</v>
      </c>
      <c r="P6" s="31">
        <f>VLOOKUP($A6,'Stock Transfer'!$A$3:$AE$32,1+O$1,0)</f>
        <v>6</v>
      </c>
      <c r="Q6" s="31">
        <f t="shared" si="20"/>
        <v>21</v>
      </c>
      <c r="R6" s="31">
        <f t="shared" si="19"/>
        <v>21</v>
      </c>
      <c r="S6" s="31">
        <f>VLOOKUP($A6,C_Sales!$A$4:$P$35,S$1+1,0)</f>
        <v>9</v>
      </c>
      <c r="T6" s="31">
        <f>VLOOKUP($A6,'Stock Transfer'!$A$3:$AE$32,1+S$1,0)</f>
        <v>6</v>
      </c>
      <c r="U6" s="31">
        <f t="shared" si="22"/>
        <v>18</v>
      </c>
      <c r="V6" s="31">
        <f t="shared" si="19"/>
        <v>18</v>
      </c>
      <c r="W6" s="31">
        <f>VLOOKUP($A6,C_Sales!$A$4:$P$35,W$1+1,0)</f>
        <v>7</v>
      </c>
      <c r="X6" s="31">
        <f>VLOOKUP($A6,'Stock Transfer'!$A$3:$AE$32,1+W$1,0)</f>
        <v>8</v>
      </c>
      <c r="Y6" s="31">
        <f t="shared" si="24"/>
        <v>19</v>
      </c>
      <c r="Z6" s="31">
        <f t="shared" si="19"/>
        <v>19</v>
      </c>
      <c r="AA6" s="31">
        <f>VLOOKUP($A6,C_Sales!$A$4:$P$35,AA$1+1,0)</f>
        <v>10</v>
      </c>
      <c r="AB6" s="31">
        <f>VLOOKUP($A6,'Stock Transfer'!$A$3:$AE$32,1+AA$1,0)</f>
        <v>5</v>
      </c>
      <c r="AC6" s="31">
        <f t="shared" si="26"/>
        <v>14</v>
      </c>
      <c r="AD6" s="31">
        <f t="shared" si="19"/>
        <v>14</v>
      </c>
      <c r="AE6" s="31">
        <f>VLOOKUP($A6,C_Sales!$A$4:$P$35,AE$1+1,0)</f>
        <v>10</v>
      </c>
      <c r="AF6" s="31">
        <f>VLOOKUP($A6,'Stock Transfer'!$A$3:$AE$32,1+AE$1,0)</f>
        <v>6</v>
      </c>
      <c r="AG6" s="31">
        <f t="shared" si="28"/>
        <v>10</v>
      </c>
      <c r="AH6" s="31">
        <f t="shared" si="19"/>
        <v>10</v>
      </c>
      <c r="AI6" s="31">
        <f>VLOOKUP($A6,C_Sales!$A$4:$P$35,AI$1+1,0)</f>
        <v>6</v>
      </c>
      <c r="AJ6" s="31">
        <f>VLOOKUP($A6,'Stock Transfer'!$A$3:$AE$32,1+AI$1,0)</f>
        <v>6</v>
      </c>
      <c r="AK6" s="31">
        <f t="shared" si="30"/>
        <v>10</v>
      </c>
      <c r="AL6" s="31">
        <f t="shared" ref="AL6:BE6" si="54">MAX(AK6,0)</f>
        <v>10</v>
      </c>
      <c r="AM6" s="31">
        <f>VLOOKUP($A6,C_Sales!$A$4:$P$35,AM$1+1,0)</f>
        <v>11</v>
      </c>
      <c r="AN6" s="31">
        <f>VLOOKUP($A6,'Stock Transfer'!$A$3:$AE$32,1+AM$1,0)</f>
        <v>7</v>
      </c>
      <c r="AO6" s="31">
        <f t="shared" si="32"/>
        <v>6</v>
      </c>
      <c r="AP6" s="31">
        <f t="shared" ref="AP6:BE6" si="55">MAX(AO6,0)</f>
        <v>6</v>
      </c>
      <c r="AQ6" s="31">
        <f>VLOOKUP($A6,C_Sales!$A$4:$P$35,AQ$1+1,0)</f>
        <v>10</v>
      </c>
      <c r="AR6" s="31">
        <f>VLOOKUP($A6,'Stock Transfer'!$A$3:$AE$32,1+AQ$1,0)</f>
        <v>5</v>
      </c>
      <c r="AS6" s="31">
        <f t="shared" si="34"/>
        <v>1</v>
      </c>
      <c r="AT6" s="31">
        <f t="shared" ref="AT6:BE6" si="56">MAX(AS6,0)</f>
        <v>1</v>
      </c>
      <c r="AU6" s="31">
        <f>VLOOKUP($A6,C_Sales!$A$4:$P$35,AU$1+1,0)</f>
        <v>2</v>
      </c>
      <c r="AV6" s="31">
        <f>VLOOKUP($A6,'Stock Transfer'!$A$3:$AE$32,1+AU$1,0)</f>
        <v>8</v>
      </c>
      <c r="AW6" s="31">
        <f t="shared" si="36"/>
        <v>7</v>
      </c>
      <c r="AX6" s="31">
        <f t="shared" ref="AX6:BE6" si="57">MAX(AW6,0)</f>
        <v>7</v>
      </c>
      <c r="AY6" s="31">
        <f>VLOOKUP($A6,C_Sales!$A$4:$P$35,AY$1+1,0)</f>
        <v>2</v>
      </c>
      <c r="AZ6" s="31">
        <f>VLOOKUP($A6,'Stock Transfer'!$A$3:$AE$32,1+AY$1,0)</f>
        <v>7</v>
      </c>
      <c r="BA6" s="31">
        <f t="shared" si="38"/>
        <v>12</v>
      </c>
      <c r="BB6" s="31">
        <f t="shared" ref="BB6:BE6" si="58">MAX(BA6,0)</f>
        <v>12</v>
      </c>
      <c r="BC6" s="31">
        <f>VLOOKUP($A6,C_Sales!$A$4:$P$35,BC$1+1,0)</f>
        <v>4</v>
      </c>
      <c r="BD6" s="31">
        <f>VLOOKUP($A6,'Stock Transfer'!$A$3:$AE$32,1+BC$1,0)</f>
        <v>7</v>
      </c>
      <c r="BE6" s="31">
        <f t="shared" si="40"/>
        <v>15</v>
      </c>
      <c r="BF6" s="31">
        <f t="shared" ref="BF6:BI6" si="59">MAX(BE6,0)</f>
        <v>15</v>
      </c>
      <c r="BG6" s="31">
        <f>VLOOKUP($A6,C_Sales!$A$4:$P$35,BG$1+1,0)</f>
        <v>3</v>
      </c>
      <c r="BH6" s="31">
        <f>VLOOKUP($A6,'Stock Transfer'!$A$3:$AE$32,1+BG$1,0)</f>
        <v>5</v>
      </c>
      <c r="BI6" s="31">
        <f t="shared" si="42"/>
        <v>17</v>
      </c>
    </row>
    <row r="7" spans="1:66" x14ac:dyDescent="0.3">
      <c r="A7" s="17" t="s">
        <v>45</v>
      </c>
      <c r="B7" s="31">
        <f>VLOOKUP($A7,'Open STK'!$A$1:$E$31,4,0)</f>
        <v>14</v>
      </c>
      <c r="C7" s="31">
        <f>VLOOKUP($A7,C_Sales!$A$4:$P$35,C$1+1,0)</f>
        <v>8</v>
      </c>
      <c r="D7" s="31">
        <f>VLOOKUP($A7,'Stock Transfer'!$A$3:$AE$32,1+C$1,0)</f>
        <v>7</v>
      </c>
      <c r="E7" s="31">
        <f t="shared" si="43"/>
        <v>13</v>
      </c>
      <c r="F7" s="31">
        <f t="shared" si="44"/>
        <v>13</v>
      </c>
      <c r="G7" s="31">
        <f>VLOOKUP($A7,C_Sales!$A$4:$P$35,G$1+1,0)</f>
        <v>8</v>
      </c>
      <c r="H7" s="31">
        <f>VLOOKUP($A7,'Stock Transfer'!$A$3:$AE$32,1+G$1,0)</f>
        <v>7</v>
      </c>
      <c r="I7" s="31">
        <f t="shared" si="45"/>
        <v>12</v>
      </c>
      <c r="J7" s="31">
        <f t="shared" si="46"/>
        <v>12</v>
      </c>
      <c r="K7" s="31">
        <f>VLOOKUP($A7,C_Sales!$A$4:$P$35,K$1+1,0)</f>
        <v>5</v>
      </c>
      <c r="L7" s="31">
        <f>VLOOKUP($A7,'Stock Transfer'!$A$3:$AE$32,1+K$1,0)</f>
        <v>7</v>
      </c>
      <c r="M7" s="31">
        <f t="shared" si="47"/>
        <v>14</v>
      </c>
      <c r="N7" s="31">
        <f t="shared" si="19"/>
        <v>14</v>
      </c>
      <c r="O7" s="31">
        <f>VLOOKUP($A7,C_Sales!$A$4:$P$35,O$1+1,0)</f>
        <v>6</v>
      </c>
      <c r="P7" s="31">
        <f>VLOOKUP($A7,'Stock Transfer'!$A$3:$AE$32,1+O$1,0)</f>
        <v>5</v>
      </c>
      <c r="Q7" s="31">
        <f t="shared" si="20"/>
        <v>13</v>
      </c>
      <c r="R7" s="31">
        <f t="shared" si="19"/>
        <v>13</v>
      </c>
      <c r="S7" s="31">
        <f>VLOOKUP($A7,C_Sales!$A$4:$P$35,S$1+1,0)</f>
        <v>7</v>
      </c>
      <c r="T7" s="31">
        <f>VLOOKUP($A7,'Stock Transfer'!$A$3:$AE$32,1+S$1,0)</f>
        <v>7</v>
      </c>
      <c r="U7" s="31">
        <f t="shared" si="22"/>
        <v>13</v>
      </c>
      <c r="V7" s="31">
        <f t="shared" si="19"/>
        <v>13</v>
      </c>
      <c r="W7" s="31">
        <f>VLOOKUP($A7,C_Sales!$A$4:$P$35,W$1+1,0)</f>
        <v>1</v>
      </c>
      <c r="X7" s="31">
        <f>VLOOKUP($A7,'Stock Transfer'!$A$3:$AE$32,1+W$1,0)</f>
        <v>5</v>
      </c>
      <c r="Y7" s="31">
        <f t="shared" si="24"/>
        <v>17</v>
      </c>
      <c r="Z7" s="31">
        <f t="shared" si="19"/>
        <v>17</v>
      </c>
      <c r="AA7" s="31">
        <f>VLOOKUP($A7,C_Sales!$A$4:$P$35,AA$1+1,0)</f>
        <v>10</v>
      </c>
      <c r="AB7" s="31">
        <f>VLOOKUP($A7,'Stock Transfer'!$A$3:$AE$32,1+AA$1,0)</f>
        <v>7</v>
      </c>
      <c r="AC7" s="31">
        <f t="shared" si="26"/>
        <v>14</v>
      </c>
      <c r="AD7" s="31">
        <f t="shared" si="19"/>
        <v>14</v>
      </c>
      <c r="AE7" s="31">
        <f>VLOOKUP($A7,C_Sales!$A$4:$P$35,AE$1+1,0)</f>
        <v>1</v>
      </c>
      <c r="AF7" s="31">
        <f>VLOOKUP($A7,'Stock Transfer'!$A$3:$AE$32,1+AE$1,0)</f>
        <v>5</v>
      </c>
      <c r="AG7" s="31">
        <f t="shared" si="28"/>
        <v>18</v>
      </c>
      <c r="AH7" s="31">
        <f t="shared" si="19"/>
        <v>18</v>
      </c>
      <c r="AI7" s="31">
        <f>VLOOKUP($A7,C_Sales!$A$4:$P$35,AI$1+1,0)</f>
        <v>3</v>
      </c>
      <c r="AJ7" s="31">
        <f>VLOOKUP($A7,'Stock Transfer'!$A$3:$AE$32,1+AI$1,0)</f>
        <v>4</v>
      </c>
      <c r="AK7" s="31">
        <f t="shared" si="30"/>
        <v>19</v>
      </c>
      <c r="AL7" s="31">
        <f t="shared" ref="AL7:BE7" si="60">MAX(AK7,0)</f>
        <v>19</v>
      </c>
      <c r="AM7" s="31">
        <f>VLOOKUP($A7,C_Sales!$A$4:$P$35,AM$1+1,0)</f>
        <v>3</v>
      </c>
      <c r="AN7" s="31">
        <f>VLOOKUP($A7,'Stock Transfer'!$A$3:$AE$32,1+AM$1,0)</f>
        <v>6</v>
      </c>
      <c r="AO7" s="31">
        <f t="shared" si="32"/>
        <v>22</v>
      </c>
      <c r="AP7" s="31">
        <f t="shared" ref="AP7:BE7" si="61">MAX(AO7,0)</f>
        <v>22</v>
      </c>
      <c r="AQ7" s="31">
        <f>VLOOKUP($A7,C_Sales!$A$4:$P$35,AQ$1+1,0)</f>
        <v>5</v>
      </c>
      <c r="AR7" s="31">
        <f>VLOOKUP($A7,'Stock Transfer'!$A$3:$AE$32,1+AQ$1,0)</f>
        <v>5</v>
      </c>
      <c r="AS7" s="31">
        <f t="shared" si="34"/>
        <v>22</v>
      </c>
      <c r="AT7" s="31">
        <f t="shared" ref="AT7:BE7" si="62">MAX(AS7,0)</f>
        <v>22</v>
      </c>
      <c r="AU7" s="31">
        <f>VLOOKUP($A7,C_Sales!$A$4:$P$35,AU$1+1,0)</f>
        <v>7</v>
      </c>
      <c r="AV7" s="31">
        <f>VLOOKUP($A7,'Stock Transfer'!$A$3:$AE$32,1+AU$1,0)</f>
        <v>5</v>
      </c>
      <c r="AW7" s="31">
        <f t="shared" si="36"/>
        <v>20</v>
      </c>
      <c r="AX7" s="31">
        <f t="shared" ref="AX7:BE7" si="63">MAX(AW7,0)</f>
        <v>20</v>
      </c>
      <c r="AY7" s="31">
        <f>VLOOKUP($A7,C_Sales!$A$4:$P$35,AY$1+1,0)</f>
        <v>6</v>
      </c>
      <c r="AZ7" s="31">
        <f>VLOOKUP($A7,'Stock Transfer'!$A$3:$AE$32,1+AY$1,0)</f>
        <v>5</v>
      </c>
      <c r="BA7" s="31">
        <f t="shared" si="38"/>
        <v>19</v>
      </c>
      <c r="BB7" s="31">
        <f t="shared" ref="BB7:BE7" si="64">MAX(BA7,0)</f>
        <v>19</v>
      </c>
      <c r="BC7" s="31">
        <f>VLOOKUP($A7,C_Sales!$A$4:$P$35,BC$1+1,0)</f>
        <v>3</v>
      </c>
      <c r="BD7" s="31">
        <f>VLOOKUP($A7,'Stock Transfer'!$A$3:$AE$32,1+BC$1,0)</f>
        <v>5</v>
      </c>
      <c r="BE7" s="31">
        <f t="shared" si="40"/>
        <v>21</v>
      </c>
      <c r="BF7" s="31">
        <f t="shared" ref="BF7:BI7" si="65">MAX(BE7,0)</f>
        <v>21</v>
      </c>
      <c r="BG7" s="31">
        <f>VLOOKUP($A7,C_Sales!$A$4:$P$35,BG$1+1,0)</f>
        <v>4</v>
      </c>
      <c r="BH7" s="31">
        <f>VLOOKUP($A7,'Stock Transfer'!$A$3:$AE$32,1+BG$1,0)</f>
        <v>4</v>
      </c>
      <c r="BI7" s="31">
        <f t="shared" si="42"/>
        <v>21</v>
      </c>
    </row>
    <row r="8" spans="1:66" x14ac:dyDescent="0.3">
      <c r="A8" s="17" t="s">
        <v>48</v>
      </c>
      <c r="B8" s="31">
        <f>VLOOKUP($A8,'Open STK'!$A$1:$E$31,4,0)</f>
        <v>13</v>
      </c>
      <c r="C8" s="31">
        <f>VLOOKUP($A8,C_Sales!$A$4:$P$35,C$1+1,0)</f>
        <v>4</v>
      </c>
      <c r="D8" s="31">
        <f>VLOOKUP($A8,'Stock Transfer'!$A$3:$AE$32,1+C$1,0)</f>
        <v>4</v>
      </c>
      <c r="E8" s="31">
        <f t="shared" si="43"/>
        <v>13</v>
      </c>
      <c r="F8" s="31">
        <f t="shared" si="44"/>
        <v>13</v>
      </c>
      <c r="G8" s="31">
        <f>VLOOKUP($A8,C_Sales!$A$4:$P$35,G$1+1,0)</f>
        <v>6</v>
      </c>
      <c r="H8" s="31">
        <f>VLOOKUP($A8,'Stock Transfer'!$A$3:$AE$32,1+G$1,0)</f>
        <v>6</v>
      </c>
      <c r="I8" s="31">
        <f t="shared" si="45"/>
        <v>13</v>
      </c>
      <c r="J8" s="31">
        <f t="shared" si="46"/>
        <v>13</v>
      </c>
      <c r="K8" s="31">
        <f>VLOOKUP($A8,C_Sales!$A$4:$P$35,K$1+1,0)</f>
        <v>5</v>
      </c>
      <c r="L8" s="31">
        <f>VLOOKUP($A8,'Stock Transfer'!$A$3:$AE$32,1+K$1,0)</f>
        <v>5</v>
      </c>
      <c r="M8" s="31">
        <f t="shared" si="47"/>
        <v>13</v>
      </c>
      <c r="N8" s="31">
        <f t="shared" si="19"/>
        <v>13</v>
      </c>
      <c r="O8" s="31">
        <f>VLOOKUP($A8,C_Sales!$A$4:$P$35,O$1+1,0)</f>
        <v>5</v>
      </c>
      <c r="P8" s="31">
        <f>VLOOKUP($A8,'Stock Transfer'!$A$3:$AE$32,1+O$1,0)</f>
        <v>5</v>
      </c>
      <c r="Q8" s="31">
        <f t="shared" si="20"/>
        <v>13</v>
      </c>
      <c r="R8" s="31">
        <f t="shared" si="19"/>
        <v>13</v>
      </c>
      <c r="S8" s="31">
        <f>VLOOKUP($A8,C_Sales!$A$4:$P$35,S$1+1,0)</f>
        <v>3</v>
      </c>
      <c r="T8" s="31">
        <f>VLOOKUP($A8,'Stock Transfer'!$A$3:$AE$32,1+S$1,0)</f>
        <v>4</v>
      </c>
      <c r="U8" s="31">
        <f t="shared" si="22"/>
        <v>14</v>
      </c>
      <c r="V8" s="31">
        <f t="shared" si="19"/>
        <v>14</v>
      </c>
      <c r="W8" s="31">
        <f>VLOOKUP($A8,C_Sales!$A$4:$P$35,W$1+1,0)</f>
        <v>2</v>
      </c>
      <c r="X8" s="31">
        <f>VLOOKUP($A8,'Stock Transfer'!$A$3:$AE$32,1+W$1,0)</f>
        <v>3</v>
      </c>
      <c r="Y8" s="31">
        <f t="shared" si="24"/>
        <v>15</v>
      </c>
      <c r="Z8" s="31">
        <f t="shared" si="19"/>
        <v>15</v>
      </c>
      <c r="AA8" s="31">
        <f>VLOOKUP($A8,C_Sales!$A$4:$P$35,AA$1+1,0)</f>
        <v>1</v>
      </c>
      <c r="AB8" s="31">
        <f>VLOOKUP($A8,'Stock Transfer'!$A$3:$AE$32,1+AA$1,0)</f>
        <v>5</v>
      </c>
      <c r="AC8" s="31">
        <f t="shared" si="26"/>
        <v>19</v>
      </c>
      <c r="AD8" s="31">
        <f t="shared" si="19"/>
        <v>19</v>
      </c>
      <c r="AE8" s="31">
        <f>VLOOKUP($A8,C_Sales!$A$4:$P$35,AE$1+1,0)</f>
        <v>4</v>
      </c>
      <c r="AF8" s="31">
        <f>VLOOKUP($A8,'Stock Transfer'!$A$3:$AE$32,1+AE$1,0)</f>
        <v>5</v>
      </c>
      <c r="AG8" s="31">
        <f t="shared" si="28"/>
        <v>20</v>
      </c>
      <c r="AH8" s="31">
        <f t="shared" si="19"/>
        <v>20</v>
      </c>
      <c r="AI8" s="31">
        <f>VLOOKUP($A8,C_Sales!$A$4:$P$35,AI$1+1,0)</f>
        <v>7</v>
      </c>
      <c r="AJ8" s="31">
        <f>VLOOKUP($A8,'Stock Transfer'!$A$3:$AE$32,1+AI$1,0)</f>
        <v>6</v>
      </c>
      <c r="AK8" s="31">
        <f t="shared" si="30"/>
        <v>19</v>
      </c>
      <c r="AL8" s="31">
        <f t="shared" ref="AL8:BE8" si="66">MAX(AK8,0)</f>
        <v>19</v>
      </c>
      <c r="AM8" s="31">
        <f>VLOOKUP($A8,C_Sales!$A$4:$P$35,AM$1+1,0)</f>
        <v>2</v>
      </c>
      <c r="AN8" s="31">
        <f>VLOOKUP($A8,'Stock Transfer'!$A$3:$AE$32,1+AM$1,0)</f>
        <v>6</v>
      </c>
      <c r="AO8" s="31">
        <f t="shared" si="32"/>
        <v>23</v>
      </c>
      <c r="AP8" s="31">
        <f t="shared" ref="AP8:BE8" si="67">MAX(AO8,0)</f>
        <v>23</v>
      </c>
      <c r="AQ8" s="31">
        <f>VLOOKUP($A8,C_Sales!$A$4:$P$35,AQ$1+1,0)</f>
        <v>3</v>
      </c>
      <c r="AR8" s="31">
        <f>VLOOKUP($A8,'Stock Transfer'!$A$3:$AE$32,1+AQ$1,0)</f>
        <v>5</v>
      </c>
      <c r="AS8" s="31">
        <f t="shared" si="34"/>
        <v>25</v>
      </c>
      <c r="AT8" s="31">
        <f t="shared" ref="AT8:BE8" si="68">MAX(AS8,0)</f>
        <v>25</v>
      </c>
      <c r="AU8" s="31">
        <f>VLOOKUP($A8,C_Sales!$A$4:$P$35,AU$1+1,0)</f>
        <v>4</v>
      </c>
      <c r="AV8" s="31">
        <f>VLOOKUP($A8,'Stock Transfer'!$A$3:$AE$32,1+AU$1,0)</f>
        <v>5</v>
      </c>
      <c r="AW8" s="31">
        <f t="shared" si="36"/>
        <v>26</v>
      </c>
      <c r="AX8" s="31">
        <f t="shared" ref="AX8:BE8" si="69">MAX(AW8,0)</f>
        <v>26</v>
      </c>
      <c r="AY8" s="31">
        <f>VLOOKUP($A8,C_Sales!$A$4:$P$35,AY$1+1,0)</f>
        <v>6</v>
      </c>
      <c r="AZ8" s="31">
        <f>VLOOKUP($A8,'Stock Transfer'!$A$3:$AE$32,1+AY$1,0)</f>
        <v>5</v>
      </c>
      <c r="BA8" s="31">
        <f t="shared" si="38"/>
        <v>25</v>
      </c>
      <c r="BB8" s="31">
        <f t="shared" ref="BB8:BE8" si="70">MAX(BA8,0)</f>
        <v>25</v>
      </c>
      <c r="BC8" s="31">
        <f>VLOOKUP($A8,C_Sales!$A$4:$P$35,BC$1+1,0)</f>
        <v>6</v>
      </c>
      <c r="BD8" s="31">
        <f>VLOOKUP($A8,'Stock Transfer'!$A$3:$AE$32,1+BC$1,0)</f>
        <v>4</v>
      </c>
      <c r="BE8" s="31">
        <f t="shared" si="40"/>
        <v>23</v>
      </c>
      <c r="BF8" s="31">
        <f t="shared" ref="BF8:BI8" si="71">MAX(BE8,0)</f>
        <v>23</v>
      </c>
      <c r="BG8" s="31">
        <f>VLOOKUP($A8,C_Sales!$A$4:$P$35,BG$1+1,0)</f>
        <v>6</v>
      </c>
      <c r="BH8" s="31">
        <f>VLOOKUP($A8,'Stock Transfer'!$A$3:$AE$32,1+BG$1,0)</f>
        <v>5</v>
      </c>
      <c r="BI8" s="31">
        <f t="shared" si="42"/>
        <v>22</v>
      </c>
    </row>
    <row r="9" spans="1:66" x14ac:dyDescent="0.3">
      <c r="A9" s="17" t="s">
        <v>51</v>
      </c>
      <c r="B9" s="31">
        <f>VLOOKUP($A9,'Open STK'!$A$1:$E$31,4,0)</f>
        <v>6</v>
      </c>
      <c r="C9" s="31">
        <f>VLOOKUP($A9,C_Sales!$A$4:$P$35,C$1+1,0)</f>
        <v>4</v>
      </c>
      <c r="D9" s="31">
        <f>VLOOKUP($A9,'Stock Transfer'!$A$3:$AE$32,1+C$1,0)</f>
        <v>4</v>
      </c>
      <c r="E9" s="31">
        <f t="shared" si="43"/>
        <v>6</v>
      </c>
      <c r="F9" s="31">
        <f t="shared" si="44"/>
        <v>6</v>
      </c>
      <c r="G9" s="31">
        <f>VLOOKUP($A9,C_Sales!$A$4:$P$35,G$1+1,0)</f>
        <v>2</v>
      </c>
      <c r="H9" s="31">
        <f>VLOOKUP($A9,'Stock Transfer'!$A$3:$AE$32,1+G$1,0)</f>
        <v>5</v>
      </c>
      <c r="I9" s="31">
        <f t="shared" si="45"/>
        <v>9</v>
      </c>
      <c r="J9" s="31">
        <f t="shared" si="46"/>
        <v>9</v>
      </c>
      <c r="K9" s="31">
        <f>VLOOKUP($A9,C_Sales!$A$4:$P$35,K$1+1,0)</f>
        <v>5</v>
      </c>
      <c r="L9" s="31">
        <f>VLOOKUP($A9,'Stock Transfer'!$A$3:$AE$32,1+K$1,0)</f>
        <v>4</v>
      </c>
      <c r="M9" s="31">
        <f t="shared" si="47"/>
        <v>8</v>
      </c>
      <c r="N9" s="31">
        <f t="shared" si="19"/>
        <v>8</v>
      </c>
      <c r="O9" s="31">
        <f>VLOOKUP($A9,C_Sales!$A$4:$P$35,O$1+1,0)</f>
        <v>3</v>
      </c>
      <c r="P9" s="31">
        <f>VLOOKUP($A9,'Stock Transfer'!$A$3:$AE$32,1+O$1,0)</f>
        <v>4</v>
      </c>
      <c r="Q9" s="31">
        <f t="shared" si="20"/>
        <v>9</v>
      </c>
      <c r="R9" s="31">
        <f t="shared" si="19"/>
        <v>9</v>
      </c>
      <c r="S9" s="31">
        <f>VLOOKUP($A9,C_Sales!$A$4:$P$35,S$1+1,0)</f>
        <v>3</v>
      </c>
      <c r="T9" s="31">
        <f>VLOOKUP($A9,'Stock Transfer'!$A$3:$AE$32,1+S$1,0)</f>
        <v>4</v>
      </c>
      <c r="U9" s="31">
        <f t="shared" si="22"/>
        <v>10</v>
      </c>
      <c r="V9" s="31">
        <f t="shared" si="19"/>
        <v>10</v>
      </c>
      <c r="W9" s="31">
        <f>VLOOKUP($A9,C_Sales!$A$4:$P$35,W$1+1,0)</f>
        <v>5</v>
      </c>
      <c r="X9" s="31">
        <f>VLOOKUP($A9,'Stock Transfer'!$A$3:$AE$32,1+W$1,0)</f>
        <v>3</v>
      </c>
      <c r="Y9" s="31">
        <f t="shared" si="24"/>
        <v>8</v>
      </c>
      <c r="Z9" s="31">
        <f t="shared" si="19"/>
        <v>8</v>
      </c>
      <c r="AA9" s="31">
        <f>VLOOKUP($A9,C_Sales!$A$4:$P$35,AA$1+1,0)</f>
        <v>2</v>
      </c>
      <c r="AB9" s="31">
        <f>VLOOKUP($A9,'Stock Transfer'!$A$3:$AE$32,1+AA$1,0)</f>
        <v>5</v>
      </c>
      <c r="AC9" s="31">
        <f t="shared" si="26"/>
        <v>11</v>
      </c>
      <c r="AD9" s="31">
        <f t="shared" si="19"/>
        <v>11</v>
      </c>
      <c r="AE9" s="31">
        <f>VLOOKUP($A9,C_Sales!$A$4:$P$35,AE$1+1,0)</f>
        <v>3</v>
      </c>
      <c r="AF9" s="31">
        <f>VLOOKUP($A9,'Stock Transfer'!$A$3:$AE$32,1+AE$1,0)</f>
        <v>3</v>
      </c>
      <c r="AG9" s="31">
        <f t="shared" si="28"/>
        <v>11</v>
      </c>
      <c r="AH9" s="31">
        <f t="shared" si="19"/>
        <v>11</v>
      </c>
      <c r="AI9" s="31">
        <f>VLOOKUP($A9,C_Sales!$A$4:$P$35,AI$1+1,0)</f>
        <v>1</v>
      </c>
      <c r="AJ9" s="31">
        <f>VLOOKUP($A9,'Stock Transfer'!$A$3:$AE$32,1+AI$1,0)</f>
        <v>4</v>
      </c>
      <c r="AK9" s="31">
        <f t="shared" si="30"/>
        <v>14</v>
      </c>
      <c r="AL9" s="31">
        <f t="shared" ref="AL9:BE9" si="72">MAX(AK9,0)</f>
        <v>14</v>
      </c>
      <c r="AM9" s="31">
        <f>VLOOKUP($A9,C_Sales!$A$4:$P$35,AM$1+1,0)</f>
        <v>2</v>
      </c>
      <c r="AN9" s="31">
        <f>VLOOKUP($A9,'Stock Transfer'!$A$3:$AE$32,1+AM$1,0)</f>
        <v>4</v>
      </c>
      <c r="AO9" s="31">
        <f t="shared" si="32"/>
        <v>16</v>
      </c>
      <c r="AP9" s="31">
        <f t="shared" ref="AP9:BE9" si="73">MAX(AO9,0)</f>
        <v>16</v>
      </c>
      <c r="AQ9" s="31">
        <f>VLOOKUP($A9,C_Sales!$A$4:$P$35,AQ$1+1,0)</f>
        <v>1</v>
      </c>
      <c r="AR9" s="31">
        <f>VLOOKUP($A9,'Stock Transfer'!$A$3:$AE$32,1+AQ$1,0)</f>
        <v>4</v>
      </c>
      <c r="AS9" s="31">
        <f t="shared" si="34"/>
        <v>19</v>
      </c>
      <c r="AT9" s="31">
        <f t="shared" ref="AT9:BE9" si="74">MAX(AS9,0)</f>
        <v>19</v>
      </c>
      <c r="AU9" s="31">
        <f>VLOOKUP($A9,C_Sales!$A$4:$P$35,AU$1+1,0)</f>
        <v>2</v>
      </c>
      <c r="AV9" s="31">
        <f>VLOOKUP($A9,'Stock Transfer'!$A$3:$AE$32,1+AU$1,0)</f>
        <v>3</v>
      </c>
      <c r="AW9" s="31">
        <f t="shared" si="36"/>
        <v>20</v>
      </c>
      <c r="AX9" s="31">
        <f t="shared" ref="AX9:BE9" si="75">MAX(AW9,0)</f>
        <v>20</v>
      </c>
      <c r="AY9" s="31">
        <f>VLOOKUP($A9,C_Sales!$A$4:$P$35,AY$1+1,0)</f>
        <v>4</v>
      </c>
      <c r="AZ9" s="31">
        <f>VLOOKUP($A9,'Stock Transfer'!$A$3:$AE$32,1+AY$1,0)</f>
        <v>4</v>
      </c>
      <c r="BA9" s="31">
        <f t="shared" si="38"/>
        <v>20</v>
      </c>
      <c r="BB9" s="31">
        <f t="shared" ref="BB9:BE9" si="76">MAX(BA9,0)</f>
        <v>20</v>
      </c>
      <c r="BC9" s="31">
        <f>VLOOKUP($A9,C_Sales!$A$4:$P$35,BC$1+1,0)</f>
        <v>5</v>
      </c>
      <c r="BD9" s="31">
        <f>VLOOKUP($A9,'Stock Transfer'!$A$3:$AE$32,1+BC$1,0)</f>
        <v>4</v>
      </c>
      <c r="BE9" s="31">
        <f t="shared" si="40"/>
        <v>19</v>
      </c>
      <c r="BF9" s="31">
        <f t="shared" ref="BF9:BI9" si="77">MAX(BE9,0)</f>
        <v>19</v>
      </c>
      <c r="BG9" s="31">
        <f>VLOOKUP($A9,C_Sales!$A$4:$P$35,BG$1+1,0)</f>
        <v>3</v>
      </c>
      <c r="BH9" s="31">
        <f>VLOOKUP($A9,'Stock Transfer'!$A$3:$AE$32,1+BG$1,0)</f>
        <v>3</v>
      </c>
      <c r="BI9" s="31">
        <f t="shared" si="42"/>
        <v>19</v>
      </c>
    </row>
    <row r="10" spans="1:66" x14ac:dyDescent="0.3">
      <c r="A10" s="17" t="s">
        <v>54</v>
      </c>
      <c r="B10" s="31">
        <f>VLOOKUP($A10,'Open STK'!$A$1:$E$31,4,0)</f>
        <v>10</v>
      </c>
      <c r="C10" s="31">
        <f>VLOOKUP($A10,C_Sales!$A$4:$P$35,C$1+1,0)</f>
        <v>2</v>
      </c>
      <c r="D10" s="31">
        <f>VLOOKUP($A10,'Stock Transfer'!$A$3:$AE$32,1+C$1,0)</f>
        <v>3</v>
      </c>
      <c r="E10" s="31">
        <f t="shared" si="43"/>
        <v>11</v>
      </c>
      <c r="F10" s="31">
        <f t="shared" si="44"/>
        <v>11</v>
      </c>
      <c r="G10" s="31">
        <f>VLOOKUP($A10,C_Sales!$A$4:$P$35,G$1+1,0)</f>
        <v>2</v>
      </c>
      <c r="H10" s="31">
        <f>VLOOKUP($A10,'Stock Transfer'!$A$3:$AE$32,1+G$1,0)</f>
        <v>3</v>
      </c>
      <c r="I10" s="31">
        <f t="shared" si="45"/>
        <v>12</v>
      </c>
      <c r="J10" s="31">
        <f t="shared" si="46"/>
        <v>12</v>
      </c>
      <c r="K10" s="31">
        <f>VLOOKUP($A10,C_Sales!$A$4:$P$35,K$1+1,0)</f>
        <v>4</v>
      </c>
      <c r="L10" s="31">
        <f>VLOOKUP($A10,'Stock Transfer'!$A$3:$AE$32,1+K$1,0)</f>
        <v>4</v>
      </c>
      <c r="M10" s="31">
        <f t="shared" si="47"/>
        <v>12</v>
      </c>
      <c r="N10" s="31">
        <f t="shared" si="19"/>
        <v>12</v>
      </c>
      <c r="O10" s="31">
        <f>VLOOKUP($A10,C_Sales!$A$4:$P$35,O$1+1,0)</f>
        <v>3</v>
      </c>
      <c r="P10" s="31">
        <f>VLOOKUP($A10,'Stock Transfer'!$A$3:$AE$32,1+O$1,0)</f>
        <v>3</v>
      </c>
      <c r="Q10" s="31">
        <f t="shared" si="20"/>
        <v>12</v>
      </c>
      <c r="R10" s="31">
        <f t="shared" si="19"/>
        <v>12</v>
      </c>
      <c r="S10" s="31">
        <f>VLOOKUP($A10,C_Sales!$A$4:$P$35,S$1+1,0)</f>
        <v>3</v>
      </c>
      <c r="T10" s="31">
        <f>VLOOKUP($A10,'Stock Transfer'!$A$3:$AE$32,1+S$1,0)</f>
        <v>3</v>
      </c>
      <c r="U10" s="31">
        <f t="shared" si="22"/>
        <v>12</v>
      </c>
      <c r="V10" s="31">
        <f t="shared" si="19"/>
        <v>12</v>
      </c>
      <c r="W10" s="31">
        <f>VLOOKUP($A10,C_Sales!$A$4:$P$35,W$1+1,0)</f>
        <v>1</v>
      </c>
      <c r="X10" s="31">
        <f>VLOOKUP($A10,'Stock Transfer'!$A$3:$AE$32,1+W$1,0)</f>
        <v>3</v>
      </c>
      <c r="Y10" s="31">
        <f t="shared" si="24"/>
        <v>14</v>
      </c>
      <c r="Z10" s="31">
        <f t="shared" si="19"/>
        <v>14</v>
      </c>
      <c r="AA10" s="31">
        <f>VLOOKUP($A10,C_Sales!$A$4:$P$35,AA$1+1,0)</f>
        <v>1</v>
      </c>
      <c r="AB10" s="31">
        <f>VLOOKUP($A10,'Stock Transfer'!$A$3:$AE$32,1+AA$1,0)</f>
        <v>3</v>
      </c>
      <c r="AC10" s="31">
        <f t="shared" si="26"/>
        <v>16</v>
      </c>
      <c r="AD10" s="31">
        <f t="shared" si="19"/>
        <v>16</v>
      </c>
      <c r="AE10" s="31">
        <f>VLOOKUP($A10,C_Sales!$A$4:$P$35,AE$1+1,0)</f>
        <v>2</v>
      </c>
      <c r="AF10" s="31">
        <f>VLOOKUP($A10,'Stock Transfer'!$A$3:$AE$32,1+AE$1,0)</f>
        <v>3</v>
      </c>
      <c r="AG10" s="31">
        <f t="shared" si="28"/>
        <v>17</v>
      </c>
      <c r="AH10" s="31">
        <f t="shared" si="19"/>
        <v>17</v>
      </c>
      <c r="AI10" s="31">
        <f>VLOOKUP($A10,C_Sales!$A$4:$P$35,AI$1+1,0)</f>
        <v>3</v>
      </c>
      <c r="AJ10" s="31">
        <f>VLOOKUP($A10,'Stock Transfer'!$A$3:$AE$32,1+AI$1,0)</f>
        <v>3</v>
      </c>
      <c r="AK10" s="31">
        <f t="shared" si="30"/>
        <v>17</v>
      </c>
      <c r="AL10" s="31">
        <f t="shared" ref="AL10:BE10" si="78">MAX(AK10,0)</f>
        <v>17</v>
      </c>
      <c r="AM10" s="31">
        <f>VLOOKUP($A10,C_Sales!$A$4:$P$35,AM$1+1,0)</f>
        <v>2</v>
      </c>
      <c r="AN10" s="31">
        <f>VLOOKUP($A10,'Stock Transfer'!$A$3:$AE$32,1+AM$1,0)</f>
        <v>4</v>
      </c>
      <c r="AO10" s="31">
        <f t="shared" si="32"/>
        <v>19</v>
      </c>
      <c r="AP10" s="31">
        <f t="shared" ref="AP10:BE10" si="79">MAX(AO10,0)</f>
        <v>19</v>
      </c>
      <c r="AQ10" s="31">
        <f>VLOOKUP($A10,C_Sales!$A$4:$P$35,AQ$1+1,0)</f>
        <v>3</v>
      </c>
      <c r="AR10" s="31">
        <f>VLOOKUP($A10,'Stock Transfer'!$A$3:$AE$32,1+AQ$1,0)</f>
        <v>3</v>
      </c>
      <c r="AS10" s="31">
        <f t="shared" si="34"/>
        <v>19</v>
      </c>
      <c r="AT10" s="31">
        <f t="shared" ref="AT10:BE10" si="80">MAX(AS10,0)</f>
        <v>19</v>
      </c>
      <c r="AU10" s="31">
        <f>VLOOKUP($A10,C_Sales!$A$4:$P$35,AU$1+1,0)</f>
        <v>3</v>
      </c>
      <c r="AV10" s="31">
        <f>VLOOKUP($A10,'Stock Transfer'!$A$3:$AE$32,1+AU$1,0)</f>
        <v>4</v>
      </c>
      <c r="AW10" s="31">
        <f t="shared" si="36"/>
        <v>20</v>
      </c>
      <c r="AX10" s="31">
        <f t="shared" ref="AX10:BE10" si="81">MAX(AW10,0)</f>
        <v>20</v>
      </c>
      <c r="AY10" s="31">
        <f>VLOOKUP($A10,C_Sales!$A$4:$P$35,AY$1+1,0)</f>
        <v>3</v>
      </c>
      <c r="AZ10" s="31">
        <f>VLOOKUP($A10,'Stock Transfer'!$A$3:$AE$32,1+AY$1,0)</f>
        <v>4</v>
      </c>
      <c r="BA10" s="31">
        <f t="shared" si="38"/>
        <v>21</v>
      </c>
      <c r="BB10" s="31">
        <f t="shared" ref="BB10:BE10" si="82">MAX(BA10,0)</f>
        <v>21</v>
      </c>
      <c r="BC10" s="31">
        <f>VLOOKUP($A10,C_Sales!$A$4:$P$35,BC$1+1,0)</f>
        <v>3</v>
      </c>
      <c r="BD10" s="31">
        <f>VLOOKUP($A10,'Stock Transfer'!$A$3:$AE$32,1+BC$1,0)</f>
        <v>3</v>
      </c>
      <c r="BE10" s="31">
        <f t="shared" si="40"/>
        <v>21</v>
      </c>
      <c r="BF10" s="31">
        <f t="shared" ref="BF10:BI10" si="83">MAX(BE10,0)</f>
        <v>21</v>
      </c>
      <c r="BG10" s="31">
        <f>VLOOKUP($A10,C_Sales!$A$4:$P$35,BG$1+1,0)</f>
        <v>2</v>
      </c>
      <c r="BH10" s="31">
        <f>VLOOKUP($A10,'Stock Transfer'!$A$3:$AE$32,1+BG$1,0)</f>
        <v>4</v>
      </c>
      <c r="BI10" s="31">
        <f t="shared" si="42"/>
        <v>23</v>
      </c>
    </row>
    <row r="11" spans="1:66" x14ac:dyDescent="0.3">
      <c r="A11" s="17" t="s">
        <v>57</v>
      </c>
      <c r="B11" s="31">
        <f>VLOOKUP($A11,'Open STK'!$A$1:$E$31,4,0)</f>
        <v>2</v>
      </c>
      <c r="C11" s="31">
        <f>VLOOKUP($A11,C_Sales!$A$4:$P$35,C$1+1,0)</f>
        <v>2</v>
      </c>
      <c r="D11" s="31">
        <f>VLOOKUP($A11,'Stock Transfer'!$A$3:$AE$32,1+C$1,0)</f>
        <v>3</v>
      </c>
      <c r="E11" s="31">
        <f t="shared" si="43"/>
        <v>3</v>
      </c>
      <c r="F11" s="31">
        <f t="shared" si="44"/>
        <v>3</v>
      </c>
      <c r="G11" s="31">
        <f>VLOOKUP($A11,C_Sales!$A$4:$P$35,G$1+1,0)</f>
        <v>0</v>
      </c>
      <c r="H11" s="31">
        <f>VLOOKUP($A11,'Stock Transfer'!$A$3:$AE$32,1+G$1,0)</f>
        <v>2</v>
      </c>
      <c r="I11" s="31">
        <f t="shared" si="45"/>
        <v>5</v>
      </c>
      <c r="J11" s="31">
        <f t="shared" si="46"/>
        <v>5</v>
      </c>
      <c r="K11" s="31">
        <f>VLOOKUP($A11,C_Sales!$A$4:$P$35,K$1+1,0)</f>
        <v>2</v>
      </c>
      <c r="L11" s="31">
        <f>VLOOKUP($A11,'Stock Transfer'!$A$3:$AE$32,1+K$1,0)</f>
        <v>2</v>
      </c>
      <c r="M11" s="31">
        <f t="shared" si="47"/>
        <v>5</v>
      </c>
      <c r="N11" s="31">
        <f t="shared" si="19"/>
        <v>5</v>
      </c>
      <c r="O11" s="31">
        <f>VLOOKUP($A11,C_Sales!$A$4:$P$35,O$1+1,0)</f>
        <v>3</v>
      </c>
      <c r="P11" s="31">
        <f>VLOOKUP($A11,'Stock Transfer'!$A$3:$AE$32,1+O$1,0)</f>
        <v>2</v>
      </c>
      <c r="Q11" s="31">
        <f t="shared" si="20"/>
        <v>4</v>
      </c>
      <c r="R11" s="31">
        <f t="shared" si="19"/>
        <v>4</v>
      </c>
      <c r="S11" s="31">
        <f>VLOOKUP($A11,C_Sales!$A$4:$P$35,S$1+1,0)</f>
        <v>1</v>
      </c>
      <c r="T11" s="31">
        <f>VLOOKUP($A11,'Stock Transfer'!$A$3:$AE$32,1+S$1,0)</f>
        <v>3</v>
      </c>
      <c r="U11" s="31">
        <f t="shared" si="22"/>
        <v>6</v>
      </c>
      <c r="V11" s="31">
        <f t="shared" si="19"/>
        <v>6</v>
      </c>
      <c r="W11" s="31">
        <f>VLOOKUP($A11,C_Sales!$A$4:$P$35,W$1+1,0)</f>
        <v>0</v>
      </c>
      <c r="X11" s="31">
        <f>VLOOKUP($A11,'Stock Transfer'!$A$3:$AE$32,1+W$1,0)</f>
        <v>2</v>
      </c>
      <c r="Y11" s="31">
        <f t="shared" si="24"/>
        <v>8</v>
      </c>
      <c r="Z11" s="31">
        <f t="shared" si="19"/>
        <v>8</v>
      </c>
      <c r="AA11" s="31">
        <f>VLOOKUP($A11,C_Sales!$A$4:$P$35,AA$1+1,0)</f>
        <v>1</v>
      </c>
      <c r="AB11" s="31">
        <f>VLOOKUP($A11,'Stock Transfer'!$A$3:$AE$32,1+AA$1,0)</f>
        <v>3</v>
      </c>
      <c r="AC11" s="31">
        <f t="shared" si="26"/>
        <v>10</v>
      </c>
      <c r="AD11" s="31">
        <f t="shared" si="19"/>
        <v>10</v>
      </c>
      <c r="AE11" s="31">
        <f>VLOOKUP($A11,C_Sales!$A$4:$P$35,AE$1+1,0)</f>
        <v>1</v>
      </c>
      <c r="AF11" s="31">
        <f>VLOOKUP($A11,'Stock Transfer'!$A$3:$AE$32,1+AE$1,0)</f>
        <v>3</v>
      </c>
      <c r="AG11" s="31">
        <f t="shared" si="28"/>
        <v>12</v>
      </c>
      <c r="AH11" s="31">
        <f t="shared" si="19"/>
        <v>12</v>
      </c>
      <c r="AI11" s="31">
        <f>VLOOKUP($A11,C_Sales!$A$4:$P$35,AI$1+1,0)</f>
        <v>1</v>
      </c>
      <c r="AJ11" s="31">
        <f>VLOOKUP($A11,'Stock Transfer'!$A$3:$AE$32,1+AI$1,0)</f>
        <v>3</v>
      </c>
      <c r="AK11" s="31">
        <f t="shared" si="30"/>
        <v>14</v>
      </c>
      <c r="AL11" s="31">
        <f t="shared" ref="AL11:BE11" si="84">MAX(AK11,0)</f>
        <v>14</v>
      </c>
      <c r="AM11" s="31">
        <f>VLOOKUP($A11,C_Sales!$A$4:$P$35,AM$1+1,0)</f>
        <v>2</v>
      </c>
      <c r="AN11" s="31">
        <f>VLOOKUP($A11,'Stock Transfer'!$A$3:$AE$32,1+AM$1,0)</f>
        <v>3</v>
      </c>
      <c r="AO11" s="31">
        <f t="shared" si="32"/>
        <v>15</v>
      </c>
      <c r="AP11" s="31">
        <f t="shared" ref="AP11:BE11" si="85">MAX(AO11,0)</f>
        <v>15</v>
      </c>
      <c r="AQ11" s="31">
        <f>VLOOKUP($A11,C_Sales!$A$4:$P$35,AQ$1+1,0)</f>
        <v>1</v>
      </c>
      <c r="AR11" s="31">
        <f>VLOOKUP($A11,'Stock Transfer'!$A$3:$AE$32,1+AQ$1,0)</f>
        <v>3</v>
      </c>
      <c r="AS11" s="31">
        <f t="shared" si="34"/>
        <v>17</v>
      </c>
      <c r="AT11" s="31">
        <f t="shared" ref="AT11:BE11" si="86">MAX(AS11,0)</f>
        <v>17</v>
      </c>
      <c r="AU11" s="31">
        <f>VLOOKUP($A11,C_Sales!$A$4:$P$35,AU$1+1,0)</f>
        <v>2</v>
      </c>
      <c r="AV11" s="31">
        <f>VLOOKUP($A11,'Stock Transfer'!$A$3:$AE$32,1+AU$1,0)</f>
        <v>3</v>
      </c>
      <c r="AW11" s="31">
        <f t="shared" si="36"/>
        <v>18</v>
      </c>
      <c r="AX11" s="31">
        <f t="shared" ref="AX11:BE11" si="87">MAX(AW11,0)</f>
        <v>18</v>
      </c>
      <c r="AY11" s="31">
        <f>VLOOKUP($A11,C_Sales!$A$4:$P$35,AY$1+1,0)</f>
        <v>1</v>
      </c>
      <c r="AZ11" s="31">
        <f>VLOOKUP($A11,'Stock Transfer'!$A$3:$AE$32,1+AY$1,0)</f>
        <v>3</v>
      </c>
      <c r="BA11" s="31">
        <f t="shared" si="38"/>
        <v>20</v>
      </c>
      <c r="BB11" s="31">
        <f t="shared" ref="BB11:BE11" si="88">MAX(BA11,0)</f>
        <v>20</v>
      </c>
      <c r="BC11" s="31">
        <f>VLOOKUP($A11,C_Sales!$A$4:$P$35,BC$1+1,0)</f>
        <v>1</v>
      </c>
      <c r="BD11" s="31">
        <f>VLOOKUP($A11,'Stock Transfer'!$A$3:$AE$32,1+BC$1,0)</f>
        <v>3</v>
      </c>
      <c r="BE11" s="31">
        <f t="shared" si="40"/>
        <v>22</v>
      </c>
      <c r="BF11" s="31">
        <f t="shared" ref="BF11:BI11" si="89">MAX(BE11,0)</f>
        <v>22</v>
      </c>
      <c r="BG11" s="31">
        <f>VLOOKUP($A11,C_Sales!$A$4:$P$35,BG$1+1,0)</f>
        <v>2</v>
      </c>
      <c r="BH11" s="31">
        <f>VLOOKUP($A11,'Stock Transfer'!$A$3:$AE$32,1+BG$1,0)</f>
        <v>3</v>
      </c>
      <c r="BI11" s="31">
        <f t="shared" si="42"/>
        <v>23</v>
      </c>
    </row>
    <row r="12" spans="1:66" x14ac:dyDescent="0.3">
      <c r="A12" s="17" t="s">
        <v>60</v>
      </c>
      <c r="B12" s="31">
        <f>VLOOKUP($A12,'Open STK'!$A$1:$E$31,4,0)</f>
        <v>2</v>
      </c>
      <c r="C12" s="31">
        <f>VLOOKUP($A12,C_Sales!$A$4:$P$35,C$1+1,0)</f>
        <v>0</v>
      </c>
      <c r="D12" s="31">
        <f>VLOOKUP($A12,'Stock Transfer'!$A$3:$AE$32,1+C$1,0)</f>
        <v>2</v>
      </c>
      <c r="E12" s="31">
        <f t="shared" si="43"/>
        <v>4</v>
      </c>
      <c r="F12" s="31">
        <f t="shared" si="44"/>
        <v>4</v>
      </c>
      <c r="G12" s="31">
        <f>VLOOKUP($A12,C_Sales!$A$4:$P$35,G$1+1,0)</f>
        <v>1</v>
      </c>
      <c r="H12" s="31">
        <f>VLOOKUP($A12,'Stock Transfer'!$A$3:$AE$32,1+G$1,0)</f>
        <v>3</v>
      </c>
      <c r="I12" s="31">
        <f t="shared" si="45"/>
        <v>6</v>
      </c>
      <c r="J12" s="31">
        <f t="shared" si="46"/>
        <v>6</v>
      </c>
      <c r="K12" s="31">
        <f>VLOOKUP($A12,C_Sales!$A$4:$P$35,K$1+1,0)</f>
        <v>1</v>
      </c>
      <c r="L12" s="31">
        <f>VLOOKUP($A12,'Stock Transfer'!$A$3:$AE$32,1+K$1,0)</f>
        <v>3</v>
      </c>
      <c r="M12" s="31">
        <f t="shared" si="47"/>
        <v>8</v>
      </c>
      <c r="N12" s="31">
        <f t="shared" si="19"/>
        <v>8</v>
      </c>
      <c r="O12" s="31">
        <f>VLOOKUP($A12,C_Sales!$A$4:$P$35,O$1+1,0)</f>
        <v>2</v>
      </c>
      <c r="P12" s="31">
        <f>VLOOKUP($A12,'Stock Transfer'!$A$3:$AE$32,1+O$1,0)</f>
        <v>3</v>
      </c>
      <c r="Q12" s="31">
        <f t="shared" si="20"/>
        <v>9</v>
      </c>
      <c r="R12" s="31">
        <f t="shared" si="19"/>
        <v>9</v>
      </c>
      <c r="S12" s="31">
        <f>VLOOKUP($A12,C_Sales!$A$4:$P$35,S$1+1,0)</f>
        <v>1</v>
      </c>
      <c r="T12" s="31">
        <f>VLOOKUP($A12,'Stock Transfer'!$A$3:$AE$32,1+S$1,0)</f>
        <v>2</v>
      </c>
      <c r="U12" s="31">
        <f t="shared" si="22"/>
        <v>10</v>
      </c>
      <c r="V12" s="31">
        <f t="shared" si="19"/>
        <v>10</v>
      </c>
      <c r="W12" s="31">
        <f>VLOOKUP($A12,C_Sales!$A$4:$P$35,W$1+1,0)</f>
        <v>1</v>
      </c>
      <c r="X12" s="31">
        <f>VLOOKUP($A12,'Stock Transfer'!$A$3:$AE$32,1+W$1,0)</f>
        <v>2</v>
      </c>
      <c r="Y12" s="31">
        <f t="shared" si="24"/>
        <v>11</v>
      </c>
      <c r="Z12" s="31">
        <f t="shared" si="19"/>
        <v>11</v>
      </c>
      <c r="AA12" s="31">
        <f>VLOOKUP($A12,C_Sales!$A$4:$P$35,AA$1+1,0)</f>
        <v>3</v>
      </c>
      <c r="AB12" s="31">
        <f>VLOOKUP($A12,'Stock Transfer'!$A$3:$AE$32,1+AA$1,0)</f>
        <v>3</v>
      </c>
      <c r="AC12" s="31">
        <f t="shared" si="26"/>
        <v>11</v>
      </c>
      <c r="AD12" s="31">
        <f t="shared" si="19"/>
        <v>11</v>
      </c>
      <c r="AE12" s="31">
        <f>VLOOKUP($A12,C_Sales!$A$4:$P$35,AE$1+1,0)</f>
        <v>2</v>
      </c>
      <c r="AF12" s="31">
        <f>VLOOKUP($A12,'Stock Transfer'!$A$3:$AE$32,1+AE$1,0)</f>
        <v>3</v>
      </c>
      <c r="AG12" s="31">
        <f t="shared" si="28"/>
        <v>12</v>
      </c>
      <c r="AH12" s="31">
        <f t="shared" si="19"/>
        <v>12</v>
      </c>
      <c r="AI12" s="31">
        <f>VLOOKUP($A12,C_Sales!$A$4:$P$35,AI$1+1,0)</f>
        <v>1</v>
      </c>
      <c r="AJ12" s="31">
        <f>VLOOKUP($A12,'Stock Transfer'!$A$3:$AE$32,1+AI$1,0)</f>
        <v>2</v>
      </c>
      <c r="AK12" s="31">
        <f t="shared" si="30"/>
        <v>13</v>
      </c>
      <c r="AL12" s="31">
        <f t="shared" ref="AL12:BE12" si="90">MAX(AK12,0)</f>
        <v>13</v>
      </c>
      <c r="AM12" s="31">
        <f>VLOOKUP($A12,C_Sales!$A$4:$P$35,AM$1+1,0)</f>
        <v>1</v>
      </c>
      <c r="AN12" s="31">
        <f>VLOOKUP($A12,'Stock Transfer'!$A$3:$AE$32,1+AM$1,0)</f>
        <v>3</v>
      </c>
      <c r="AO12" s="31">
        <f t="shared" si="32"/>
        <v>15</v>
      </c>
      <c r="AP12" s="31">
        <f t="shared" ref="AP12:BE12" si="91">MAX(AO12,0)</f>
        <v>15</v>
      </c>
      <c r="AQ12" s="31">
        <f>VLOOKUP($A12,C_Sales!$A$4:$P$35,AQ$1+1,0)</f>
        <v>1</v>
      </c>
      <c r="AR12" s="31">
        <f>VLOOKUP($A12,'Stock Transfer'!$A$3:$AE$32,1+AQ$1,0)</f>
        <v>3</v>
      </c>
      <c r="AS12" s="31">
        <f t="shared" si="34"/>
        <v>17</v>
      </c>
      <c r="AT12" s="31">
        <f t="shared" ref="AT12:BE12" si="92">MAX(AS12,0)</f>
        <v>17</v>
      </c>
      <c r="AU12" s="31">
        <f>VLOOKUP($A12,C_Sales!$A$4:$P$35,AU$1+1,0)</f>
        <v>2</v>
      </c>
      <c r="AV12" s="31">
        <f>VLOOKUP($A12,'Stock Transfer'!$A$3:$AE$32,1+AU$1,0)</f>
        <v>3</v>
      </c>
      <c r="AW12" s="31">
        <f t="shared" si="36"/>
        <v>18</v>
      </c>
      <c r="AX12" s="31">
        <f t="shared" ref="AX12:BE12" si="93">MAX(AW12,0)</f>
        <v>18</v>
      </c>
      <c r="AY12" s="31">
        <f>VLOOKUP($A12,C_Sales!$A$4:$P$35,AY$1+1,0)</f>
        <v>2</v>
      </c>
      <c r="AZ12" s="31">
        <f>VLOOKUP($A12,'Stock Transfer'!$A$3:$AE$32,1+AY$1,0)</f>
        <v>3</v>
      </c>
      <c r="BA12" s="31">
        <f t="shared" si="38"/>
        <v>19</v>
      </c>
      <c r="BB12" s="31">
        <f t="shared" ref="BB12:BE12" si="94">MAX(BA12,0)</f>
        <v>19</v>
      </c>
      <c r="BC12" s="31">
        <f>VLOOKUP($A12,C_Sales!$A$4:$P$35,BC$1+1,0)</f>
        <v>2</v>
      </c>
      <c r="BD12" s="31">
        <f>VLOOKUP($A12,'Stock Transfer'!$A$3:$AE$32,1+BC$1,0)</f>
        <v>3</v>
      </c>
      <c r="BE12" s="31">
        <f t="shared" si="40"/>
        <v>20</v>
      </c>
      <c r="BF12" s="31">
        <f t="shared" ref="BF12:BI12" si="95">MAX(BE12,0)</f>
        <v>20</v>
      </c>
      <c r="BG12" s="31">
        <f>VLOOKUP($A12,C_Sales!$A$4:$P$35,BG$1+1,0)</f>
        <v>1</v>
      </c>
      <c r="BH12" s="31">
        <f>VLOOKUP($A12,'Stock Transfer'!$A$3:$AE$32,1+BG$1,0)</f>
        <v>3</v>
      </c>
      <c r="BI12" s="31">
        <f t="shared" si="42"/>
        <v>22</v>
      </c>
    </row>
    <row r="13" spans="1:66" x14ac:dyDescent="0.3">
      <c r="A13" s="17" t="s">
        <v>63</v>
      </c>
      <c r="B13" s="31">
        <f>VLOOKUP($A13,'Open STK'!$A$1:$E$31,4,0)</f>
        <v>2</v>
      </c>
      <c r="C13" s="31">
        <f>VLOOKUP($A13,C_Sales!$A$4:$P$35,C$1+1,0)</f>
        <v>3</v>
      </c>
      <c r="D13" s="31">
        <f>VLOOKUP($A13,'Stock Transfer'!$A$3:$AE$32,1+C$1,0)</f>
        <v>3</v>
      </c>
      <c r="E13" s="31">
        <f t="shared" si="43"/>
        <v>2</v>
      </c>
      <c r="F13" s="31">
        <f t="shared" si="44"/>
        <v>2</v>
      </c>
      <c r="G13" s="31">
        <f>VLOOKUP($A13,C_Sales!$A$4:$P$35,G$1+1,0)</f>
        <v>2</v>
      </c>
      <c r="H13" s="31">
        <f>VLOOKUP($A13,'Stock Transfer'!$A$3:$AE$32,1+G$1,0)</f>
        <v>3</v>
      </c>
      <c r="I13" s="31">
        <f t="shared" si="45"/>
        <v>3</v>
      </c>
      <c r="J13" s="31">
        <f t="shared" si="46"/>
        <v>3</v>
      </c>
      <c r="K13" s="31">
        <f>VLOOKUP($A13,C_Sales!$A$4:$P$35,K$1+1,0)</f>
        <v>3</v>
      </c>
      <c r="L13" s="31">
        <f>VLOOKUP($A13,'Stock Transfer'!$A$3:$AE$32,1+K$1,0)</f>
        <v>3</v>
      </c>
      <c r="M13" s="31">
        <f t="shared" si="47"/>
        <v>3</v>
      </c>
      <c r="N13" s="31">
        <f t="shared" si="19"/>
        <v>3</v>
      </c>
      <c r="O13" s="31">
        <f>VLOOKUP($A13,C_Sales!$A$4:$P$35,O$1+1,0)</f>
        <v>0</v>
      </c>
      <c r="P13" s="31">
        <f>VLOOKUP($A13,'Stock Transfer'!$A$3:$AE$32,1+O$1,0)</f>
        <v>3</v>
      </c>
      <c r="Q13" s="31">
        <f t="shared" si="20"/>
        <v>6</v>
      </c>
      <c r="R13" s="31">
        <f t="shared" si="19"/>
        <v>6</v>
      </c>
      <c r="S13" s="31">
        <f>VLOOKUP($A13,C_Sales!$A$4:$P$35,S$1+1,0)</f>
        <v>1</v>
      </c>
      <c r="T13" s="31">
        <f>VLOOKUP($A13,'Stock Transfer'!$A$3:$AE$32,1+S$1,0)</f>
        <v>3</v>
      </c>
      <c r="U13" s="31">
        <f t="shared" si="22"/>
        <v>8</v>
      </c>
      <c r="V13" s="31">
        <f t="shared" si="19"/>
        <v>8</v>
      </c>
      <c r="W13" s="31">
        <f>VLOOKUP($A13,C_Sales!$A$4:$P$35,W$1+1,0)</f>
        <v>2</v>
      </c>
      <c r="X13" s="31">
        <f>VLOOKUP($A13,'Stock Transfer'!$A$3:$AE$32,1+W$1,0)</f>
        <v>3</v>
      </c>
      <c r="Y13" s="31">
        <f t="shared" si="24"/>
        <v>9</v>
      </c>
      <c r="Z13" s="31">
        <f t="shared" si="19"/>
        <v>9</v>
      </c>
      <c r="AA13" s="31">
        <f>VLOOKUP($A13,C_Sales!$A$4:$P$35,AA$1+1,0)</f>
        <v>2</v>
      </c>
      <c r="AB13" s="31">
        <f>VLOOKUP($A13,'Stock Transfer'!$A$3:$AE$32,1+AA$1,0)</f>
        <v>3</v>
      </c>
      <c r="AC13" s="31">
        <f t="shared" si="26"/>
        <v>10</v>
      </c>
      <c r="AD13" s="31">
        <f t="shared" si="19"/>
        <v>10</v>
      </c>
      <c r="AE13" s="31">
        <f>VLOOKUP($A13,C_Sales!$A$4:$P$35,AE$1+1,0)</f>
        <v>2</v>
      </c>
      <c r="AF13" s="31">
        <f>VLOOKUP($A13,'Stock Transfer'!$A$3:$AE$32,1+AE$1,0)</f>
        <v>2</v>
      </c>
      <c r="AG13" s="31">
        <f t="shared" si="28"/>
        <v>10</v>
      </c>
      <c r="AH13" s="31">
        <f t="shared" si="19"/>
        <v>10</v>
      </c>
      <c r="AI13" s="31">
        <f>VLOOKUP($A13,C_Sales!$A$4:$P$35,AI$1+1,0)</f>
        <v>0</v>
      </c>
      <c r="AJ13" s="31">
        <f>VLOOKUP($A13,'Stock Transfer'!$A$3:$AE$32,1+AI$1,0)</f>
        <v>2</v>
      </c>
      <c r="AK13" s="31">
        <f t="shared" si="30"/>
        <v>12</v>
      </c>
      <c r="AL13" s="31">
        <f t="shared" ref="AL13:BE13" si="96">MAX(AK13,0)</f>
        <v>12</v>
      </c>
      <c r="AM13" s="31">
        <f>VLOOKUP($A13,C_Sales!$A$4:$P$35,AM$1+1,0)</f>
        <v>1</v>
      </c>
      <c r="AN13" s="31">
        <f>VLOOKUP($A13,'Stock Transfer'!$A$3:$AE$32,1+AM$1,0)</f>
        <v>2</v>
      </c>
      <c r="AO13" s="31">
        <f t="shared" si="32"/>
        <v>13</v>
      </c>
      <c r="AP13" s="31">
        <f t="shared" ref="AP13:BE13" si="97">MAX(AO13,0)</f>
        <v>13</v>
      </c>
      <c r="AQ13" s="31">
        <f>VLOOKUP($A13,C_Sales!$A$4:$P$35,AQ$1+1,0)</f>
        <v>2</v>
      </c>
      <c r="AR13" s="31">
        <f>VLOOKUP($A13,'Stock Transfer'!$A$3:$AE$32,1+AQ$1,0)</f>
        <v>3</v>
      </c>
      <c r="AS13" s="31">
        <f t="shared" si="34"/>
        <v>14</v>
      </c>
      <c r="AT13" s="31">
        <f t="shared" ref="AT13:BE13" si="98">MAX(AS13,0)</f>
        <v>14</v>
      </c>
      <c r="AU13" s="31">
        <f>VLOOKUP($A13,C_Sales!$A$4:$P$35,AU$1+1,0)</f>
        <v>3</v>
      </c>
      <c r="AV13" s="31">
        <f>VLOOKUP($A13,'Stock Transfer'!$A$3:$AE$32,1+AU$1,0)</f>
        <v>4</v>
      </c>
      <c r="AW13" s="31">
        <f t="shared" si="36"/>
        <v>15</v>
      </c>
      <c r="AX13" s="31">
        <f t="shared" ref="AX13:BE13" si="99">MAX(AW13,0)</f>
        <v>15</v>
      </c>
      <c r="AY13" s="31">
        <f>VLOOKUP($A13,C_Sales!$A$4:$P$35,AY$1+1,0)</f>
        <v>2</v>
      </c>
      <c r="AZ13" s="31">
        <f>VLOOKUP($A13,'Stock Transfer'!$A$3:$AE$32,1+AY$1,0)</f>
        <v>3</v>
      </c>
      <c r="BA13" s="31">
        <f t="shared" si="38"/>
        <v>16</v>
      </c>
      <c r="BB13" s="31">
        <f t="shared" ref="BB13:BE13" si="100">MAX(BA13,0)</f>
        <v>16</v>
      </c>
      <c r="BC13" s="31">
        <f>VLOOKUP($A13,C_Sales!$A$4:$P$35,BC$1+1,0)</f>
        <v>2</v>
      </c>
      <c r="BD13" s="31">
        <f>VLOOKUP($A13,'Stock Transfer'!$A$3:$AE$32,1+BC$1,0)</f>
        <v>4</v>
      </c>
      <c r="BE13" s="31">
        <f t="shared" si="40"/>
        <v>18</v>
      </c>
      <c r="BF13" s="31">
        <f t="shared" ref="BF13:BI13" si="101">MAX(BE13,0)</f>
        <v>18</v>
      </c>
      <c r="BG13" s="31">
        <f>VLOOKUP($A13,C_Sales!$A$4:$P$35,BG$1+1,0)</f>
        <v>3</v>
      </c>
      <c r="BH13" s="31">
        <f>VLOOKUP($A13,'Stock Transfer'!$A$3:$AE$32,1+BG$1,0)</f>
        <v>3</v>
      </c>
      <c r="BI13" s="31">
        <f t="shared" si="42"/>
        <v>18</v>
      </c>
    </row>
    <row r="14" spans="1:66" x14ac:dyDescent="0.3">
      <c r="A14" s="17" t="s">
        <v>67</v>
      </c>
      <c r="B14" s="31">
        <f>VLOOKUP($A14,'Open STK'!$A$1:$E$31,4,0)</f>
        <v>63</v>
      </c>
      <c r="C14" s="31">
        <f>VLOOKUP($A14,C_Sales!$A$4:$P$35,C$1+1,0)</f>
        <v>9</v>
      </c>
      <c r="D14" s="31">
        <f>VLOOKUP($A14,'Stock Transfer'!$A$3:$AE$32,1+C$1,0)</f>
        <v>10</v>
      </c>
      <c r="E14" s="31">
        <f t="shared" si="43"/>
        <v>64</v>
      </c>
      <c r="F14" s="31">
        <f t="shared" si="44"/>
        <v>64</v>
      </c>
      <c r="G14" s="31">
        <f>VLOOKUP($A14,C_Sales!$A$4:$P$35,G$1+1,0)</f>
        <v>12</v>
      </c>
      <c r="H14" s="31">
        <f>VLOOKUP($A14,'Stock Transfer'!$A$3:$AE$32,1+G$1,0)</f>
        <v>8</v>
      </c>
      <c r="I14" s="31">
        <f t="shared" si="45"/>
        <v>60</v>
      </c>
      <c r="J14" s="31">
        <f t="shared" si="46"/>
        <v>60</v>
      </c>
      <c r="K14" s="31">
        <f>VLOOKUP($A14,C_Sales!$A$4:$P$35,K$1+1,0)</f>
        <v>11</v>
      </c>
      <c r="L14" s="31">
        <f>VLOOKUP($A14,'Stock Transfer'!$A$3:$AE$32,1+K$1,0)</f>
        <v>12</v>
      </c>
      <c r="M14" s="31">
        <f t="shared" si="47"/>
        <v>61</v>
      </c>
      <c r="N14" s="31">
        <f t="shared" si="19"/>
        <v>61</v>
      </c>
      <c r="O14" s="31">
        <f>VLOOKUP($A14,C_Sales!$A$4:$P$35,O$1+1,0)</f>
        <v>9</v>
      </c>
      <c r="P14" s="31">
        <f>VLOOKUP($A14,'Stock Transfer'!$A$3:$AE$32,1+O$1,0)</f>
        <v>7</v>
      </c>
      <c r="Q14" s="31">
        <f t="shared" si="20"/>
        <v>59</v>
      </c>
      <c r="R14" s="31">
        <f t="shared" si="19"/>
        <v>59</v>
      </c>
      <c r="S14" s="31">
        <f>VLOOKUP($A14,C_Sales!$A$4:$P$35,S$1+1,0)</f>
        <v>13</v>
      </c>
      <c r="T14" s="31">
        <f>VLOOKUP($A14,'Stock Transfer'!$A$3:$AE$32,1+S$1,0)</f>
        <v>13</v>
      </c>
      <c r="U14" s="31">
        <f t="shared" si="22"/>
        <v>59</v>
      </c>
      <c r="V14" s="31">
        <f t="shared" si="19"/>
        <v>59</v>
      </c>
      <c r="W14" s="31">
        <f>VLOOKUP($A14,C_Sales!$A$4:$P$35,W$1+1,0)</f>
        <v>11</v>
      </c>
      <c r="X14" s="31">
        <f>VLOOKUP($A14,'Stock Transfer'!$A$3:$AE$32,1+W$1,0)</f>
        <v>7</v>
      </c>
      <c r="Y14" s="31">
        <f t="shared" si="24"/>
        <v>55</v>
      </c>
      <c r="Z14" s="31">
        <f t="shared" si="19"/>
        <v>55</v>
      </c>
      <c r="AA14" s="31">
        <f>VLOOKUP($A14,C_Sales!$A$4:$P$35,AA$1+1,0)</f>
        <v>11</v>
      </c>
      <c r="AB14" s="31">
        <f>VLOOKUP($A14,'Stock Transfer'!$A$3:$AE$32,1+AA$1,0)</f>
        <v>13</v>
      </c>
      <c r="AC14" s="31">
        <f t="shared" si="26"/>
        <v>57</v>
      </c>
      <c r="AD14" s="31">
        <f t="shared" si="19"/>
        <v>57</v>
      </c>
      <c r="AE14" s="31">
        <f>VLOOKUP($A14,C_Sales!$A$4:$P$35,AE$1+1,0)</f>
        <v>6</v>
      </c>
      <c r="AF14" s="31">
        <f>VLOOKUP($A14,'Stock Transfer'!$A$3:$AE$32,1+AE$1,0)</f>
        <v>11</v>
      </c>
      <c r="AG14" s="31">
        <f t="shared" si="28"/>
        <v>62</v>
      </c>
      <c r="AH14" s="31">
        <f t="shared" si="19"/>
        <v>62</v>
      </c>
      <c r="AI14" s="31">
        <f>VLOOKUP($A14,C_Sales!$A$4:$P$35,AI$1+1,0)</f>
        <v>15</v>
      </c>
      <c r="AJ14" s="31">
        <f>VLOOKUP($A14,'Stock Transfer'!$A$3:$AE$32,1+AI$1,0)</f>
        <v>11</v>
      </c>
      <c r="AK14" s="31">
        <f t="shared" si="30"/>
        <v>58</v>
      </c>
      <c r="AL14" s="31">
        <f t="shared" ref="AL14:BE14" si="102">MAX(AK14,0)</f>
        <v>58</v>
      </c>
      <c r="AM14" s="31">
        <f>VLOOKUP($A14,C_Sales!$A$4:$P$35,AM$1+1,0)</f>
        <v>4</v>
      </c>
      <c r="AN14" s="31">
        <f>VLOOKUP($A14,'Stock Transfer'!$A$3:$AE$32,1+AM$1,0)</f>
        <v>11</v>
      </c>
      <c r="AO14" s="31">
        <f t="shared" si="32"/>
        <v>65</v>
      </c>
      <c r="AP14" s="31">
        <f t="shared" ref="AP14:BE14" si="103">MAX(AO14,0)</f>
        <v>65</v>
      </c>
      <c r="AQ14" s="31">
        <f>VLOOKUP($A14,C_Sales!$A$4:$P$35,AQ$1+1,0)</f>
        <v>12</v>
      </c>
      <c r="AR14" s="31">
        <f>VLOOKUP($A14,'Stock Transfer'!$A$3:$AE$32,1+AQ$1,0)</f>
        <v>6</v>
      </c>
      <c r="AS14" s="31">
        <f t="shared" si="34"/>
        <v>59</v>
      </c>
      <c r="AT14" s="31">
        <f t="shared" ref="AT14:BE14" si="104">MAX(AS14,0)</f>
        <v>59</v>
      </c>
      <c r="AU14" s="31">
        <f>VLOOKUP($A14,C_Sales!$A$4:$P$35,AU$1+1,0)</f>
        <v>11</v>
      </c>
      <c r="AV14" s="31">
        <f>VLOOKUP($A14,'Stock Transfer'!$A$3:$AE$32,1+AU$1,0)</f>
        <v>11</v>
      </c>
      <c r="AW14" s="31">
        <f t="shared" si="36"/>
        <v>59</v>
      </c>
      <c r="AX14" s="31">
        <f t="shared" ref="AX14:BE14" si="105">MAX(AW14,0)</f>
        <v>59</v>
      </c>
      <c r="AY14" s="31">
        <f>VLOOKUP($A14,C_Sales!$A$4:$P$35,AY$1+1,0)</f>
        <v>3</v>
      </c>
      <c r="AZ14" s="31">
        <f>VLOOKUP($A14,'Stock Transfer'!$A$3:$AE$32,1+AY$1,0)</f>
        <v>11</v>
      </c>
      <c r="BA14" s="31">
        <f t="shared" si="38"/>
        <v>67</v>
      </c>
      <c r="BB14" s="31">
        <f t="shared" ref="BB14:BE14" si="106">MAX(BA14,0)</f>
        <v>67</v>
      </c>
      <c r="BC14" s="31">
        <f>VLOOKUP($A14,C_Sales!$A$4:$P$35,BC$1+1,0)</f>
        <v>14</v>
      </c>
      <c r="BD14" s="31">
        <f>VLOOKUP($A14,'Stock Transfer'!$A$3:$AE$32,1+BC$1,0)</f>
        <v>8</v>
      </c>
      <c r="BE14" s="31">
        <f t="shared" si="40"/>
        <v>61</v>
      </c>
      <c r="BF14" s="31">
        <f t="shared" ref="BF14:BI14" si="107">MAX(BE14,0)</f>
        <v>61</v>
      </c>
      <c r="BG14" s="31">
        <f>VLOOKUP($A14,C_Sales!$A$4:$P$35,BG$1+1,0)</f>
        <v>9</v>
      </c>
      <c r="BH14" s="31">
        <f>VLOOKUP($A14,'Stock Transfer'!$A$3:$AE$32,1+BG$1,0)</f>
        <v>7</v>
      </c>
      <c r="BI14" s="31">
        <f t="shared" si="42"/>
        <v>59</v>
      </c>
    </row>
    <row r="15" spans="1:66" x14ac:dyDescent="0.3">
      <c r="A15" s="17" t="s">
        <v>70</v>
      </c>
      <c r="B15" s="31">
        <f>VLOOKUP($A15,'Open STK'!$A$1:$E$31,4,0)</f>
        <v>49</v>
      </c>
      <c r="C15" s="31">
        <f>VLOOKUP($A15,C_Sales!$A$4:$P$35,C$1+1,0)</f>
        <v>7</v>
      </c>
      <c r="D15" s="31">
        <f>VLOOKUP($A15,'Stock Transfer'!$A$3:$AE$32,1+C$1,0)</f>
        <v>7</v>
      </c>
      <c r="E15" s="31">
        <f t="shared" si="43"/>
        <v>49</v>
      </c>
      <c r="F15" s="31">
        <f t="shared" si="44"/>
        <v>49</v>
      </c>
      <c r="G15" s="31">
        <f>VLOOKUP($A15,C_Sales!$A$4:$P$35,G$1+1,0)</f>
        <v>2</v>
      </c>
      <c r="H15" s="31">
        <f>VLOOKUP($A15,'Stock Transfer'!$A$3:$AE$32,1+G$1,0)</f>
        <v>5</v>
      </c>
      <c r="I15" s="31">
        <f t="shared" si="45"/>
        <v>52</v>
      </c>
      <c r="J15" s="31">
        <f t="shared" si="46"/>
        <v>52</v>
      </c>
      <c r="K15" s="31">
        <f>VLOOKUP($A15,C_Sales!$A$4:$P$35,K$1+1,0)</f>
        <v>8</v>
      </c>
      <c r="L15" s="31">
        <f>VLOOKUP($A15,'Stock Transfer'!$A$3:$AE$32,1+K$1,0)</f>
        <v>6</v>
      </c>
      <c r="M15" s="31">
        <f t="shared" si="47"/>
        <v>50</v>
      </c>
      <c r="N15" s="31">
        <f t="shared" si="19"/>
        <v>50</v>
      </c>
      <c r="O15" s="31">
        <f>VLOOKUP($A15,C_Sales!$A$4:$P$35,O$1+1,0)</f>
        <v>9</v>
      </c>
      <c r="P15" s="31">
        <f>VLOOKUP($A15,'Stock Transfer'!$A$3:$AE$32,1+O$1,0)</f>
        <v>5</v>
      </c>
      <c r="Q15" s="31">
        <f t="shared" si="20"/>
        <v>46</v>
      </c>
      <c r="R15" s="31">
        <f t="shared" si="19"/>
        <v>46</v>
      </c>
      <c r="S15" s="31">
        <f>VLOOKUP($A15,C_Sales!$A$4:$P$35,S$1+1,0)</f>
        <v>2</v>
      </c>
      <c r="T15" s="31">
        <f>VLOOKUP($A15,'Stock Transfer'!$A$3:$AE$32,1+S$1,0)</f>
        <v>6</v>
      </c>
      <c r="U15" s="31">
        <f t="shared" si="22"/>
        <v>50</v>
      </c>
      <c r="V15" s="31">
        <f t="shared" si="19"/>
        <v>50</v>
      </c>
      <c r="W15" s="31">
        <f>VLOOKUP($A15,C_Sales!$A$4:$P$35,W$1+1,0)</f>
        <v>5</v>
      </c>
      <c r="X15" s="31">
        <f>VLOOKUP($A15,'Stock Transfer'!$A$3:$AE$32,1+W$1,0)</f>
        <v>6</v>
      </c>
      <c r="Y15" s="31">
        <f t="shared" si="24"/>
        <v>51</v>
      </c>
      <c r="Z15" s="31">
        <f t="shared" si="19"/>
        <v>51</v>
      </c>
      <c r="AA15" s="31">
        <f>VLOOKUP($A15,C_Sales!$A$4:$P$35,AA$1+1,0)</f>
        <v>11</v>
      </c>
      <c r="AB15" s="31">
        <f>VLOOKUP($A15,'Stock Transfer'!$A$3:$AE$32,1+AA$1,0)</f>
        <v>7</v>
      </c>
      <c r="AC15" s="31">
        <f t="shared" si="26"/>
        <v>47</v>
      </c>
      <c r="AD15" s="31">
        <f t="shared" si="19"/>
        <v>47</v>
      </c>
      <c r="AE15" s="31">
        <f>VLOOKUP($A15,C_Sales!$A$4:$P$35,AE$1+1,0)</f>
        <v>8</v>
      </c>
      <c r="AF15" s="31">
        <f>VLOOKUP($A15,'Stock Transfer'!$A$3:$AE$32,1+AE$1,0)</f>
        <v>5</v>
      </c>
      <c r="AG15" s="31">
        <f t="shared" si="28"/>
        <v>44</v>
      </c>
      <c r="AH15" s="31">
        <f t="shared" si="19"/>
        <v>44</v>
      </c>
      <c r="AI15" s="31">
        <f>VLOOKUP($A15,C_Sales!$A$4:$P$35,AI$1+1,0)</f>
        <v>5</v>
      </c>
      <c r="AJ15" s="31">
        <f>VLOOKUP($A15,'Stock Transfer'!$A$3:$AE$32,1+AI$1,0)</f>
        <v>6</v>
      </c>
      <c r="AK15" s="31">
        <f t="shared" si="30"/>
        <v>45</v>
      </c>
      <c r="AL15" s="31">
        <f t="shared" ref="AL15:BE15" si="108">MAX(AK15,0)</f>
        <v>45</v>
      </c>
      <c r="AM15" s="31">
        <f>VLOOKUP($A15,C_Sales!$A$4:$P$35,AM$1+1,0)</f>
        <v>3</v>
      </c>
      <c r="AN15" s="31">
        <f>VLOOKUP($A15,'Stock Transfer'!$A$3:$AE$32,1+AM$1,0)</f>
        <v>5</v>
      </c>
      <c r="AO15" s="31">
        <f t="shared" si="32"/>
        <v>47</v>
      </c>
      <c r="AP15" s="31">
        <f t="shared" ref="AP15:BE15" si="109">MAX(AO15,0)</f>
        <v>47</v>
      </c>
      <c r="AQ15" s="31">
        <f>VLOOKUP($A15,C_Sales!$A$4:$P$35,AQ$1+1,0)</f>
        <v>8</v>
      </c>
      <c r="AR15" s="31">
        <f>VLOOKUP($A15,'Stock Transfer'!$A$3:$AE$32,1+AQ$1,0)</f>
        <v>6</v>
      </c>
      <c r="AS15" s="31">
        <f t="shared" si="34"/>
        <v>45</v>
      </c>
      <c r="AT15" s="31">
        <f t="shared" ref="AT15:BE15" si="110">MAX(AS15,0)</f>
        <v>45</v>
      </c>
      <c r="AU15" s="31">
        <f>VLOOKUP($A15,C_Sales!$A$4:$P$35,AU$1+1,0)</f>
        <v>7</v>
      </c>
      <c r="AV15" s="31">
        <f>VLOOKUP($A15,'Stock Transfer'!$A$3:$AE$32,1+AU$1,0)</f>
        <v>4</v>
      </c>
      <c r="AW15" s="31">
        <f t="shared" si="36"/>
        <v>42</v>
      </c>
      <c r="AX15" s="31">
        <f t="shared" ref="AX15:BE15" si="111">MAX(AW15,0)</f>
        <v>42</v>
      </c>
      <c r="AY15" s="31">
        <f>VLOOKUP($A15,C_Sales!$A$4:$P$35,AY$1+1,0)</f>
        <v>5</v>
      </c>
      <c r="AZ15" s="31">
        <f>VLOOKUP($A15,'Stock Transfer'!$A$3:$AE$32,1+AY$1,0)</f>
        <v>7</v>
      </c>
      <c r="BA15" s="31">
        <f t="shared" si="38"/>
        <v>44</v>
      </c>
      <c r="BB15" s="31">
        <f t="shared" ref="BB15:BE15" si="112">MAX(BA15,0)</f>
        <v>44</v>
      </c>
      <c r="BC15" s="31">
        <f>VLOOKUP($A15,C_Sales!$A$4:$P$35,BC$1+1,0)</f>
        <v>6</v>
      </c>
      <c r="BD15" s="31">
        <f>VLOOKUP($A15,'Stock Transfer'!$A$3:$AE$32,1+BC$1,0)</f>
        <v>5</v>
      </c>
      <c r="BE15" s="31">
        <f t="shared" si="40"/>
        <v>43</v>
      </c>
      <c r="BF15" s="31">
        <f t="shared" ref="BF15:BI15" si="113">MAX(BE15,0)</f>
        <v>43</v>
      </c>
      <c r="BG15" s="31">
        <f>VLOOKUP($A15,C_Sales!$A$4:$P$35,BG$1+1,0)</f>
        <v>2</v>
      </c>
      <c r="BH15" s="31">
        <f>VLOOKUP($A15,'Stock Transfer'!$A$3:$AE$32,1+BG$1,0)</f>
        <v>4</v>
      </c>
      <c r="BI15" s="31">
        <f t="shared" si="42"/>
        <v>45</v>
      </c>
    </row>
    <row r="16" spans="1:66" x14ac:dyDescent="0.3">
      <c r="A16" s="17" t="s">
        <v>73</v>
      </c>
      <c r="B16" s="31">
        <f>VLOOKUP($A16,'Open STK'!$A$1:$E$31,4,0)</f>
        <v>23</v>
      </c>
      <c r="C16" s="31">
        <f>VLOOKUP($A16,C_Sales!$A$4:$P$35,C$1+1,0)</f>
        <v>6</v>
      </c>
      <c r="D16" s="31">
        <f>VLOOKUP($A16,'Stock Transfer'!$A$3:$AE$32,1+C$1,0)</f>
        <v>4</v>
      </c>
      <c r="E16" s="31">
        <f t="shared" si="43"/>
        <v>21</v>
      </c>
      <c r="F16" s="31">
        <f t="shared" si="44"/>
        <v>21</v>
      </c>
      <c r="G16" s="31">
        <f>VLOOKUP($A16,C_Sales!$A$4:$P$35,G$1+1,0)</f>
        <v>3</v>
      </c>
      <c r="H16" s="31">
        <f>VLOOKUP($A16,'Stock Transfer'!$A$3:$AE$32,1+G$1,0)</f>
        <v>4</v>
      </c>
      <c r="I16" s="31">
        <f t="shared" si="45"/>
        <v>22</v>
      </c>
      <c r="J16" s="31">
        <f t="shared" si="46"/>
        <v>22</v>
      </c>
      <c r="K16" s="31">
        <f>VLOOKUP($A16,C_Sales!$A$4:$P$35,K$1+1,0)</f>
        <v>4</v>
      </c>
      <c r="L16" s="31">
        <f>VLOOKUP($A16,'Stock Transfer'!$A$3:$AE$32,1+K$1,0)</f>
        <v>5</v>
      </c>
      <c r="M16" s="31">
        <f t="shared" si="47"/>
        <v>23</v>
      </c>
      <c r="N16" s="31">
        <f t="shared" si="19"/>
        <v>23</v>
      </c>
      <c r="O16" s="31">
        <f>VLOOKUP($A16,C_Sales!$A$4:$P$35,O$1+1,0)</f>
        <v>2</v>
      </c>
      <c r="P16" s="31">
        <f>VLOOKUP($A16,'Stock Transfer'!$A$3:$AE$32,1+O$1,0)</f>
        <v>4</v>
      </c>
      <c r="Q16" s="31">
        <f t="shared" si="20"/>
        <v>25</v>
      </c>
      <c r="R16" s="31">
        <f t="shared" si="19"/>
        <v>25</v>
      </c>
      <c r="S16" s="31">
        <f>VLOOKUP($A16,C_Sales!$A$4:$P$35,S$1+1,0)</f>
        <v>1</v>
      </c>
      <c r="T16" s="31">
        <f>VLOOKUP($A16,'Stock Transfer'!$A$3:$AE$32,1+S$1,0)</f>
        <v>4</v>
      </c>
      <c r="U16" s="31">
        <f t="shared" si="22"/>
        <v>28</v>
      </c>
      <c r="V16" s="31">
        <f t="shared" si="19"/>
        <v>28</v>
      </c>
      <c r="W16" s="31">
        <f>VLOOKUP($A16,C_Sales!$A$4:$P$35,W$1+1,0)</f>
        <v>5</v>
      </c>
      <c r="X16" s="31">
        <f>VLOOKUP($A16,'Stock Transfer'!$A$3:$AE$32,1+W$1,0)</f>
        <v>5</v>
      </c>
      <c r="Y16" s="31">
        <f t="shared" si="24"/>
        <v>28</v>
      </c>
      <c r="Z16" s="31">
        <f t="shared" si="19"/>
        <v>28</v>
      </c>
      <c r="AA16" s="31">
        <f>VLOOKUP($A16,C_Sales!$A$4:$P$35,AA$1+1,0)</f>
        <v>6</v>
      </c>
      <c r="AB16" s="31">
        <f>VLOOKUP($A16,'Stock Transfer'!$A$3:$AE$32,1+AA$1,0)</f>
        <v>5</v>
      </c>
      <c r="AC16" s="31">
        <f t="shared" si="26"/>
        <v>27</v>
      </c>
      <c r="AD16" s="31">
        <f t="shared" si="19"/>
        <v>27</v>
      </c>
      <c r="AE16" s="31">
        <f>VLOOKUP($A16,C_Sales!$A$4:$P$35,AE$1+1,0)</f>
        <v>6</v>
      </c>
      <c r="AF16" s="31">
        <f>VLOOKUP($A16,'Stock Transfer'!$A$3:$AE$32,1+AE$1,0)</f>
        <v>4</v>
      </c>
      <c r="AG16" s="31">
        <f t="shared" si="28"/>
        <v>25</v>
      </c>
      <c r="AH16" s="31">
        <f t="shared" si="19"/>
        <v>25</v>
      </c>
      <c r="AI16" s="31">
        <f>VLOOKUP($A16,C_Sales!$A$4:$P$35,AI$1+1,0)</f>
        <v>4</v>
      </c>
      <c r="AJ16" s="31">
        <f>VLOOKUP($A16,'Stock Transfer'!$A$3:$AE$32,1+AI$1,0)</f>
        <v>6</v>
      </c>
      <c r="AK16" s="31">
        <f t="shared" si="30"/>
        <v>27</v>
      </c>
      <c r="AL16" s="31">
        <f t="shared" ref="AL16:BE16" si="114">MAX(AK16,0)</f>
        <v>27</v>
      </c>
      <c r="AM16" s="31">
        <f>VLOOKUP($A16,C_Sales!$A$4:$P$35,AM$1+1,0)</f>
        <v>4</v>
      </c>
      <c r="AN16" s="31">
        <f>VLOOKUP($A16,'Stock Transfer'!$A$3:$AE$32,1+AM$1,0)</f>
        <v>5</v>
      </c>
      <c r="AO16" s="31">
        <f t="shared" si="32"/>
        <v>28</v>
      </c>
      <c r="AP16" s="31">
        <f t="shared" ref="AP16:BE16" si="115">MAX(AO16,0)</f>
        <v>28</v>
      </c>
      <c r="AQ16" s="31">
        <f>VLOOKUP($A16,C_Sales!$A$4:$P$35,AQ$1+1,0)</f>
        <v>4</v>
      </c>
      <c r="AR16" s="31">
        <f>VLOOKUP($A16,'Stock Transfer'!$A$3:$AE$32,1+AQ$1,0)</f>
        <v>5</v>
      </c>
      <c r="AS16" s="31">
        <f t="shared" si="34"/>
        <v>29</v>
      </c>
      <c r="AT16" s="31">
        <f t="shared" ref="AT16:BE16" si="116">MAX(AS16,0)</f>
        <v>29</v>
      </c>
      <c r="AU16" s="31">
        <f>VLOOKUP($A16,C_Sales!$A$4:$P$35,AU$1+1,0)</f>
        <v>1</v>
      </c>
      <c r="AV16" s="31">
        <f>VLOOKUP($A16,'Stock Transfer'!$A$3:$AE$32,1+AU$1,0)</f>
        <v>4</v>
      </c>
      <c r="AW16" s="31">
        <f t="shared" si="36"/>
        <v>32</v>
      </c>
      <c r="AX16" s="31">
        <f t="shared" ref="AX16:BE16" si="117">MAX(AW16,0)</f>
        <v>32</v>
      </c>
      <c r="AY16" s="31">
        <f>VLOOKUP($A16,C_Sales!$A$4:$P$35,AY$1+1,0)</f>
        <v>5</v>
      </c>
      <c r="AZ16" s="31">
        <f>VLOOKUP($A16,'Stock Transfer'!$A$3:$AE$32,1+AY$1,0)</f>
        <v>4</v>
      </c>
      <c r="BA16" s="31">
        <f t="shared" si="38"/>
        <v>31</v>
      </c>
      <c r="BB16" s="31">
        <f t="shared" ref="BB16:BE16" si="118">MAX(BA16,0)</f>
        <v>31</v>
      </c>
      <c r="BC16" s="31">
        <f>VLOOKUP($A16,C_Sales!$A$4:$P$35,BC$1+1,0)</f>
        <v>5</v>
      </c>
      <c r="BD16" s="31">
        <f>VLOOKUP($A16,'Stock Transfer'!$A$3:$AE$32,1+BC$1,0)</f>
        <v>4</v>
      </c>
      <c r="BE16" s="31">
        <f t="shared" si="40"/>
        <v>30</v>
      </c>
      <c r="BF16" s="31">
        <f t="shared" ref="BF16:BI16" si="119">MAX(BE16,0)</f>
        <v>30</v>
      </c>
      <c r="BG16" s="31">
        <f>VLOOKUP($A16,C_Sales!$A$4:$P$35,BG$1+1,0)</f>
        <v>6</v>
      </c>
      <c r="BH16" s="31">
        <f>VLOOKUP($A16,'Stock Transfer'!$A$3:$AE$32,1+BG$1,0)</f>
        <v>5</v>
      </c>
      <c r="BI16" s="31">
        <f t="shared" si="42"/>
        <v>29</v>
      </c>
    </row>
    <row r="17" spans="1:61" x14ac:dyDescent="0.3">
      <c r="A17" s="17" t="s">
        <v>76</v>
      </c>
      <c r="B17" s="31">
        <f>VLOOKUP($A17,'Open STK'!$A$1:$E$31,4,0)</f>
        <v>23</v>
      </c>
      <c r="C17" s="31">
        <f>VLOOKUP($A17,C_Sales!$A$4:$P$35,C$1+1,0)</f>
        <v>4</v>
      </c>
      <c r="D17" s="31">
        <f>VLOOKUP($A17,'Stock Transfer'!$A$3:$AE$32,1+C$1,0)</f>
        <v>5</v>
      </c>
      <c r="E17" s="31">
        <f t="shared" si="43"/>
        <v>24</v>
      </c>
      <c r="F17" s="31">
        <f t="shared" si="44"/>
        <v>24</v>
      </c>
      <c r="G17" s="31">
        <f>VLOOKUP($A17,C_Sales!$A$4:$P$35,G$1+1,0)</f>
        <v>5</v>
      </c>
      <c r="H17" s="31">
        <f>VLOOKUP($A17,'Stock Transfer'!$A$3:$AE$32,1+G$1,0)</f>
        <v>5</v>
      </c>
      <c r="I17" s="31">
        <f t="shared" si="45"/>
        <v>24</v>
      </c>
      <c r="J17" s="31">
        <f t="shared" si="46"/>
        <v>24</v>
      </c>
      <c r="K17" s="31">
        <f>VLOOKUP($A17,C_Sales!$A$4:$P$35,K$1+1,0)</f>
        <v>4</v>
      </c>
      <c r="L17" s="31">
        <f>VLOOKUP($A17,'Stock Transfer'!$A$3:$AE$32,1+K$1,0)</f>
        <v>5</v>
      </c>
      <c r="M17" s="31">
        <f t="shared" si="47"/>
        <v>25</v>
      </c>
      <c r="N17" s="31">
        <f t="shared" si="19"/>
        <v>25</v>
      </c>
      <c r="O17" s="31">
        <f>VLOOKUP($A17,C_Sales!$A$4:$P$35,O$1+1,0)</f>
        <v>2</v>
      </c>
      <c r="P17" s="31">
        <f>VLOOKUP($A17,'Stock Transfer'!$A$3:$AE$32,1+O$1,0)</f>
        <v>5</v>
      </c>
      <c r="Q17" s="31">
        <f t="shared" si="20"/>
        <v>28</v>
      </c>
      <c r="R17" s="31">
        <f t="shared" si="19"/>
        <v>28</v>
      </c>
      <c r="S17" s="31">
        <f>VLOOKUP($A17,C_Sales!$A$4:$P$35,S$1+1,0)</f>
        <v>4</v>
      </c>
      <c r="T17" s="31">
        <f>VLOOKUP($A17,'Stock Transfer'!$A$3:$AE$32,1+S$1,0)</f>
        <v>5</v>
      </c>
      <c r="U17" s="31">
        <f t="shared" si="22"/>
        <v>29</v>
      </c>
      <c r="V17" s="31">
        <f t="shared" si="19"/>
        <v>29</v>
      </c>
      <c r="W17" s="31">
        <f>VLOOKUP($A17,C_Sales!$A$4:$P$35,W$1+1,0)</f>
        <v>5</v>
      </c>
      <c r="X17" s="31">
        <f>VLOOKUP($A17,'Stock Transfer'!$A$3:$AE$32,1+W$1,0)</f>
        <v>4</v>
      </c>
      <c r="Y17" s="31">
        <f t="shared" si="24"/>
        <v>28</v>
      </c>
      <c r="Z17" s="31">
        <f t="shared" si="19"/>
        <v>28</v>
      </c>
      <c r="AA17" s="31">
        <f>VLOOKUP($A17,C_Sales!$A$4:$P$35,AA$1+1,0)</f>
        <v>2</v>
      </c>
      <c r="AB17" s="31">
        <f>VLOOKUP($A17,'Stock Transfer'!$A$3:$AE$32,1+AA$1,0)</f>
        <v>3</v>
      </c>
      <c r="AC17" s="31">
        <f t="shared" si="26"/>
        <v>29</v>
      </c>
      <c r="AD17" s="31">
        <f t="shared" si="19"/>
        <v>29</v>
      </c>
      <c r="AE17" s="31">
        <f>VLOOKUP($A17,C_Sales!$A$4:$P$35,AE$1+1,0)</f>
        <v>2</v>
      </c>
      <c r="AF17" s="31">
        <f>VLOOKUP($A17,'Stock Transfer'!$A$3:$AE$32,1+AE$1,0)</f>
        <v>4</v>
      </c>
      <c r="AG17" s="31">
        <f t="shared" si="28"/>
        <v>31</v>
      </c>
      <c r="AH17" s="31">
        <f t="shared" si="19"/>
        <v>31</v>
      </c>
      <c r="AI17" s="31">
        <f>VLOOKUP($A17,C_Sales!$A$4:$P$35,AI$1+1,0)</f>
        <v>1</v>
      </c>
      <c r="AJ17" s="31">
        <f>VLOOKUP($A17,'Stock Transfer'!$A$3:$AE$32,1+AI$1,0)</f>
        <v>4</v>
      </c>
      <c r="AK17" s="31">
        <f t="shared" si="30"/>
        <v>34</v>
      </c>
      <c r="AL17" s="31">
        <f t="shared" ref="AL17:BE17" si="120">MAX(AK17,0)</f>
        <v>34</v>
      </c>
      <c r="AM17" s="31">
        <f>VLOOKUP($A17,C_Sales!$A$4:$P$35,AM$1+1,0)</f>
        <v>3</v>
      </c>
      <c r="AN17" s="31">
        <f>VLOOKUP($A17,'Stock Transfer'!$A$3:$AE$32,1+AM$1,0)</f>
        <v>3</v>
      </c>
      <c r="AO17" s="31">
        <f t="shared" si="32"/>
        <v>34</v>
      </c>
      <c r="AP17" s="31">
        <f t="shared" ref="AP17:BE17" si="121">MAX(AO17,0)</f>
        <v>34</v>
      </c>
      <c r="AQ17" s="31">
        <f>VLOOKUP($A17,C_Sales!$A$4:$P$35,AQ$1+1,0)</f>
        <v>3</v>
      </c>
      <c r="AR17" s="31">
        <f>VLOOKUP($A17,'Stock Transfer'!$A$3:$AE$32,1+AQ$1,0)</f>
        <v>4</v>
      </c>
      <c r="AS17" s="31">
        <f t="shared" si="34"/>
        <v>35</v>
      </c>
      <c r="AT17" s="31">
        <f t="shared" ref="AT17:BE17" si="122">MAX(AS17,0)</f>
        <v>35</v>
      </c>
      <c r="AU17" s="31">
        <f>VLOOKUP($A17,C_Sales!$A$4:$P$35,AU$1+1,0)</f>
        <v>3</v>
      </c>
      <c r="AV17" s="31">
        <f>VLOOKUP($A17,'Stock Transfer'!$A$3:$AE$32,1+AU$1,0)</f>
        <v>3</v>
      </c>
      <c r="AW17" s="31">
        <f t="shared" si="36"/>
        <v>35</v>
      </c>
      <c r="AX17" s="31">
        <f t="shared" ref="AX17:BE17" si="123">MAX(AW17,0)</f>
        <v>35</v>
      </c>
      <c r="AY17" s="31">
        <f>VLOOKUP($A17,C_Sales!$A$4:$P$35,AY$1+1,0)</f>
        <v>2</v>
      </c>
      <c r="AZ17" s="31">
        <f>VLOOKUP($A17,'Stock Transfer'!$A$3:$AE$32,1+AY$1,0)</f>
        <v>4</v>
      </c>
      <c r="BA17" s="31">
        <f t="shared" si="38"/>
        <v>37</v>
      </c>
      <c r="BB17" s="31">
        <f t="shared" ref="BB17:BE17" si="124">MAX(BA17,0)</f>
        <v>37</v>
      </c>
      <c r="BC17" s="31">
        <f>VLOOKUP($A17,C_Sales!$A$4:$P$35,BC$1+1,0)</f>
        <v>4</v>
      </c>
      <c r="BD17" s="31">
        <f>VLOOKUP($A17,'Stock Transfer'!$A$3:$AE$32,1+BC$1,0)</f>
        <v>3</v>
      </c>
      <c r="BE17" s="31">
        <f t="shared" si="40"/>
        <v>36</v>
      </c>
      <c r="BF17" s="31">
        <f t="shared" ref="BF17:BI17" si="125">MAX(BE17,0)</f>
        <v>36</v>
      </c>
      <c r="BG17" s="31">
        <f>VLOOKUP($A17,C_Sales!$A$4:$P$35,BG$1+1,0)</f>
        <v>2</v>
      </c>
      <c r="BH17" s="31">
        <f>VLOOKUP($A17,'Stock Transfer'!$A$3:$AE$32,1+BG$1,0)</f>
        <v>4</v>
      </c>
      <c r="BI17" s="31">
        <f t="shared" si="42"/>
        <v>38</v>
      </c>
    </row>
    <row r="18" spans="1:61" x14ac:dyDescent="0.3">
      <c r="A18" s="17" t="s">
        <v>78</v>
      </c>
      <c r="B18" s="31">
        <f>VLOOKUP($A18,'Open STK'!$A$1:$E$31,4,0)</f>
        <v>13</v>
      </c>
      <c r="C18" s="31">
        <f>VLOOKUP($A18,C_Sales!$A$4:$P$35,C$1+1,0)</f>
        <v>4</v>
      </c>
      <c r="D18" s="31">
        <f>VLOOKUP($A18,'Stock Transfer'!$A$3:$AE$32,1+C$1,0)</f>
        <v>4</v>
      </c>
      <c r="E18" s="31">
        <f t="shared" si="43"/>
        <v>13</v>
      </c>
      <c r="F18" s="31">
        <f t="shared" si="44"/>
        <v>13</v>
      </c>
      <c r="G18" s="31">
        <f>VLOOKUP($A18,C_Sales!$A$4:$P$35,G$1+1,0)</f>
        <v>6</v>
      </c>
      <c r="H18" s="31">
        <f>VLOOKUP($A18,'Stock Transfer'!$A$3:$AE$32,1+G$1,0)</f>
        <v>5</v>
      </c>
      <c r="I18" s="31">
        <f t="shared" si="45"/>
        <v>12</v>
      </c>
      <c r="J18" s="31">
        <f t="shared" si="46"/>
        <v>12</v>
      </c>
      <c r="K18" s="31">
        <f>VLOOKUP($A18,C_Sales!$A$4:$P$35,K$1+1,0)</f>
        <v>2</v>
      </c>
      <c r="L18" s="31">
        <f>VLOOKUP($A18,'Stock Transfer'!$A$3:$AE$32,1+K$1,0)</f>
        <v>5</v>
      </c>
      <c r="M18" s="31">
        <f t="shared" si="47"/>
        <v>15</v>
      </c>
      <c r="N18" s="31">
        <f t="shared" si="19"/>
        <v>15</v>
      </c>
      <c r="O18" s="31">
        <f>VLOOKUP($A18,C_Sales!$A$4:$P$35,O$1+1,0)</f>
        <v>6</v>
      </c>
      <c r="P18" s="31">
        <f>VLOOKUP($A18,'Stock Transfer'!$A$3:$AE$32,1+O$1,0)</f>
        <v>5</v>
      </c>
      <c r="Q18" s="31">
        <f t="shared" si="20"/>
        <v>14</v>
      </c>
      <c r="R18" s="31">
        <f t="shared" si="19"/>
        <v>14</v>
      </c>
      <c r="S18" s="31">
        <f>VLOOKUP($A18,C_Sales!$A$4:$P$35,S$1+1,0)</f>
        <v>3</v>
      </c>
      <c r="T18" s="31">
        <f>VLOOKUP($A18,'Stock Transfer'!$A$3:$AE$32,1+S$1,0)</f>
        <v>4</v>
      </c>
      <c r="U18" s="31">
        <f t="shared" si="22"/>
        <v>15</v>
      </c>
      <c r="V18" s="31">
        <f t="shared" si="19"/>
        <v>15</v>
      </c>
      <c r="W18" s="31">
        <f>VLOOKUP($A18,C_Sales!$A$4:$P$35,W$1+1,0)</f>
        <v>6</v>
      </c>
      <c r="X18" s="31">
        <f>VLOOKUP($A18,'Stock Transfer'!$A$3:$AE$32,1+W$1,0)</f>
        <v>5</v>
      </c>
      <c r="Y18" s="31">
        <f t="shared" si="24"/>
        <v>14</v>
      </c>
      <c r="Z18" s="31">
        <f t="shared" si="19"/>
        <v>14</v>
      </c>
      <c r="AA18" s="31">
        <f>VLOOKUP($A18,C_Sales!$A$4:$P$35,AA$1+1,0)</f>
        <v>2</v>
      </c>
      <c r="AB18" s="31">
        <f>VLOOKUP($A18,'Stock Transfer'!$A$3:$AE$32,1+AA$1,0)</f>
        <v>6</v>
      </c>
      <c r="AC18" s="31">
        <f t="shared" si="26"/>
        <v>18</v>
      </c>
      <c r="AD18" s="31">
        <f t="shared" si="19"/>
        <v>18</v>
      </c>
      <c r="AE18" s="31">
        <f>VLOOKUP($A18,C_Sales!$A$4:$P$35,AE$1+1,0)</f>
        <v>5</v>
      </c>
      <c r="AF18" s="31">
        <f>VLOOKUP($A18,'Stock Transfer'!$A$3:$AE$32,1+AE$1,0)</f>
        <v>4</v>
      </c>
      <c r="AG18" s="31">
        <f t="shared" si="28"/>
        <v>17</v>
      </c>
      <c r="AH18" s="31">
        <f t="shared" si="19"/>
        <v>17</v>
      </c>
      <c r="AI18" s="31">
        <f>VLOOKUP($A18,C_Sales!$A$4:$P$35,AI$1+1,0)</f>
        <v>4</v>
      </c>
      <c r="AJ18" s="31">
        <f>VLOOKUP($A18,'Stock Transfer'!$A$3:$AE$32,1+AI$1,0)</f>
        <v>4</v>
      </c>
      <c r="AK18" s="31">
        <f t="shared" si="30"/>
        <v>17</v>
      </c>
      <c r="AL18" s="31">
        <f t="shared" ref="AL18:BE18" si="126">MAX(AK18,0)</f>
        <v>17</v>
      </c>
      <c r="AM18" s="31">
        <f>VLOOKUP($A18,C_Sales!$A$4:$P$35,AM$1+1,0)</f>
        <v>4</v>
      </c>
      <c r="AN18" s="31">
        <f>VLOOKUP($A18,'Stock Transfer'!$A$3:$AE$32,1+AM$1,0)</f>
        <v>4</v>
      </c>
      <c r="AO18" s="31">
        <f t="shared" si="32"/>
        <v>17</v>
      </c>
      <c r="AP18" s="31">
        <f t="shared" ref="AP18:BE18" si="127">MAX(AO18,0)</f>
        <v>17</v>
      </c>
      <c r="AQ18" s="31">
        <f>VLOOKUP($A18,C_Sales!$A$4:$P$35,AQ$1+1,0)</f>
        <v>5</v>
      </c>
      <c r="AR18" s="31">
        <f>VLOOKUP($A18,'Stock Transfer'!$A$3:$AE$32,1+AQ$1,0)</f>
        <v>5</v>
      </c>
      <c r="AS18" s="31">
        <f t="shared" si="34"/>
        <v>17</v>
      </c>
      <c r="AT18" s="31">
        <f t="shared" ref="AT18:BE18" si="128">MAX(AS18,0)</f>
        <v>17</v>
      </c>
      <c r="AU18" s="31">
        <f>VLOOKUP($A18,C_Sales!$A$4:$P$35,AU$1+1,0)</f>
        <v>5</v>
      </c>
      <c r="AV18" s="31">
        <f>VLOOKUP($A18,'Stock Transfer'!$A$3:$AE$32,1+AU$1,0)</f>
        <v>5</v>
      </c>
      <c r="AW18" s="31">
        <f t="shared" si="36"/>
        <v>17</v>
      </c>
      <c r="AX18" s="31">
        <f t="shared" ref="AX18:BE18" si="129">MAX(AW18,0)</f>
        <v>17</v>
      </c>
      <c r="AY18" s="31">
        <f>VLOOKUP($A18,C_Sales!$A$4:$P$35,AY$1+1,0)</f>
        <v>4</v>
      </c>
      <c r="AZ18" s="31">
        <f>VLOOKUP($A18,'Stock Transfer'!$A$3:$AE$32,1+AY$1,0)</f>
        <v>5</v>
      </c>
      <c r="BA18" s="31">
        <f t="shared" si="38"/>
        <v>18</v>
      </c>
      <c r="BB18" s="31">
        <f t="shared" ref="BB18:BE18" si="130">MAX(BA18,0)</f>
        <v>18</v>
      </c>
      <c r="BC18" s="31">
        <f>VLOOKUP($A18,C_Sales!$A$4:$P$35,BC$1+1,0)</f>
        <v>5</v>
      </c>
      <c r="BD18" s="31">
        <f>VLOOKUP($A18,'Stock Transfer'!$A$3:$AE$32,1+BC$1,0)</f>
        <v>6</v>
      </c>
      <c r="BE18" s="31">
        <f t="shared" si="40"/>
        <v>19</v>
      </c>
      <c r="BF18" s="31">
        <f t="shared" ref="BF18:BI18" si="131">MAX(BE18,0)</f>
        <v>19</v>
      </c>
      <c r="BG18" s="31">
        <f>VLOOKUP($A18,C_Sales!$A$4:$P$35,BG$1+1,0)</f>
        <v>5</v>
      </c>
      <c r="BH18" s="31">
        <f>VLOOKUP($A18,'Stock Transfer'!$A$3:$AE$32,1+BG$1,0)</f>
        <v>6</v>
      </c>
      <c r="BI18" s="31">
        <f t="shared" si="42"/>
        <v>20</v>
      </c>
    </row>
    <row r="19" spans="1:61" x14ac:dyDescent="0.3">
      <c r="A19" s="17" t="s">
        <v>81</v>
      </c>
      <c r="B19" s="31">
        <f>VLOOKUP($A19,'Open STK'!$A$1:$E$31,4,0)</f>
        <v>6</v>
      </c>
      <c r="C19" s="31">
        <f>VLOOKUP($A19,C_Sales!$A$4:$P$35,C$1+1,0)</f>
        <v>3</v>
      </c>
      <c r="D19" s="31">
        <f>VLOOKUP($A19,'Stock Transfer'!$A$3:$AE$32,1+C$1,0)</f>
        <v>4</v>
      </c>
      <c r="E19" s="31">
        <f t="shared" si="43"/>
        <v>7</v>
      </c>
      <c r="F19" s="31">
        <f t="shared" si="44"/>
        <v>7</v>
      </c>
      <c r="G19" s="31">
        <f>VLOOKUP($A19,C_Sales!$A$4:$P$35,G$1+1,0)</f>
        <v>5</v>
      </c>
      <c r="H19" s="31">
        <f>VLOOKUP($A19,'Stock Transfer'!$A$3:$AE$32,1+G$1,0)</f>
        <v>4</v>
      </c>
      <c r="I19" s="31">
        <f t="shared" si="45"/>
        <v>6</v>
      </c>
      <c r="J19" s="31">
        <f t="shared" si="46"/>
        <v>6</v>
      </c>
      <c r="K19" s="31">
        <f>VLOOKUP($A19,C_Sales!$A$4:$P$35,K$1+1,0)</f>
        <v>2</v>
      </c>
      <c r="L19" s="31">
        <f>VLOOKUP($A19,'Stock Transfer'!$A$3:$AE$32,1+K$1,0)</f>
        <v>4</v>
      </c>
      <c r="M19" s="31">
        <f t="shared" si="47"/>
        <v>8</v>
      </c>
      <c r="N19" s="31">
        <f t="shared" si="19"/>
        <v>8</v>
      </c>
      <c r="O19" s="31">
        <f>VLOOKUP($A19,C_Sales!$A$4:$P$35,O$1+1,0)</f>
        <v>4</v>
      </c>
      <c r="P19" s="31">
        <f>VLOOKUP($A19,'Stock Transfer'!$A$3:$AE$32,1+O$1,0)</f>
        <v>4</v>
      </c>
      <c r="Q19" s="31">
        <f t="shared" si="20"/>
        <v>8</v>
      </c>
      <c r="R19" s="31">
        <f t="shared" si="19"/>
        <v>8</v>
      </c>
      <c r="S19" s="31">
        <f>VLOOKUP($A19,C_Sales!$A$4:$P$35,S$1+1,0)</f>
        <v>3</v>
      </c>
      <c r="T19" s="31">
        <f>VLOOKUP($A19,'Stock Transfer'!$A$3:$AE$32,1+S$1,0)</f>
        <v>3</v>
      </c>
      <c r="U19" s="31">
        <f t="shared" si="22"/>
        <v>8</v>
      </c>
      <c r="V19" s="31">
        <f t="shared" si="19"/>
        <v>8</v>
      </c>
      <c r="W19" s="31">
        <f>VLOOKUP($A19,C_Sales!$A$4:$P$35,W$1+1,0)</f>
        <v>2</v>
      </c>
      <c r="X19" s="31">
        <f>VLOOKUP($A19,'Stock Transfer'!$A$3:$AE$32,1+W$1,0)</f>
        <v>5</v>
      </c>
      <c r="Y19" s="31">
        <f t="shared" si="24"/>
        <v>11</v>
      </c>
      <c r="Z19" s="31">
        <f t="shared" si="19"/>
        <v>11</v>
      </c>
      <c r="AA19" s="31">
        <f>VLOOKUP($A19,C_Sales!$A$4:$P$35,AA$1+1,0)</f>
        <v>3</v>
      </c>
      <c r="AB19" s="31">
        <f>VLOOKUP($A19,'Stock Transfer'!$A$3:$AE$32,1+AA$1,0)</f>
        <v>3</v>
      </c>
      <c r="AC19" s="31">
        <f t="shared" si="26"/>
        <v>11</v>
      </c>
      <c r="AD19" s="31">
        <f t="shared" si="19"/>
        <v>11</v>
      </c>
      <c r="AE19" s="31">
        <f>VLOOKUP($A19,C_Sales!$A$4:$P$35,AE$1+1,0)</f>
        <v>2</v>
      </c>
      <c r="AF19" s="31">
        <f>VLOOKUP($A19,'Stock Transfer'!$A$3:$AE$32,1+AE$1,0)</f>
        <v>4</v>
      </c>
      <c r="AG19" s="31">
        <f t="shared" si="28"/>
        <v>13</v>
      </c>
      <c r="AH19" s="31">
        <f t="shared" si="19"/>
        <v>13</v>
      </c>
      <c r="AI19" s="31">
        <f>VLOOKUP($A19,C_Sales!$A$4:$P$35,AI$1+1,0)</f>
        <v>3</v>
      </c>
      <c r="AJ19" s="31">
        <f>VLOOKUP($A19,'Stock Transfer'!$A$3:$AE$32,1+AI$1,0)</f>
        <v>4</v>
      </c>
      <c r="AK19" s="31">
        <f t="shared" si="30"/>
        <v>14</v>
      </c>
      <c r="AL19" s="31">
        <f t="shared" ref="AL19:BE19" si="132">MAX(AK19,0)</f>
        <v>14</v>
      </c>
      <c r="AM19" s="31">
        <f>VLOOKUP($A19,C_Sales!$A$4:$P$35,AM$1+1,0)</f>
        <v>4</v>
      </c>
      <c r="AN19" s="31">
        <f>VLOOKUP($A19,'Stock Transfer'!$A$3:$AE$32,1+AM$1,0)</f>
        <v>4</v>
      </c>
      <c r="AO19" s="31">
        <f t="shared" si="32"/>
        <v>14</v>
      </c>
      <c r="AP19" s="31">
        <f t="shared" ref="AP19:BE19" si="133">MAX(AO19,0)</f>
        <v>14</v>
      </c>
      <c r="AQ19" s="31">
        <f>VLOOKUP($A19,C_Sales!$A$4:$P$35,AQ$1+1,0)</f>
        <v>5</v>
      </c>
      <c r="AR19" s="31">
        <f>VLOOKUP($A19,'Stock Transfer'!$A$3:$AE$32,1+AQ$1,0)</f>
        <v>4</v>
      </c>
      <c r="AS19" s="31">
        <f t="shared" si="34"/>
        <v>13</v>
      </c>
      <c r="AT19" s="31">
        <f t="shared" ref="AT19:BE19" si="134">MAX(AS19,0)</f>
        <v>13</v>
      </c>
      <c r="AU19" s="31">
        <f>VLOOKUP($A19,C_Sales!$A$4:$P$35,AU$1+1,0)</f>
        <v>3</v>
      </c>
      <c r="AV19" s="31">
        <f>VLOOKUP($A19,'Stock Transfer'!$A$3:$AE$32,1+AU$1,0)</f>
        <v>4</v>
      </c>
      <c r="AW19" s="31">
        <f t="shared" si="36"/>
        <v>14</v>
      </c>
      <c r="AX19" s="31">
        <f t="shared" ref="AX19:BE19" si="135">MAX(AW19,0)</f>
        <v>14</v>
      </c>
      <c r="AY19" s="31">
        <f>VLOOKUP($A19,C_Sales!$A$4:$P$35,AY$1+1,0)</f>
        <v>2</v>
      </c>
      <c r="AZ19" s="31">
        <f>VLOOKUP($A19,'Stock Transfer'!$A$3:$AE$32,1+AY$1,0)</f>
        <v>3</v>
      </c>
      <c r="BA19" s="31">
        <f t="shared" si="38"/>
        <v>15</v>
      </c>
      <c r="BB19" s="31">
        <f t="shared" ref="BB19:BE19" si="136">MAX(BA19,0)</f>
        <v>15</v>
      </c>
      <c r="BC19" s="31">
        <f>VLOOKUP($A19,C_Sales!$A$4:$P$35,BC$1+1,0)</f>
        <v>2</v>
      </c>
      <c r="BD19" s="31">
        <f>VLOOKUP($A19,'Stock Transfer'!$A$3:$AE$32,1+BC$1,0)</f>
        <v>3</v>
      </c>
      <c r="BE19" s="31">
        <f t="shared" si="40"/>
        <v>16</v>
      </c>
      <c r="BF19" s="31">
        <f t="shared" ref="BF19:BI19" si="137">MAX(BE19,0)</f>
        <v>16</v>
      </c>
      <c r="BG19" s="31">
        <f>VLOOKUP($A19,C_Sales!$A$4:$P$35,BG$1+1,0)</f>
        <v>1</v>
      </c>
      <c r="BH19" s="31">
        <f>VLOOKUP($A19,'Stock Transfer'!$A$3:$AE$32,1+BG$1,0)</f>
        <v>4</v>
      </c>
      <c r="BI19" s="31">
        <f t="shared" si="42"/>
        <v>19</v>
      </c>
    </row>
    <row r="20" spans="1:61" x14ac:dyDescent="0.3">
      <c r="A20" s="17" t="s">
        <v>84</v>
      </c>
      <c r="B20" s="31">
        <f>VLOOKUP($A20,'Open STK'!$A$1:$E$31,4,0)</f>
        <v>3</v>
      </c>
      <c r="C20" s="31">
        <f>VLOOKUP($A20,C_Sales!$A$4:$P$35,C$1+1,0)</f>
        <v>4</v>
      </c>
      <c r="D20" s="31">
        <f>VLOOKUP($A20,'Stock Transfer'!$A$3:$AE$32,1+C$1,0)</f>
        <v>5</v>
      </c>
      <c r="E20" s="31">
        <f t="shared" si="43"/>
        <v>4</v>
      </c>
      <c r="F20" s="31">
        <f t="shared" si="44"/>
        <v>4</v>
      </c>
      <c r="G20" s="31">
        <f>VLOOKUP($A20,C_Sales!$A$4:$P$35,G$1+1,0)</f>
        <v>3</v>
      </c>
      <c r="H20" s="31">
        <f>VLOOKUP($A20,'Stock Transfer'!$A$3:$AE$32,1+G$1,0)</f>
        <v>5</v>
      </c>
      <c r="I20" s="31">
        <f t="shared" si="45"/>
        <v>6</v>
      </c>
      <c r="J20" s="31">
        <f t="shared" si="46"/>
        <v>6</v>
      </c>
      <c r="K20" s="31">
        <f>VLOOKUP($A20,C_Sales!$A$4:$P$35,K$1+1,0)</f>
        <v>5</v>
      </c>
      <c r="L20" s="31">
        <f>VLOOKUP($A20,'Stock Transfer'!$A$3:$AE$32,1+K$1,0)</f>
        <v>4</v>
      </c>
      <c r="M20" s="31">
        <f t="shared" si="47"/>
        <v>5</v>
      </c>
      <c r="N20" s="31">
        <f t="shared" ref="N20:AK33" si="138">MAX(M20,0)</f>
        <v>5</v>
      </c>
      <c r="O20" s="31">
        <f>VLOOKUP($A20,C_Sales!$A$4:$P$35,O$1+1,0)</f>
        <v>3</v>
      </c>
      <c r="P20" s="31">
        <f>VLOOKUP($A20,'Stock Transfer'!$A$3:$AE$32,1+O$1,0)</f>
        <v>3</v>
      </c>
      <c r="Q20" s="31">
        <f t="shared" si="20"/>
        <v>5</v>
      </c>
      <c r="R20" s="31">
        <f t="shared" si="138"/>
        <v>5</v>
      </c>
      <c r="S20" s="31">
        <f>VLOOKUP($A20,C_Sales!$A$4:$P$35,S$1+1,0)</f>
        <v>3</v>
      </c>
      <c r="T20" s="31">
        <f>VLOOKUP($A20,'Stock Transfer'!$A$3:$AE$32,1+S$1,0)</f>
        <v>4</v>
      </c>
      <c r="U20" s="31">
        <f t="shared" si="22"/>
        <v>6</v>
      </c>
      <c r="V20" s="31">
        <f t="shared" si="138"/>
        <v>6</v>
      </c>
      <c r="W20" s="31">
        <f>VLOOKUP($A20,C_Sales!$A$4:$P$35,W$1+1,0)</f>
        <v>4</v>
      </c>
      <c r="X20" s="31">
        <f>VLOOKUP($A20,'Stock Transfer'!$A$3:$AE$32,1+W$1,0)</f>
        <v>4</v>
      </c>
      <c r="Y20" s="31">
        <f t="shared" si="24"/>
        <v>6</v>
      </c>
      <c r="Z20" s="31">
        <f t="shared" si="138"/>
        <v>6</v>
      </c>
      <c r="AA20" s="31">
        <f>VLOOKUP($A20,C_Sales!$A$4:$P$35,AA$1+1,0)</f>
        <v>3</v>
      </c>
      <c r="AB20" s="31">
        <f>VLOOKUP($A20,'Stock Transfer'!$A$3:$AE$32,1+AA$1,0)</f>
        <v>5</v>
      </c>
      <c r="AC20" s="31">
        <f t="shared" si="26"/>
        <v>8</v>
      </c>
      <c r="AD20" s="31">
        <f t="shared" si="138"/>
        <v>8</v>
      </c>
      <c r="AE20" s="31">
        <f>VLOOKUP($A20,C_Sales!$A$4:$P$35,AE$1+1,0)</f>
        <v>4</v>
      </c>
      <c r="AF20" s="31">
        <f>VLOOKUP($A20,'Stock Transfer'!$A$3:$AE$32,1+AE$1,0)</f>
        <v>4</v>
      </c>
      <c r="AG20" s="31">
        <f t="shared" si="28"/>
        <v>8</v>
      </c>
      <c r="AH20" s="31">
        <f t="shared" si="138"/>
        <v>8</v>
      </c>
      <c r="AI20" s="31">
        <f>VLOOKUP($A20,C_Sales!$A$4:$P$35,AI$1+1,0)</f>
        <v>2</v>
      </c>
      <c r="AJ20" s="31">
        <f>VLOOKUP($A20,'Stock Transfer'!$A$3:$AE$32,1+AI$1,0)</f>
        <v>4</v>
      </c>
      <c r="AK20" s="31">
        <f t="shared" si="30"/>
        <v>10</v>
      </c>
      <c r="AL20" s="31">
        <f t="shared" ref="AL20:BE20" si="139">MAX(AK20,0)</f>
        <v>10</v>
      </c>
      <c r="AM20" s="31">
        <f>VLOOKUP($A20,C_Sales!$A$4:$P$35,AM$1+1,0)</f>
        <v>4</v>
      </c>
      <c r="AN20" s="31">
        <f>VLOOKUP($A20,'Stock Transfer'!$A$3:$AE$32,1+AM$1,0)</f>
        <v>4</v>
      </c>
      <c r="AO20" s="31">
        <f t="shared" si="32"/>
        <v>10</v>
      </c>
      <c r="AP20" s="31">
        <f t="shared" ref="AP20:BE20" si="140">MAX(AO20,0)</f>
        <v>10</v>
      </c>
      <c r="AQ20" s="31">
        <f>VLOOKUP($A20,C_Sales!$A$4:$P$35,AQ$1+1,0)</f>
        <v>3</v>
      </c>
      <c r="AR20" s="31">
        <f>VLOOKUP($A20,'Stock Transfer'!$A$3:$AE$32,1+AQ$1,0)</f>
        <v>4</v>
      </c>
      <c r="AS20" s="31">
        <f t="shared" si="34"/>
        <v>11</v>
      </c>
      <c r="AT20" s="31">
        <f t="shared" ref="AT20:BE20" si="141">MAX(AS20,0)</f>
        <v>11</v>
      </c>
      <c r="AU20" s="31">
        <f>VLOOKUP($A20,C_Sales!$A$4:$P$35,AU$1+1,0)</f>
        <v>3</v>
      </c>
      <c r="AV20" s="31">
        <f>VLOOKUP($A20,'Stock Transfer'!$A$3:$AE$32,1+AU$1,0)</f>
        <v>5</v>
      </c>
      <c r="AW20" s="31">
        <f t="shared" si="36"/>
        <v>13</v>
      </c>
      <c r="AX20" s="31">
        <f t="shared" ref="AX20:BE20" si="142">MAX(AW20,0)</f>
        <v>13</v>
      </c>
      <c r="AY20" s="31">
        <f>VLOOKUP($A20,C_Sales!$A$4:$P$35,AY$1+1,0)</f>
        <v>3</v>
      </c>
      <c r="AZ20" s="31">
        <f>VLOOKUP($A20,'Stock Transfer'!$A$3:$AE$32,1+AY$1,0)</f>
        <v>5</v>
      </c>
      <c r="BA20" s="31">
        <f t="shared" si="38"/>
        <v>15</v>
      </c>
      <c r="BB20" s="31">
        <f t="shared" ref="BB20:BE20" si="143">MAX(BA20,0)</f>
        <v>15</v>
      </c>
      <c r="BC20" s="31">
        <f>VLOOKUP($A20,C_Sales!$A$4:$P$35,BC$1+1,0)</f>
        <v>3</v>
      </c>
      <c r="BD20" s="31">
        <f>VLOOKUP($A20,'Stock Transfer'!$A$3:$AE$32,1+BC$1,0)</f>
        <v>4</v>
      </c>
      <c r="BE20" s="31">
        <f t="shared" si="40"/>
        <v>16</v>
      </c>
      <c r="BF20" s="31">
        <f t="shared" ref="BF20:BI20" si="144">MAX(BE20,0)</f>
        <v>16</v>
      </c>
      <c r="BG20" s="31">
        <f>VLOOKUP($A20,C_Sales!$A$4:$P$35,BG$1+1,0)</f>
        <v>5</v>
      </c>
      <c r="BH20" s="31">
        <f>VLOOKUP($A20,'Stock Transfer'!$A$3:$AE$32,1+BG$1,0)</f>
        <v>4</v>
      </c>
      <c r="BI20" s="31">
        <f t="shared" si="42"/>
        <v>15</v>
      </c>
    </row>
    <row r="21" spans="1:61" x14ac:dyDescent="0.3">
      <c r="A21" s="17" t="s">
        <v>87</v>
      </c>
      <c r="B21" s="31">
        <f>VLOOKUP($A21,'Open STK'!$A$1:$E$31,4,0)</f>
        <v>2</v>
      </c>
      <c r="C21" s="31">
        <f>VLOOKUP($A21,C_Sales!$A$4:$P$35,C$1+1,0)</f>
        <v>2</v>
      </c>
      <c r="D21" s="31">
        <f>VLOOKUP($A21,'Stock Transfer'!$A$3:$AE$32,1+C$1,0)</f>
        <v>3</v>
      </c>
      <c r="E21" s="31">
        <f t="shared" si="43"/>
        <v>3</v>
      </c>
      <c r="F21" s="31">
        <f t="shared" si="44"/>
        <v>3</v>
      </c>
      <c r="G21" s="31">
        <f>VLOOKUP($A21,C_Sales!$A$4:$P$35,G$1+1,0)</f>
        <v>2</v>
      </c>
      <c r="H21" s="31">
        <f>VLOOKUP($A21,'Stock Transfer'!$A$3:$AE$32,1+G$1,0)</f>
        <v>3</v>
      </c>
      <c r="I21" s="31">
        <f t="shared" si="45"/>
        <v>4</v>
      </c>
      <c r="J21" s="31">
        <f t="shared" si="46"/>
        <v>4</v>
      </c>
      <c r="K21" s="31">
        <f>VLOOKUP($A21,C_Sales!$A$4:$P$35,K$1+1,0)</f>
        <v>2</v>
      </c>
      <c r="L21" s="31">
        <f>VLOOKUP($A21,'Stock Transfer'!$A$3:$AE$32,1+K$1,0)</f>
        <v>3</v>
      </c>
      <c r="M21" s="31">
        <f t="shared" si="47"/>
        <v>5</v>
      </c>
      <c r="N21" s="31">
        <f t="shared" si="138"/>
        <v>5</v>
      </c>
      <c r="O21" s="31">
        <f>VLOOKUP($A21,C_Sales!$A$4:$P$35,O$1+1,0)</f>
        <v>1</v>
      </c>
      <c r="P21" s="31">
        <f>VLOOKUP($A21,'Stock Transfer'!$A$3:$AE$32,1+O$1,0)</f>
        <v>3</v>
      </c>
      <c r="Q21" s="31">
        <f t="shared" si="20"/>
        <v>7</v>
      </c>
      <c r="R21" s="31">
        <f t="shared" si="138"/>
        <v>7</v>
      </c>
      <c r="S21" s="31">
        <f>VLOOKUP($A21,C_Sales!$A$4:$P$35,S$1+1,0)</f>
        <v>1</v>
      </c>
      <c r="T21" s="31">
        <f>VLOOKUP($A21,'Stock Transfer'!$A$3:$AE$32,1+S$1,0)</f>
        <v>3</v>
      </c>
      <c r="U21" s="31">
        <f t="shared" si="22"/>
        <v>9</v>
      </c>
      <c r="V21" s="31">
        <f t="shared" si="138"/>
        <v>9</v>
      </c>
      <c r="W21" s="31">
        <f>VLOOKUP($A21,C_Sales!$A$4:$P$35,W$1+1,0)</f>
        <v>2</v>
      </c>
      <c r="X21" s="31">
        <f>VLOOKUP($A21,'Stock Transfer'!$A$3:$AE$32,1+W$1,0)</f>
        <v>3</v>
      </c>
      <c r="Y21" s="31">
        <f t="shared" si="24"/>
        <v>10</v>
      </c>
      <c r="Z21" s="31">
        <f t="shared" si="138"/>
        <v>10</v>
      </c>
      <c r="AA21" s="31">
        <f>VLOOKUP($A21,C_Sales!$A$4:$P$35,AA$1+1,0)</f>
        <v>2</v>
      </c>
      <c r="AB21" s="31">
        <f>VLOOKUP($A21,'Stock Transfer'!$A$3:$AE$32,1+AA$1,0)</f>
        <v>2</v>
      </c>
      <c r="AC21" s="31">
        <f t="shared" si="26"/>
        <v>10</v>
      </c>
      <c r="AD21" s="31">
        <f t="shared" si="138"/>
        <v>10</v>
      </c>
      <c r="AE21" s="31">
        <f>VLOOKUP($A21,C_Sales!$A$4:$P$35,AE$1+1,0)</f>
        <v>1</v>
      </c>
      <c r="AF21" s="31">
        <f>VLOOKUP($A21,'Stock Transfer'!$A$3:$AE$32,1+AE$1,0)</f>
        <v>2</v>
      </c>
      <c r="AG21" s="31">
        <f t="shared" si="28"/>
        <v>11</v>
      </c>
      <c r="AH21" s="31">
        <f t="shared" si="138"/>
        <v>11</v>
      </c>
      <c r="AI21" s="31">
        <f>VLOOKUP($A21,C_Sales!$A$4:$P$35,AI$1+1,0)</f>
        <v>1</v>
      </c>
      <c r="AJ21" s="31">
        <f>VLOOKUP($A21,'Stock Transfer'!$A$3:$AE$32,1+AI$1,0)</f>
        <v>2</v>
      </c>
      <c r="AK21" s="31">
        <f t="shared" si="30"/>
        <v>12</v>
      </c>
      <c r="AL21" s="31">
        <f t="shared" ref="AL21:BE21" si="145">MAX(AK21,0)</f>
        <v>12</v>
      </c>
      <c r="AM21" s="31">
        <f>VLOOKUP($A21,C_Sales!$A$4:$P$35,AM$1+1,0)</f>
        <v>0</v>
      </c>
      <c r="AN21" s="31">
        <f>VLOOKUP($A21,'Stock Transfer'!$A$3:$AE$32,1+AM$1,0)</f>
        <v>3</v>
      </c>
      <c r="AO21" s="31">
        <f t="shared" si="32"/>
        <v>15</v>
      </c>
      <c r="AP21" s="31">
        <f t="shared" ref="AP21:BE21" si="146">MAX(AO21,0)</f>
        <v>15</v>
      </c>
      <c r="AQ21" s="31">
        <f>VLOOKUP($A21,C_Sales!$A$4:$P$35,AQ$1+1,0)</f>
        <v>2</v>
      </c>
      <c r="AR21" s="31">
        <f>VLOOKUP($A21,'Stock Transfer'!$A$3:$AE$32,1+AQ$1,0)</f>
        <v>3</v>
      </c>
      <c r="AS21" s="31">
        <f t="shared" si="34"/>
        <v>16</v>
      </c>
      <c r="AT21" s="31">
        <f t="shared" ref="AT21:BE21" si="147">MAX(AS21,0)</f>
        <v>16</v>
      </c>
      <c r="AU21" s="31">
        <f>VLOOKUP($A21,C_Sales!$A$4:$P$35,AU$1+1,0)</f>
        <v>0</v>
      </c>
      <c r="AV21" s="31">
        <f>VLOOKUP($A21,'Stock Transfer'!$A$3:$AE$32,1+AU$1,0)</f>
        <v>2</v>
      </c>
      <c r="AW21" s="31">
        <f t="shared" si="36"/>
        <v>18</v>
      </c>
      <c r="AX21" s="31">
        <f t="shared" ref="AX21:BE21" si="148">MAX(AW21,0)</f>
        <v>18</v>
      </c>
      <c r="AY21" s="31">
        <f>VLOOKUP($A21,C_Sales!$A$4:$P$35,AY$1+1,0)</f>
        <v>3</v>
      </c>
      <c r="AZ21" s="31">
        <f>VLOOKUP($A21,'Stock Transfer'!$A$3:$AE$32,1+AY$1,0)</f>
        <v>2</v>
      </c>
      <c r="BA21" s="31">
        <f t="shared" si="38"/>
        <v>17</v>
      </c>
      <c r="BB21" s="31">
        <f t="shared" ref="BB21:BE21" si="149">MAX(BA21,0)</f>
        <v>17</v>
      </c>
      <c r="BC21" s="31">
        <f>VLOOKUP($A21,C_Sales!$A$4:$P$35,BC$1+1,0)</f>
        <v>2</v>
      </c>
      <c r="BD21" s="31">
        <f>VLOOKUP($A21,'Stock Transfer'!$A$3:$AE$32,1+BC$1,0)</f>
        <v>2</v>
      </c>
      <c r="BE21" s="31">
        <f t="shared" si="40"/>
        <v>17</v>
      </c>
      <c r="BF21" s="31">
        <f t="shared" ref="BF21:BI21" si="150">MAX(BE21,0)</f>
        <v>17</v>
      </c>
      <c r="BG21" s="31">
        <f>VLOOKUP($A21,C_Sales!$A$4:$P$35,BG$1+1,0)</f>
        <v>1</v>
      </c>
      <c r="BH21" s="31">
        <f>VLOOKUP($A21,'Stock Transfer'!$A$3:$AE$32,1+BG$1,0)</f>
        <v>3</v>
      </c>
      <c r="BI21" s="31">
        <f t="shared" si="42"/>
        <v>19</v>
      </c>
    </row>
    <row r="22" spans="1:61" x14ac:dyDescent="0.3">
      <c r="A22" s="17" t="s">
        <v>90</v>
      </c>
      <c r="B22" s="31">
        <f>VLOOKUP($A22,'Open STK'!$A$1:$E$31,4,0)</f>
        <v>1</v>
      </c>
      <c r="C22" s="31">
        <f>VLOOKUP($A22,C_Sales!$A$4:$P$35,C$1+1,0)</f>
        <v>0</v>
      </c>
      <c r="D22" s="31">
        <f>VLOOKUP($A22,'Stock Transfer'!$A$3:$AE$32,1+C$1,0)</f>
        <v>3</v>
      </c>
      <c r="E22" s="31">
        <f t="shared" si="43"/>
        <v>4</v>
      </c>
      <c r="F22" s="31">
        <f t="shared" si="44"/>
        <v>4</v>
      </c>
      <c r="G22" s="31">
        <f>VLOOKUP($A22,C_Sales!$A$4:$P$35,G$1+1,0)</f>
        <v>0</v>
      </c>
      <c r="H22" s="31">
        <f>VLOOKUP($A22,'Stock Transfer'!$A$3:$AE$32,1+G$1,0)</f>
        <v>2</v>
      </c>
      <c r="I22" s="31">
        <f t="shared" si="45"/>
        <v>6</v>
      </c>
      <c r="J22" s="31">
        <f t="shared" si="46"/>
        <v>6</v>
      </c>
      <c r="K22" s="31">
        <f>VLOOKUP($A22,C_Sales!$A$4:$P$35,K$1+1,0)</f>
        <v>2</v>
      </c>
      <c r="L22" s="31">
        <f>VLOOKUP($A22,'Stock Transfer'!$A$3:$AE$32,1+K$1,0)</f>
        <v>3</v>
      </c>
      <c r="M22" s="31">
        <f t="shared" si="47"/>
        <v>7</v>
      </c>
      <c r="N22" s="31">
        <f t="shared" si="138"/>
        <v>7</v>
      </c>
      <c r="O22" s="31">
        <f>VLOOKUP($A22,C_Sales!$A$4:$P$35,O$1+1,0)</f>
        <v>0</v>
      </c>
      <c r="P22" s="31">
        <f>VLOOKUP($A22,'Stock Transfer'!$A$3:$AE$32,1+O$1,0)</f>
        <v>3</v>
      </c>
      <c r="Q22" s="31">
        <f t="shared" si="20"/>
        <v>10</v>
      </c>
      <c r="R22" s="31">
        <f t="shared" si="138"/>
        <v>10</v>
      </c>
      <c r="S22" s="31">
        <f>VLOOKUP($A22,C_Sales!$A$4:$P$35,S$1+1,0)</f>
        <v>2</v>
      </c>
      <c r="T22" s="31">
        <f>VLOOKUP($A22,'Stock Transfer'!$A$3:$AE$32,1+S$1,0)</f>
        <v>2</v>
      </c>
      <c r="U22" s="31">
        <f t="shared" si="22"/>
        <v>10</v>
      </c>
      <c r="V22" s="31">
        <f t="shared" si="138"/>
        <v>10</v>
      </c>
      <c r="W22" s="31">
        <f>VLOOKUP($A22,C_Sales!$A$4:$P$35,W$1+1,0)</f>
        <v>2</v>
      </c>
      <c r="X22" s="31">
        <f>VLOOKUP($A22,'Stock Transfer'!$A$3:$AE$32,1+W$1,0)</f>
        <v>2</v>
      </c>
      <c r="Y22" s="31">
        <f t="shared" si="24"/>
        <v>10</v>
      </c>
      <c r="Z22" s="31">
        <f t="shared" si="138"/>
        <v>10</v>
      </c>
      <c r="AA22" s="31">
        <f>VLOOKUP($A22,C_Sales!$A$4:$P$35,AA$1+1,0)</f>
        <v>1</v>
      </c>
      <c r="AB22" s="31">
        <f>VLOOKUP($A22,'Stock Transfer'!$A$3:$AE$32,1+AA$1,0)</f>
        <v>2</v>
      </c>
      <c r="AC22" s="31">
        <f t="shared" si="26"/>
        <v>11</v>
      </c>
      <c r="AD22" s="31">
        <f t="shared" si="138"/>
        <v>11</v>
      </c>
      <c r="AE22" s="31">
        <f>VLOOKUP($A22,C_Sales!$A$4:$P$35,AE$1+1,0)</f>
        <v>2</v>
      </c>
      <c r="AF22" s="31">
        <f>VLOOKUP($A22,'Stock Transfer'!$A$3:$AE$32,1+AE$1,0)</f>
        <v>3</v>
      </c>
      <c r="AG22" s="31">
        <f t="shared" si="28"/>
        <v>12</v>
      </c>
      <c r="AH22" s="31">
        <f t="shared" si="138"/>
        <v>12</v>
      </c>
      <c r="AI22" s="31">
        <f>VLOOKUP($A22,C_Sales!$A$4:$P$35,AI$1+1,0)</f>
        <v>1</v>
      </c>
      <c r="AJ22" s="31">
        <f>VLOOKUP($A22,'Stock Transfer'!$A$3:$AE$32,1+AI$1,0)</f>
        <v>3</v>
      </c>
      <c r="AK22" s="31">
        <f t="shared" si="30"/>
        <v>14</v>
      </c>
      <c r="AL22" s="31">
        <f t="shared" ref="AL22:BE22" si="151">MAX(AK22,0)</f>
        <v>14</v>
      </c>
      <c r="AM22" s="31">
        <f>VLOOKUP($A22,C_Sales!$A$4:$P$35,AM$1+1,0)</f>
        <v>2</v>
      </c>
      <c r="AN22" s="31">
        <f>VLOOKUP($A22,'Stock Transfer'!$A$3:$AE$32,1+AM$1,0)</f>
        <v>2</v>
      </c>
      <c r="AO22" s="31">
        <f t="shared" si="32"/>
        <v>14</v>
      </c>
      <c r="AP22" s="31">
        <f t="shared" ref="AP22:BE22" si="152">MAX(AO22,0)</f>
        <v>14</v>
      </c>
      <c r="AQ22" s="31">
        <f>VLOOKUP($A22,C_Sales!$A$4:$P$35,AQ$1+1,0)</f>
        <v>2</v>
      </c>
      <c r="AR22" s="31">
        <f>VLOOKUP($A22,'Stock Transfer'!$A$3:$AE$32,1+AQ$1,0)</f>
        <v>3</v>
      </c>
      <c r="AS22" s="31">
        <f t="shared" si="34"/>
        <v>15</v>
      </c>
      <c r="AT22" s="31">
        <f t="shared" ref="AT22:BE22" si="153">MAX(AS22,0)</f>
        <v>15</v>
      </c>
      <c r="AU22" s="31">
        <f>VLOOKUP($A22,C_Sales!$A$4:$P$35,AU$1+1,0)</f>
        <v>1</v>
      </c>
      <c r="AV22" s="31">
        <f>VLOOKUP($A22,'Stock Transfer'!$A$3:$AE$32,1+AU$1,0)</f>
        <v>3</v>
      </c>
      <c r="AW22" s="31">
        <f t="shared" si="36"/>
        <v>17</v>
      </c>
      <c r="AX22" s="31">
        <f t="shared" ref="AX22:BE22" si="154">MAX(AW22,0)</f>
        <v>17</v>
      </c>
      <c r="AY22" s="31">
        <f>VLOOKUP($A22,C_Sales!$A$4:$P$35,AY$1+1,0)</f>
        <v>2</v>
      </c>
      <c r="AZ22" s="31">
        <f>VLOOKUP($A22,'Stock Transfer'!$A$3:$AE$32,1+AY$1,0)</f>
        <v>3</v>
      </c>
      <c r="BA22" s="31">
        <f t="shared" si="38"/>
        <v>18</v>
      </c>
      <c r="BB22" s="31">
        <f t="shared" ref="BB22:BE22" si="155">MAX(BA22,0)</f>
        <v>18</v>
      </c>
      <c r="BC22" s="31">
        <f>VLOOKUP($A22,C_Sales!$A$4:$P$35,BC$1+1,0)</f>
        <v>1</v>
      </c>
      <c r="BD22" s="31">
        <f>VLOOKUP($A22,'Stock Transfer'!$A$3:$AE$32,1+BC$1,0)</f>
        <v>3</v>
      </c>
      <c r="BE22" s="31">
        <f t="shared" si="40"/>
        <v>20</v>
      </c>
      <c r="BF22" s="31">
        <f t="shared" ref="BF22:BI22" si="156">MAX(BE22,0)</f>
        <v>20</v>
      </c>
      <c r="BG22" s="31">
        <f>VLOOKUP($A22,C_Sales!$A$4:$P$35,BG$1+1,0)</f>
        <v>2</v>
      </c>
      <c r="BH22" s="31">
        <f>VLOOKUP($A22,'Stock Transfer'!$A$3:$AE$32,1+BG$1,0)</f>
        <v>3</v>
      </c>
      <c r="BI22" s="31">
        <f t="shared" si="42"/>
        <v>21</v>
      </c>
    </row>
    <row r="23" spans="1:61" x14ac:dyDescent="0.3">
      <c r="A23" s="17" t="s">
        <v>93</v>
      </c>
      <c r="B23" s="31">
        <f>VLOOKUP($A23,'Open STK'!$A$1:$E$31,4,0)</f>
        <v>2</v>
      </c>
      <c r="C23" s="31">
        <f>VLOOKUP($A23,C_Sales!$A$4:$P$35,C$1+1,0)</f>
        <v>2</v>
      </c>
      <c r="D23" s="31">
        <f>VLOOKUP($A23,'Stock Transfer'!$A$3:$AE$32,1+C$1,0)</f>
        <v>2</v>
      </c>
      <c r="E23" s="31">
        <f t="shared" si="43"/>
        <v>2</v>
      </c>
      <c r="F23" s="31">
        <f t="shared" si="44"/>
        <v>2</v>
      </c>
      <c r="G23" s="31">
        <f>VLOOKUP($A23,C_Sales!$A$4:$P$35,G$1+1,0)</f>
        <v>1</v>
      </c>
      <c r="H23" s="31">
        <f>VLOOKUP($A23,'Stock Transfer'!$A$3:$AE$32,1+G$1,0)</f>
        <v>2</v>
      </c>
      <c r="I23" s="31">
        <f t="shared" si="45"/>
        <v>3</v>
      </c>
      <c r="J23" s="31">
        <f t="shared" si="46"/>
        <v>3</v>
      </c>
      <c r="K23" s="31">
        <f>VLOOKUP($A23,C_Sales!$A$4:$P$35,K$1+1,0)</f>
        <v>0</v>
      </c>
      <c r="L23" s="31">
        <f>VLOOKUP($A23,'Stock Transfer'!$A$3:$AE$32,1+K$1,0)</f>
        <v>2</v>
      </c>
      <c r="M23" s="31">
        <f t="shared" si="47"/>
        <v>5</v>
      </c>
      <c r="N23" s="31">
        <f t="shared" si="138"/>
        <v>5</v>
      </c>
      <c r="O23" s="31">
        <f>VLOOKUP($A23,C_Sales!$A$4:$P$35,O$1+1,0)</f>
        <v>2</v>
      </c>
      <c r="P23" s="31">
        <f>VLOOKUP($A23,'Stock Transfer'!$A$3:$AE$32,1+O$1,0)</f>
        <v>2</v>
      </c>
      <c r="Q23" s="31">
        <f t="shared" si="20"/>
        <v>5</v>
      </c>
      <c r="R23" s="31">
        <f t="shared" si="138"/>
        <v>5</v>
      </c>
      <c r="S23" s="31">
        <f>VLOOKUP($A23,C_Sales!$A$4:$P$35,S$1+1,0)</f>
        <v>0</v>
      </c>
      <c r="T23" s="31">
        <f>VLOOKUP($A23,'Stock Transfer'!$A$3:$AE$32,1+S$1,0)</f>
        <v>2</v>
      </c>
      <c r="U23" s="31">
        <f t="shared" si="22"/>
        <v>7</v>
      </c>
      <c r="V23" s="31">
        <f t="shared" si="138"/>
        <v>7</v>
      </c>
      <c r="W23" s="31">
        <f>VLOOKUP($A23,C_Sales!$A$4:$P$35,W$1+1,0)</f>
        <v>0</v>
      </c>
      <c r="X23" s="31">
        <f>VLOOKUP($A23,'Stock Transfer'!$A$3:$AE$32,1+W$1,0)</f>
        <v>2</v>
      </c>
      <c r="Y23" s="31">
        <f t="shared" si="24"/>
        <v>9</v>
      </c>
      <c r="Z23" s="31">
        <f t="shared" si="138"/>
        <v>9</v>
      </c>
      <c r="AA23" s="31">
        <f>VLOOKUP($A23,C_Sales!$A$4:$P$35,AA$1+1,0)</f>
        <v>0</v>
      </c>
      <c r="AB23" s="31">
        <f>VLOOKUP($A23,'Stock Transfer'!$A$3:$AE$32,1+AA$1,0)</f>
        <v>2</v>
      </c>
      <c r="AC23" s="31">
        <f t="shared" si="26"/>
        <v>11</v>
      </c>
      <c r="AD23" s="31">
        <f t="shared" si="138"/>
        <v>11</v>
      </c>
      <c r="AE23" s="31">
        <f>VLOOKUP($A23,C_Sales!$A$4:$P$35,AE$1+1,0)</f>
        <v>1</v>
      </c>
      <c r="AF23" s="31">
        <f>VLOOKUP($A23,'Stock Transfer'!$A$3:$AE$32,1+AE$1,0)</f>
        <v>2</v>
      </c>
      <c r="AG23" s="31">
        <f t="shared" si="28"/>
        <v>12</v>
      </c>
      <c r="AH23" s="31">
        <f t="shared" si="138"/>
        <v>12</v>
      </c>
      <c r="AI23" s="31">
        <f>VLOOKUP($A23,C_Sales!$A$4:$P$35,AI$1+1,0)</f>
        <v>0</v>
      </c>
      <c r="AJ23" s="31">
        <f>VLOOKUP($A23,'Stock Transfer'!$A$3:$AE$32,1+AI$1,0)</f>
        <v>2</v>
      </c>
      <c r="AK23" s="31">
        <f t="shared" si="30"/>
        <v>14</v>
      </c>
      <c r="AL23" s="31">
        <f t="shared" ref="AL23:BE23" si="157">MAX(AK23,0)</f>
        <v>14</v>
      </c>
      <c r="AM23" s="31">
        <f>VLOOKUP($A23,C_Sales!$A$4:$P$35,AM$1+1,0)</f>
        <v>1</v>
      </c>
      <c r="AN23" s="31">
        <f>VLOOKUP($A23,'Stock Transfer'!$A$3:$AE$32,1+AM$1,0)</f>
        <v>2</v>
      </c>
      <c r="AO23" s="31">
        <f t="shared" si="32"/>
        <v>15</v>
      </c>
      <c r="AP23" s="31">
        <f t="shared" ref="AP23:BE23" si="158">MAX(AO23,0)</f>
        <v>15</v>
      </c>
      <c r="AQ23" s="31">
        <f>VLOOKUP($A23,C_Sales!$A$4:$P$35,AQ$1+1,0)</f>
        <v>0</v>
      </c>
      <c r="AR23" s="31">
        <f>VLOOKUP($A23,'Stock Transfer'!$A$3:$AE$32,1+AQ$1,0)</f>
        <v>2</v>
      </c>
      <c r="AS23" s="31">
        <f t="shared" si="34"/>
        <v>17</v>
      </c>
      <c r="AT23" s="31">
        <f t="shared" ref="AT23:BE23" si="159">MAX(AS23,0)</f>
        <v>17</v>
      </c>
      <c r="AU23" s="31">
        <f>VLOOKUP($A23,C_Sales!$A$4:$P$35,AU$1+1,0)</f>
        <v>0</v>
      </c>
      <c r="AV23" s="31">
        <f>VLOOKUP($A23,'Stock Transfer'!$A$3:$AE$32,1+AU$1,0)</f>
        <v>2</v>
      </c>
      <c r="AW23" s="31">
        <f t="shared" si="36"/>
        <v>19</v>
      </c>
      <c r="AX23" s="31">
        <f t="shared" ref="AX23:BE23" si="160">MAX(AW23,0)</f>
        <v>19</v>
      </c>
      <c r="AY23" s="31">
        <f>VLOOKUP($A23,C_Sales!$A$4:$P$35,AY$1+1,0)</f>
        <v>2</v>
      </c>
      <c r="AZ23" s="31">
        <f>VLOOKUP($A23,'Stock Transfer'!$A$3:$AE$32,1+AY$1,0)</f>
        <v>2</v>
      </c>
      <c r="BA23" s="31">
        <f t="shared" si="38"/>
        <v>19</v>
      </c>
      <c r="BB23" s="31">
        <f t="shared" ref="BB23:BE23" si="161">MAX(BA23,0)</f>
        <v>19</v>
      </c>
      <c r="BC23" s="31">
        <f>VLOOKUP($A23,C_Sales!$A$4:$P$35,BC$1+1,0)</f>
        <v>1</v>
      </c>
      <c r="BD23" s="31">
        <f>VLOOKUP($A23,'Stock Transfer'!$A$3:$AE$32,1+BC$1,0)</f>
        <v>2</v>
      </c>
      <c r="BE23" s="31">
        <f t="shared" si="40"/>
        <v>20</v>
      </c>
      <c r="BF23" s="31">
        <f t="shared" ref="BF23:BI23" si="162">MAX(BE23,0)</f>
        <v>20</v>
      </c>
      <c r="BG23" s="31">
        <f>VLOOKUP($A23,C_Sales!$A$4:$P$35,BG$1+1,0)</f>
        <v>0</v>
      </c>
      <c r="BH23" s="31">
        <f>VLOOKUP($A23,'Stock Transfer'!$A$3:$AE$32,1+BG$1,0)</f>
        <v>2</v>
      </c>
      <c r="BI23" s="31">
        <f t="shared" si="42"/>
        <v>22</v>
      </c>
    </row>
    <row r="24" spans="1:61" x14ac:dyDescent="0.3">
      <c r="A24" s="17" t="s">
        <v>6</v>
      </c>
      <c r="B24" s="31">
        <f>VLOOKUP($A24,'Open STK'!$A$1:$E$31,4,0)</f>
        <v>60</v>
      </c>
      <c r="C24" s="31">
        <f>VLOOKUP($A24,C_Sales!$A$4:$P$35,C$1+1,0)</f>
        <v>14</v>
      </c>
      <c r="D24" s="31">
        <f>VLOOKUP($A24,'Stock Transfer'!$A$3:$AE$32,1+C$1,0)</f>
        <v>7</v>
      </c>
      <c r="E24" s="31">
        <f t="shared" si="43"/>
        <v>53</v>
      </c>
      <c r="F24" s="31">
        <f t="shared" si="44"/>
        <v>53</v>
      </c>
      <c r="G24" s="31">
        <f>VLOOKUP($A24,C_Sales!$A$4:$P$35,G$1+1,0)</f>
        <v>10</v>
      </c>
      <c r="H24" s="31">
        <f>VLOOKUP($A24,'Stock Transfer'!$A$3:$AE$32,1+G$1,0)</f>
        <v>9</v>
      </c>
      <c r="I24" s="31">
        <f t="shared" si="45"/>
        <v>52</v>
      </c>
      <c r="J24" s="31">
        <f t="shared" si="46"/>
        <v>52</v>
      </c>
      <c r="K24" s="31">
        <f>VLOOKUP($A24,C_Sales!$A$4:$P$35,K$1+1,0)</f>
        <v>4</v>
      </c>
      <c r="L24" s="31">
        <f>VLOOKUP($A24,'Stock Transfer'!$A$3:$AE$32,1+K$1,0)</f>
        <v>5</v>
      </c>
      <c r="M24" s="31">
        <f t="shared" si="47"/>
        <v>53</v>
      </c>
      <c r="N24" s="31">
        <f t="shared" si="138"/>
        <v>53</v>
      </c>
      <c r="O24" s="31">
        <f>VLOOKUP($A24,C_Sales!$A$4:$P$35,O$1+1,0)</f>
        <v>8</v>
      </c>
      <c r="P24" s="31">
        <f>VLOOKUP($A24,'Stock Transfer'!$A$3:$AE$32,1+O$1,0)</f>
        <v>8</v>
      </c>
      <c r="Q24" s="31">
        <f t="shared" si="20"/>
        <v>53</v>
      </c>
      <c r="R24" s="31">
        <f t="shared" si="138"/>
        <v>53</v>
      </c>
      <c r="S24" s="31">
        <f>VLOOKUP($A24,C_Sales!$A$4:$P$35,S$1+1,0)</f>
        <v>2</v>
      </c>
      <c r="T24" s="31">
        <f>VLOOKUP($A24,'Stock Transfer'!$A$3:$AE$32,1+S$1,0)</f>
        <v>7</v>
      </c>
      <c r="U24" s="31">
        <f t="shared" si="22"/>
        <v>58</v>
      </c>
      <c r="V24" s="31">
        <f t="shared" si="138"/>
        <v>58</v>
      </c>
      <c r="W24" s="31">
        <f>VLOOKUP($A24,C_Sales!$A$4:$P$35,W$1+1,0)</f>
        <v>6</v>
      </c>
      <c r="X24" s="31">
        <f>VLOOKUP($A24,'Stock Transfer'!$A$3:$AE$32,1+W$1,0)</f>
        <v>9</v>
      </c>
      <c r="Y24" s="31">
        <f t="shared" si="24"/>
        <v>61</v>
      </c>
      <c r="Z24" s="31">
        <f t="shared" si="138"/>
        <v>61</v>
      </c>
      <c r="AA24" s="31">
        <f>VLOOKUP($A24,C_Sales!$A$4:$P$35,AA$1+1,0)</f>
        <v>11</v>
      </c>
      <c r="AB24" s="31">
        <f>VLOOKUP($A24,'Stock Transfer'!$A$3:$AE$32,1+AA$1,0)</f>
        <v>6</v>
      </c>
      <c r="AC24" s="31">
        <f t="shared" si="26"/>
        <v>56</v>
      </c>
      <c r="AD24" s="31">
        <f t="shared" si="138"/>
        <v>56</v>
      </c>
      <c r="AE24" s="31">
        <f>VLOOKUP($A24,C_Sales!$A$4:$P$35,AE$1+1,0)</f>
        <v>13</v>
      </c>
      <c r="AF24" s="31">
        <f>VLOOKUP($A24,'Stock Transfer'!$A$3:$AE$32,1+AE$1,0)</f>
        <v>11</v>
      </c>
      <c r="AG24" s="31">
        <f t="shared" si="28"/>
        <v>54</v>
      </c>
      <c r="AH24" s="31">
        <f t="shared" si="138"/>
        <v>54</v>
      </c>
      <c r="AI24" s="31">
        <f>VLOOKUP($A24,C_Sales!$A$4:$P$35,AI$1+1,0)</f>
        <v>14</v>
      </c>
      <c r="AJ24" s="31">
        <f>VLOOKUP($A24,'Stock Transfer'!$A$3:$AE$32,1+AI$1,0)</f>
        <v>7</v>
      </c>
      <c r="AK24" s="31">
        <f t="shared" si="30"/>
        <v>47</v>
      </c>
      <c r="AL24" s="31">
        <f t="shared" ref="AL24:BE24" si="163">MAX(AK24,0)</f>
        <v>47</v>
      </c>
      <c r="AM24" s="31">
        <f>VLOOKUP($A24,C_Sales!$A$4:$P$35,AM$1+1,0)</f>
        <v>2</v>
      </c>
      <c r="AN24" s="31">
        <f>VLOOKUP($A24,'Stock Transfer'!$A$3:$AE$32,1+AM$1,0)</f>
        <v>9</v>
      </c>
      <c r="AO24" s="31">
        <f t="shared" si="32"/>
        <v>54</v>
      </c>
      <c r="AP24" s="31">
        <f t="shared" ref="AP24:BE24" si="164">MAX(AO24,0)</f>
        <v>54</v>
      </c>
      <c r="AQ24" s="31">
        <f>VLOOKUP($A24,C_Sales!$A$4:$P$35,AQ$1+1,0)</f>
        <v>11</v>
      </c>
      <c r="AR24" s="31">
        <f>VLOOKUP($A24,'Stock Transfer'!$A$3:$AE$32,1+AQ$1,0)</f>
        <v>9</v>
      </c>
      <c r="AS24" s="31">
        <f t="shared" si="34"/>
        <v>52</v>
      </c>
      <c r="AT24" s="31">
        <f t="shared" ref="AT24:BE24" si="165">MAX(AS24,0)</f>
        <v>52</v>
      </c>
      <c r="AU24" s="31">
        <f>VLOOKUP($A24,C_Sales!$A$4:$P$35,AU$1+1,0)</f>
        <v>3</v>
      </c>
      <c r="AV24" s="31">
        <f>VLOOKUP($A24,'Stock Transfer'!$A$3:$AE$32,1+AU$1,0)</f>
        <v>8</v>
      </c>
      <c r="AW24" s="31">
        <f t="shared" si="36"/>
        <v>57</v>
      </c>
      <c r="AX24" s="31">
        <f t="shared" ref="AX24:BE24" si="166">MAX(AW24,0)</f>
        <v>57</v>
      </c>
      <c r="AY24" s="31">
        <f>VLOOKUP($A24,C_Sales!$A$4:$P$35,AY$1+1,0)</f>
        <v>8</v>
      </c>
      <c r="AZ24" s="31">
        <f>VLOOKUP($A24,'Stock Transfer'!$A$3:$AE$32,1+AY$1,0)</f>
        <v>6</v>
      </c>
      <c r="BA24" s="31">
        <f t="shared" si="38"/>
        <v>55</v>
      </c>
      <c r="BB24" s="31">
        <f t="shared" ref="BB24:BE24" si="167">MAX(BA24,0)</f>
        <v>55</v>
      </c>
      <c r="BC24" s="31">
        <f>VLOOKUP($A24,C_Sales!$A$4:$P$35,BC$1+1,0)</f>
        <v>10</v>
      </c>
      <c r="BD24" s="31">
        <f>VLOOKUP($A24,'Stock Transfer'!$A$3:$AE$32,1+BC$1,0)</f>
        <v>9</v>
      </c>
      <c r="BE24" s="31">
        <f t="shared" si="40"/>
        <v>54</v>
      </c>
      <c r="BF24" s="31">
        <f t="shared" ref="BF24:BI24" si="168">MAX(BE24,0)</f>
        <v>54</v>
      </c>
      <c r="BG24" s="31">
        <f>VLOOKUP($A24,C_Sales!$A$4:$P$35,BG$1+1,0)</f>
        <v>12</v>
      </c>
      <c r="BH24" s="31">
        <f>VLOOKUP($A24,'Stock Transfer'!$A$3:$AE$32,1+BG$1,0)</f>
        <v>8</v>
      </c>
      <c r="BI24" s="31">
        <f t="shared" si="42"/>
        <v>50</v>
      </c>
    </row>
    <row r="25" spans="1:61" x14ac:dyDescent="0.3">
      <c r="A25" s="17" t="s">
        <v>9</v>
      </c>
      <c r="B25" s="31">
        <f>VLOOKUP($A25,'Open STK'!$A$1:$E$31,4,0)</f>
        <v>33</v>
      </c>
      <c r="C25" s="31">
        <f>VLOOKUP($A25,C_Sales!$A$4:$P$35,C$1+1,0)</f>
        <v>9</v>
      </c>
      <c r="D25" s="31">
        <f>VLOOKUP($A25,'Stock Transfer'!$A$3:$AE$32,1+C$1,0)</f>
        <v>4</v>
      </c>
      <c r="E25" s="31">
        <f t="shared" si="43"/>
        <v>28</v>
      </c>
      <c r="F25" s="31">
        <f t="shared" si="44"/>
        <v>28</v>
      </c>
      <c r="G25" s="31">
        <f>VLOOKUP($A25,C_Sales!$A$4:$P$35,G$1+1,0)</f>
        <v>7</v>
      </c>
      <c r="H25" s="31">
        <f>VLOOKUP($A25,'Stock Transfer'!$A$3:$AE$32,1+G$1,0)</f>
        <v>7</v>
      </c>
      <c r="I25" s="31">
        <f t="shared" si="45"/>
        <v>28</v>
      </c>
      <c r="J25" s="31">
        <f t="shared" si="46"/>
        <v>28</v>
      </c>
      <c r="K25" s="31">
        <f>VLOOKUP($A25,C_Sales!$A$4:$P$35,K$1+1,0)</f>
        <v>4</v>
      </c>
      <c r="L25" s="31">
        <f>VLOOKUP($A25,'Stock Transfer'!$A$3:$AE$32,1+K$1,0)</f>
        <v>6</v>
      </c>
      <c r="M25" s="31">
        <f t="shared" si="47"/>
        <v>30</v>
      </c>
      <c r="N25" s="31">
        <f t="shared" si="138"/>
        <v>30</v>
      </c>
      <c r="O25" s="31">
        <f>VLOOKUP($A25,C_Sales!$A$4:$P$35,O$1+1,0)</f>
        <v>8</v>
      </c>
      <c r="P25" s="31">
        <f>VLOOKUP($A25,'Stock Transfer'!$A$3:$AE$32,1+O$1,0)</f>
        <v>5</v>
      </c>
      <c r="Q25" s="31">
        <f t="shared" si="20"/>
        <v>27</v>
      </c>
      <c r="R25" s="31">
        <f t="shared" si="138"/>
        <v>27</v>
      </c>
      <c r="S25" s="31">
        <f>VLOOKUP($A25,C_Sales!$A$4:$P$35,S$1+1,0)</f>
        <v>5</v>
      </c>
      <c r="T25" s="31">
        <f>VLOOKUP($A25,'Stock Transfer'!$A$3:$AE$32,1+S$1,0)</f>
        <v>5</v>
      </c>
      <c r="U25" s="31">
        <f t="shared" si="22"/>
        <v>27</v>
      </c>
      <c r="V25" s="31">
        <f t="shared" si="138"/>
        <v>27</v>
      </c>
      <c r="W25" s="31">
        <f>VLOOKUP($A25,C_Sales!$A$4:$P$35,W$1+1,0)</f>
        <v>5</v>
      </c>
      <c r="X25" s="31">
        <f>VLOOKUP($A25,'Stock Transfer'!$A$3:$AE$32,1+W$1,0)</f>
        <v>7</v>
      </c>
      <c r="Y25" s="31">
        <f t="shared" si="24"/>
        <v>29</v>
      </c>
      <c r="Z25" s="31">
        <f t="shared" si="138"/>
        <v>29</v>
      </c>
      <c r="AA25" s="31">
        <f>VLOOKUP($A25,C_Sales!$A$4:$P$35,AA$1+1,0)</f>
        <v>1</v>
      </c>
      <c r="AB25" s="31">
        <f>VLOOKUP($A25,'Stock Transfer'!$A$3:$AE$32,1+AA$1,0)</f>
        <v>7</v>
      </c>
      <c r="AC25" s="31">
        <f t="shared" si="26"/>
        <v>35</v>
      </c>
      <c r="AD25" s="31">
        <f t="shared" si="138"/>
        <v>35</v>
      </c>
      <c r="AE25" s="31">
        <f>VLOOKUP($A25,C_Sales!$A$4:$P$35,AE$1+1,0)</f>
        <v>6</v>
      </c>
      <c r="AF25" s="31">
        <f>VLOOKUP($A25,'Stock Transfer'!$A$3:$AE$32,1+AE$1,0)</f>
        <v>5</v>
      </c>
      <c r="AG25" s="31">
        <f t="shared" si="28"/>
        <v>34</v>
      </c>
      <c r="AH25" s="31">
        <f t="shared" si="138"/>
        <v>34</v>
      </c>
      <c r="AI25" s="31">
        <f>VLOOKUP($A25,C_Sales!$A$4:$P$35,AI$1+1,0)</f>
        <v>6</v>
      </c>
      <c r="AJ25" s="31">
        <f>VLOOKUP($A25,'Stock Transfer'!$A$3:$AE$32,1+AI$1,0)</f>
        <v>8</v>
      </c>
      <c r="AK25" s="31">
        <f t="shared" si="30"/>
        <v>36</v>
      </c>
      <c r="AL25" s="31">
        <f t="shared" ref="AL25:BE25" si="169">MAX(AK25,0)</f>
        <v>36</v>
      </c>
      <c r="AM25" s="31">
        <f>VLOOKUP($A25,C_Sales!$A$4:$P$35,AM$1+1,0)</f>
        <v>5</v>
      </c>
      <c r="AN25" s="31">
        <f>VLOOKUP($A25,'Stock Transfer'!$A$3:$AE$32,1+AM$1,0)</f>
        <v>6</v>
      </c>
      <c r="AO25" s="31">
        <f t="shared" si="32"/>
        <v>37</v>
      </c>
      <c r="AP25" s="31">
        <f t="shared" ref="AP25:BE25" si="170">MAX(AO25,0)</f>
        <v>37</v>
      </c>
      <c r="AQ25" s="31">
        <f>VLOOKUP($A25,C_Sales!$A$4:$P$35,AQ$1+1,0)</f>
        <v>6</v>
      </c>
      <c r="AR25" s="31">
        <f>VLOOKUP($A25,'Stock Transfer'!$A$3:$AE$32,1+AQ$1,0)</f>
        <v>6</v>
      </c>
      <c r="AS25" s="31">
        <f t="shared" si="34"/>
        <v>37</v>
      </c>
      <c r="AT25" s="31">
        <f t="shared" ref="AT25:BE25" si="171">MAX(AS25,0)</f>
        <v>37</v>
      </c>
      <c r="AU25" s="31">
        <f>VLOOKUP($A25,C_Sales!$A$4:$P$35,AU$1+1,0)</f>
        <v>6</v>
      </c>
      <c r="AV25" s="31">
        <f>VLOOKUP($A25,'Stock Transfer'!$A$3:$AE$32,1+AU$1,0)</f>
        <v>7</v>
      </c>
      <c r="AW25" s="31">
        <f t="shared" si="36"/>
        <v>38</v>
      </c>
      <c r="AX25" s="31">
        <f t="shared" ref="AX25:BE25" si="172">MAX(AW25,0)</f>
        <v>38</v>
      </c>
      <c r="AY25" s="31">
        <f>VLOOKUP($A25,C_Sales!$A$4:$P$35,AY$1+1,0)</f>
        <v>5</v>
      </c>
      <c r="AZ25" s="31">
        <f>VLOOKUP($A25,'Stock Transfer'!$A$3:$AE$32,1+AY$1,0)</f>
        <v>6</v>
      </c>
      <c r="BA25" s="31">
        <f t="shared" si="38"/>
        <v>39</v>
      </c>
      <c r="BB25" s="31">
        <f t="shared" ref="BB25:BE25" si="173">MAX(BA25,0)</f>
        <v>39</v>
      </c>
      <c r="BC25" s="31">
        <f>VLOOKUP($A25,C_Sales!$A$4:$P$35,BC$1+1,0)</f>
        <v>6</v>
      </c>
      <c r="BD25" s="31">
        <f>VLOOKUP($A25,'Stock Transfer'!$A$3:$AE$32,1+BC$1,0)</f>
        <v>5</v>
      </c>
      <c r="BE25" s="31">
        <f t="shared" si="40"/>
        <v>38</v>
      </c>
      <c r="BF25" s="31">
        <f t="shared" ref="BF25:BI25" si="174">MAX(BE25,0)</f>
        <v>38</v>
      </c>
      <c r="BG25" s="31">
        <f>VLOOKUP($A25,C_Sales!$A$4:$P$35,BG$1+1,0)</f>
        <v>5</v>
      </c>
      <c r="BH25" s="31">
        <f>VLOOKUP($A25,'Stock Transfer'!$A$3:$AE$32,1+BG$1,0)</f>
        <v>7</v>
      </c>
      <c r="BI25" s="31">
        <f t="shared" si="42"/>
        <v>40</v>
      </c>
    </row>
    <row r="26" spans="1:61" x14ac:dyDescent="0.3">
      <c r="A26" s="17" t="s">
        <v>12</v>
      </c>
      <c r="B26" s="31">
        <f>VLOOKUP($A26,'Open STK'!$A$1:$E$31,4,0)</f>
        <v>18</v>
      </c>
      <c r="C26" s="31">
        <f>VLOOKUP($A26,C_Sales!$A$4:$P$35,C$1+1,0)</f>
        <v>6</v>
      </c>
      <c r="D26" s="31">
        <f>VLOOKUP($A26,'Stock Transfer'!$A$3:$AE$32,1+C$1,0)</f>
        <v>6</v>
      </c>
      <c r="E26" s="31">
        <f t="shared" si="43"/>
        <v>18</v>
      </c>
      <c r="F26" s="31">
        <f t="shared" si="44"/>
        <v>18</v>
      </c>
      <c r="G26" s="31">
        <f>VLOOKUP($A26,C_Sales!$A$4:$P$35,G$1+1,0)</f>
        <v>6</v>
      </c>
      <c r="H26" s="31">
        <f>VLOOKUP($A26,'Stock Transfer'!$A$3:$AE$32,1+G$1,0)</f>
        <v>4</v>
      </c>
      <c r="I26" s="31">
        <f t="shared" si="45"/>
        <v>16</v>
      </c>
      <c r="J26" s="31">
        <f t="shared" si="46"/>
        <v>16</v>
      </c>
      <c r="K26" s="31">
        <f>VLOOKUP($A26,C_Sales!$A$4:$P$35,K$1+1,0)</f>
        <v>4</v>
      </c>
      <c r="L26" s="31">
        <f>VLOOKUP($A26,'Stock Transfer'!$A$3:$AE$32,1+K$1,0)</f>
        <v>5</v>
      </c>
      <c r="M26" s="31">
        <f t="shared" si="47"/>
        <v>17</v>
      </c>
      <c r="N26" s="31">
        <f t="shared" si="138"/>
        <v>17</v>
      </c>
      <c r="O26" s="31">
        <f>VLOOKUP($A26,C_Sales!$A$4:$P$35,O$1+1,0)</f>
        <v>2</v>
      </c>
      <c r="P26" s="31">
        <f>VLOOKUP($A26,'Stock Transfer'!$A$3:$AE$32,1+O$1,0)</f>
        <v>5</v>
      </c>
      <c r="Q26" s="31">
        <f t="shared" si="20"/>
        <v>20</v>
      </c>
      <c r="R26" s="31">
        <f t="shared" si="138"/>
        <v>20</v>
      </c>
      <c r="S26" s="31">
        <f>VLOOKUP($A26,C_Sales!$A$4:$P$35,S$1+1,0)</f>
        <v>4</v>
      </c>
      <c r="T26" s="31">
        <f>VLOOKUP($A26,'Stock Transfer'!$A$3:$AE$32,1+S$1,0)</f>
        <v>5</v>
      </c>
      <c r="U26" s="31">
        <f t="shared" si="22"/>
        <v>21</v>
      </c>
      <c r="V26" s="31">
        <f t="shared" si="138"/>
        <v>21</v>
      </c>
      <c r="W26" s="31">
        <f>VLOOKUP($A26,C_Sales!$A$4:$P$35,W$1+1,0)</f>
        <v>3</v>
      </c>
      <c r="X26" s="31">
        <f>VLOOKUP($A26,'Stock Transfer'!$A$3:$AE$32,1+W$1,0)</f>
        <v>6</v>
      </c>
      <c r="Y26" s="31">
        <f t="shared" si="24"/>
        <v>24</v>
      </c>
      <c r="Z26" s="31">
        <f t="shared" si="138"/>
        <v>24</v>
      </c>
      <c r="AA26" s="31">
        <f>VLOOKUP($A26,C_Sales!$A$4:$P$35,AA$1+1,0)</f>
        <v>6</v>
      </c>
      <c r="AB26" s="31">
        <f>VLOOKUP($A26,'Stock Transfer'!$A$3:$AE$32,1+AA$1,0)</f>
        <v>4</v>
      </c>
      <c r="AC26" s="31">
        <f t="shared" si="26"/>
        <v>22</v>
      </c>
      <c r="AD26" s="31">
        <f t="shared" si="138"/>
        <v>22</v>
      </c>
      <c r="AE26" s="31">
        <f>VLOOKUP($A26,C_Sales!$A$4:$P$35,AE$1+1,0)</f>
        <v>6</v>
      </c>
      <c r="AF26" s="31">
        <f>VLOOKUP($A26,'Stock Transfer'!$A$3:$AE$32,1+AE$1,0)</f>
        <v>5</v>
      </c>
      <c r="AG26" s="31">
        <f t="shared" si="28"/>
        <v>21</v>
      </c>
      <c r="AH26" s="31">
        <f t="shared" si="138"/>
        <v>21</v>
      </c>
      <c r="AI26" s="31">
        <f>VLOOKUP($A26,C_Sales!$A$4:$P$35,AI$1+1,0)</f>
        <v>6</v>
      </c>
      <c r="AJ26" s="31">
        <f>VLOOKUP($A26,'Stock Transfer'!$A$3:$AE$32,1+AI$1,0)</f>
        <v>4</v>
      </c>
      <c r="AK26" s="31">
        <f t="shared" si="30"/>
        <v>19</v>
      </c>
      <c r="AL26" s="31">
        <f t="shared" ref="AL26:BE26" si="175">MAX(AK26,0)</f>
        <v>19</v>
      </c>
      <c r="AM26" s="31">
        <f>VLOOKUP($A26,C_Sales!$A$4:$P$35,AM$1+1,0)</f>
        <v>3</v>
      </c>
      <c r="AN26" s="31">
        <f>VLOOKUP($A26,'Stock Transfer'!$A$3:$AE$32,1+AM$1,0)</f>
        <v>4</v>
      </c>
      <c r="AO26" s="31">
        <f t="shared" si="32"/>
        <v>20</v>
      </c>
      <c r="AP26" s="31">
        <f t="shared" ref="AP26:BE26" si="176">MAX(AO26,0)</f>
        <v>20</v>
      </c>
      <c r="AQ26" s="31">
        <f>VLOOKUP($A26,C_Sales!$A$4:$P$35,AQ$1+1,0)</f>
        <v>5</v>
      </c>
      <c r="AR26" s="31">
        <f>VLOOKUP($A26,'Stock Transfer'!$A$3:$AE$32,1+AQ$1,0)</f>
        <v>5</v>
      </c>
      <c r="AS26" s="31">
        <f t="shared" si="34"/>
        <v>20</v>
      </c>
      <c r="AT26" s="31">
        <f t="shared" ref="AT26:BE26" si="177">MAX(AS26,0)</f>
        <v>20</v>
      </c>
      <c r="AU26" s="31">
        <f>VLOOKUP($A26,C_Sales!$A$4:$P$35,AU$1+1,0)</f>
        <v>2</v>
      </c>
      <c r="AV26" s="31">
        <f>VLOOKUP($A26,'Stock Transfer'!$A$3:$AE$32,1+AU$1,0)</f>
        <v>5</v>
      </c>
      <c r="AW26" s="31">
        <f t="shared" si="36"/>
        <v>23</v>
      </c>
      <c r="AX26" s="31">
        <f t="shared" ref="AX26:BE26" si="178">MAX(AW26,0)</f>
        <v>23</v>
      </c>
      <c r="AY26" s="31">
        <f>VLOOKUP($A26,C_Sales!$A$4:$P$35,AY$1+1,0)</f>
        <v>6</v>
      </c>
      <c r="AZ26" s="31">
        <f>VLOOKUP($A26,'Stock Transfer'!$A$3:$AE$32,1+AY$1,0)</f>
        <v>4</v>
      </c>
      <c r="BA26" s="31">
        <f t="shared" si="38"/>
        <v>21</v>
      </c>
      <c r="BB26" s="31">
        <f t="shared" ref="BB26:BE26" si="179">MAX(BA26,0)</f>
        <v>21</v>
      </c>
      <c r="BC26" s="31">
        <f>VLOOKUP($A26,C_Sales!$A$4:$P$35,BC$1+1,0)</f>
        <v>5</v>
      </c>
      <c r="BD26" s="31">
        <f>VLOOKUP($A26,'Stock Transfer'!$A$3:$AE$32,1+BC$1,0)</f>
        <v>6</v>
      </c>
      <c r="BE26" s="31">
        <f t="shared" si="40"/>
        <v>22</v>
      </c>
      <c r="BF26" s="31">
        <f t="shared" ref="BF26:BI26" si="180">MAX(BE26,0)</f>
        <v>22</v>
      </c>
      <c r="BG26" s="31">
        <f>VLOOKUP($A26,C_Sales!$A$4:$P$35,BG$1+1,0)</f>
        <v>3</v>
      </c>
      <c r="BH26" s="31">
        <f>VLOOKUP($A26,'Stock Transfer'!$A$3:$AE$32,1+BG$1,0)</f>
        <v>6</v>
      </c>
      <c r="BI26" s="31">
        <f t="shared" si="42"/>
        <v>25</v>
      </c>
    </row>
    <row r="27" spans="1:61" x14ac:dyDescent="0.3">
      <c r="A27" s="17" t="s">
        <v>15</v>
      </c>
      <c r="B27" s="31">
        <f>VLOOKUP($A27,'Open STK'!$A$1:$E$31,4,0)</f>
        <v>14</v>
      </c>
      <c r="C27" s="31">
        <f>VLOOKUP($A27,C_Sales!$A$4:$P$35,C$1+1,0)</f>
        <v>5</v>
      </c>
      <c r="D27" s="31">
        <f>VLOOKUP($A27,'Stock Transfer'!$A$3:$AE$32,1+C$1,0)</f>
        <v>6</v>
      </c>
      <c r="E27" s="31">
        <f t="shared" si="43"/>
        <v>15</v>
      </c>
      <c r="F27" s="31">
        <f t="shared" si="44"/>
        <v>15</v>
      </c>
      <c r="G27" s="31">
        <f>VLOOKUP($A27,C_Sales!$A$4:$P$35,G$1+1,0)</f>
        <v>5</v>
      </c>
      <c r="H27" s="31">
        <f>VLOOKUP($A27,'Stock Transfer'!$A$3:$AE$32,1+G$1,0)</f>
        <v>5</v>
      </c>
      <c r="I27" s="31">
        <f t="shared" si="45"/>
        <v>15</v>
      </c>
      <c r="J27" s="31">
        <f t="shared" si="46"/>
        <v>15</v>
      </c>
      <c r="K27" s="31">
        <f>VLOOKUP($A27,C_Sales!$A$4:$P$35,K$1+1,0)</f>
        <v>4</v>
      </c>
      <c r="L27" s="31">
        <f>VLOOKUP($A27,'Stock Transfer'!$A$3:$AE$32,1+K$1,0)</f>
        <v>4</v>
      </c>
      <c r="M27" s="31">
        <f t="shared" si="47"/>
        <v>15</v>
      </c>
      <c r="N27" s="31">
        <f t="shared" si="138"/>
        <v>15</v>
      </c>
      <c r="O27" s="31">
        <f>VLOOKUP($A27,C_Sales!$A$4:$P$35,O$1+1,0)</f>
        <v>5</v>
      </c>
      <c r="P27" s="31">
        <f>VLOOKUP($A27,'Stock Transfer'!$A$3:$AE$32,1+O$1,0)</f>
        <v>5</v>
      </c>
      <c r="Q27" s="31">
        <f t="shared" si="20"/>
        <v>15</v>
      </c>
      <c r="R27" s="31">
        <f t="shared" si="138"/>
        <v>15</v>
      </c>
      <c r="S27" s="31">
        <f>VLOOKUP($A27,C_Sales!$A$4:$P$35,S$1+1,0)</f>
        <v>2</v>
      </c>
      <c r="T27" s="31">
        <f>VLOOKUP($A27,'Stock Transfer'!$A$3:$AE$32,1+S$1,0)</f>
        <v>5</v>
      </c>
      <c r="U27" s="31">
        <f t="shared" si="22"/>
        <v>18</v>
      </c>
      <c r="V27" s="31">
        <f t="shared" si="138"/>
        <v>18</v>
      </c>
      <c r="W27" s="31">
        <f>VLOOKUP($A27,C_Sales!$A$4:$P$35,W$1+1,0)</f>
        <v>5</v>
      </c>
      <c r="X27" s="31">
        <f>VLOOKUP($A27,'Stock Transfer'!$A$3:$AE$32,1+W$1,0)</f>
        <v>5</v>
      </c>
      <c r="Y27" s="31">
        <f t="shared" si="24"/>
        <v>18</v>
      </c>
      <c r="Z27" s="31">
        <f t="shared" si="138"/>
        <v>18</v>
      </c>
      <c r="AA27" s="31">
        <f>VLOOKUP($A27,C_Sales!$A$4:$P$35,AA$1+1,0)</f>
        <v>3</v>
      </c>
      <c r="AB27" s="31">
        <f>VLOOKUP($A27,'Stock Transfer'!$A$3:$AE$32,1+AA$1,0)</f>
        <v>5</v>
      </c>
      <c r="AC27" s="31">
        <f t="shared" si="26"/>
        <v>20</v>
      </c>
      <c r="AD27" s="31">
        <f t="shared" si="138"/>
        <v>20</v>
      </c>
      <c r="AE27" s="31">
        <f>VLOOKUP($A27,C_Sales!$A$4:$P$35,AE$1+1,0)</f>
        <v>4</v>
      </c>
      <c r="AF27" s="31">
        <f>VLOOKUP($A27,'Stock Transfer'!$A$3:$AE$32,1+AE$1,0)</f>
        <v>4</v>
      </c>
      <c r="AG27" s="31">
        <f t="shared" si="28"/>
        <v>20</v>
      </c>
      <c r="AH27" s="31">
        <f t="shared" si="138"/>
        <v>20</v>
      </c>
      <c r="AI27" s="31">
        <f>VLOOKUP($A27,C_Sales!$A$4:$P$35,AI$1+1,0)</f>
        <v>6</v>
      </c>
      <c r="AJ27" s="31">
        <f>VLOOKUP($A27,'Stock Transfer'!$A$3:$AE$32,1+AI$1,0)</f>
        <v>4</v>
      </c>
      <c r="AK27" s="31">
        <f t="shared" si="30"/>
        <v>18</v>
      </c>
      <c r="AL27" s="31">
        <f t="shared" ref="AL27:BE27" si="181">MAX(AK27,0)</f>
        <v>18</v>
      </c>
      <c r="AM27" s="31">
        <f>VLOOKUP($A27,C_Sales!$A$4:$P$35,AM$1+1,0)</f>
        <v>4</v>
      </c>
      <c r="AN27" s="31">
        <f>VLOOKUP($A27,'Stock Transfer'!$A$3:$AE$32,1+AM$1,0)</f>
        <v>4</v>
      </c>
      <c r="AO27" s="31">
        <f t="shared" si="32"/>
        <v>18</v>
      </c>
      <c r="AP27" s="31">
        <f t="shared" ref="AP27:BE27" si="182">MAX(AO27,0)</f>
        <v>18</v>
      </c>
      <c r="AQ27" s="31">
        <f>VLOOKUP($A27,C_Sales!$A$4:$P$35,AQ$1+1,0)</f>
        <v>3</v>
      </c>
      <c r="AR27" s="31">
        <f>VLOOKUP($A27,'Stock Transfer'!$A$3:$AE$32,1+AQ$1,0)</f>
        <v>6</v>
      </c>
      <c r="AS27" s="31">
        <f t="shared" si="34"/>
        <v>21</v>
      </c>
      <c r="AT27" s="31">
        <f t="shared" ref="AT27:BE27" si="183">MAX(AS27,0)</f>
        <v>21</v>
      </c>
      <c r="AU27" s="31">
        <f>VLOOKUP($A27,C_Sales!$A$4:$P$35,AU$1+1,0)</f>
        <v>5</v>
      </c>
      <c r="AV27" s="31">
        <f>VLOOKUP($A27,'Stock Transfer'!$A$3:$AE$32,1+AU$1,0)</f>
        <v>6</v>
      </c>
      <c r="AW27" s="31">
        <f t="shared" si="36"/>
        <v>22</v>
      </c>
      <c r="AX27" s="31">
        <f t="shared" ref="AX27:BE27" si="184">MAX(AW27,0)</f>
        <v>22</v>
      </c>
      <c r="AY27" s="31">
        <f>VLOOKUP($A27,C_Sales!$A$4:$P$35,AY$1+1,0)</f>
        <v>6</v>
      </c>
      <c r="AZ27" s="31">
        <f>VLOOKUP($A27,'Stock Transfer'!$A$3:$AE$32,1+AY$1,0)</f>
        <v>5</v>
      </c>
      <c r="BA27" s="31">
        <f t="shared" si="38"/>
        <v>21</v>
      </c>
      <c r="BB27" s="31">
        <f t="shared" ref="BB27:BE27" si="185">MAX(BA27,0)</f>
        <v>21</v>
      </c>
      <c r="BC27" s="31">
        <f>VLOOKUP($A27,C_Sales!$A$4:$P$35,BC$1+1,0)</f>
        <v>2</v>
      </c>
      <c r="BD27" s="31">
        <f>VLOOKUP($A27,'Stock Transfer'!$A$3:$AE$32,1+BC$1,0)</f>
        <v>4</v>
      </c>
      <c r="BE27" s="31">
        <f t="shared" si="40"/>
        <v>23</v>
      </c>
      <c r="BF27" s="31">
        <f t="shared" ref="BF27:BI27" si="186">MAX(BE27,0)</f>
        <v>23</v>
      </c>
      <c r="BG27" s="31">
        <f>VLOOKUP($A27,C_Sales!$A$4:$P$35,BG$1+1,0)</f>
        <v>4</v>
      </c>
      <c r="BH27" s="31">
        <f>VLOOKUP($A27,'Stock Transfer'!$A$3:$AE$32,1+BG$1,0)</f>
        <v>4</v>
      </c>
      <c r="BI27" s="31">
        <f t="shared" si="42"/>
        <v>23</v>
      </c>
    </row>
    <row r="28" spans="1:61" x14ac:dyDescent="0.3">
      <c r="A28" s="17" t="s">
        <v>17</v>
      </c>
      <c r="B28" s="31">
        <f>VLOOKUP($A28,'Open STK'!$A$1:$E$31,4,0)</f>
        <v>9</v>
      </c>
      <c r="C28" s="31">
        <f>VLOOKUP($A28,C_Sales!$A$4:$P$35,C$1+1,0)</f>
        <v>2</v>
      </c>
      <c r="D28" s="31">
        <f>VLOOKUP($A28,'Stock Transfer'!$A$3:$AE$32,1+C$1,0)</f>
        <v>3</v>
      </c>
      <c r="E28" s="31">
        <f t="shared" si="43"/>
        <v>10</v>
      </c>
      <c r="F28" s="31">
        <f t="shared" si="44"/>
        <v>10</v>
      </c>
      <c r="G28" s="31">
        <f>VLOOKUP($A28,C_Sales!$A$4:$P$35,G$1+1,0)</f>
        <v>1</v>
      </c>
      <c r="H28" s="31">
        <f>VLOOKUP($A28,'Stock Transfer'!$A$3:$AE$32,1+G$1,0)</f>
        <v>3</v>
      </c>
      <c r="I28" s="31">
        <f t="shared" si="45"/>
        <v>12</v>
      </c>
      <c r="J28" s="31">
        <f t="shared" si="46"/>
        <v>12</v>
      </c>
      <c r="K28" s="31">
        <f>VLOOKUP($A28,C_Sales!$A$4:$P$35,K$1+1,0)</f>
        <v>3</v>
      </c>
      <c r="L28" s="31">
        <f>VLOOKUP($A28,'Stock Transfer'!$A$3:$AE$32,1+K$1,0)</f>
        <v>3</v>
      </c>
      <c r="M28" s="31">
        <f t="shared" si="47"/>
        <v>12</v>
      </c>
      <c r="N28" s="31">
        <f t="shared" si="138"/>
        <v>12</v>
      </c>
      <c r="O28" s="31">
        <f>VLOOKUP($A28,C_Sales!$A$4:$P$35,O$1+1,0)</f>
        <v>2</v>
      </c>
      <c r="P28" s="31">
        <f>VLOOKUP($A28,'Stock Transfer'!$A$3:$AE$32,1+O$1,0)</f>
        <v>3</v>
      </c>
      <c r="Q28" s="31">
        <f t="shared" si="20"/>
        <v>13</v>
      </c>
      <c r="R28" s="31">
        <f t="shared" si="138"/>
        <v>13</v>
      </c>
      <c r="S28" s="31">
        <f>VLOOKUP($A28,C_Sales!$A$4:$P$35,S$1+1,0)</f>
        <v>2</v>
      </c>
      <c r="T28" s="31">
        <f>VLOOKUP($A28,'Stock Transfer'!$A$3:$AE$32,1+S$1,0)</f>
        <v>4</v>
      </c>
      <c r="U28" s="31">
        <f t="shared" si="22"/>
        <v>15</v>
      </c>
      <c r="V28" s="31">
        <f t="shared" si="138"/>
        <v>15</v>
      </c>
      <c r="W28" s="31">
        <f>VLOOKUP($A28,C_Sales!$A$4:$P$35,W$1+1,0)</f>
        <v>4</v>
      </c>
      <c r="X28" s="31">
        <f>VLOOKUP($A28,'Stock Transfer'!$A$3:$AE$32,1+W$1,0)</f>
        <v>4</v>
      </c>
      <c r="Y28" s="31">
        <f t="shared" si="24"/>
        <v>15</v>
      </c>
      <c r="Z28" s="31">
        <f t="shared" si="138"/>
        <v>15</v>
      </c>
      <c r="AA28" s="31">
        <f>VLOOKUP($A28,C_Sales!$A$4:$P$35,AA$1+1,0)</f>
        <v>3</v>
      </c>
      <c r="AB28" s="31">
        <f>VLOOKUP($A28,'Stock Transfer'!$A$3:$AE$32,1+AA$1,0)</f>
        <v>3</v>
      </c>
      <c r="AC28" s="31">
        <f t="shared" si="26"/>
        <v>15</v>
      </c>
      <c r="AD28" s="31">
        <f t="shared" si="138"/>
        <v>15</v>
      </c>
      <c r="AE28" s="31">
        <f>VLOOKUP($A28,C_Sales!$A$4:$P$35,AE$1+1,0)</f>
        <v>5</v>
      </c>
      <c r="AF28" s="31">
        <f>VLOOKUP($A28,'Stock Transfer'!$A$3:$AE$32,1+AE$1,0)</f>
        <v>5</v>
      </c>
      <c r="AG28" s="31">
        <f t="shared" si="28"/>
        <v>15</v>
      </c>
      <c r="AH28" s="31">
        <f t="shared" si="138"/>
        <v>15</v>
      </c>
      <c r="AI28" s="31">
        <f>VLOOKUP($A28,C_Sales!$A$4:$P$35,AI$1+1,0)</f>
        <v>4</v>
      </c>
      <c r="AJ28" s="31">
        <f>VLOOKUP($A28,'Stock Transfer'!$A$3:$AE$32,1+AI$1,0)</f>
        <v>4</v>
      </c>
      <c r="AK28" s="31">
        <f t="shared" si="30"/>
        <v>15</v>
      </c>
      <c r="AL28" s="31">
        <f t="shared" ref="AL28:BE28" si="187">MAX(AK28,0)</f>
        <v>15</v>
      </c>
      <c r="AM28" s="31">
        <f>VLOOKUP($A28,C_Sales!$A$4:$P$35,AM$1+1,0)</f>
        <v>3</v>
      </c>
      <c r="AN28" s="31">
        <f>VLOOKUP($A28,'Stock Transfer'!$A$3:$AE$32,1+AM$1,0)</f>
        <v>5</v>
      </c>
      <c r="AO28" s="31">
        <f t="shared" si="32"/>
        <v>17</v>
      </c>
      <c r="AP28" s="31">
        <f t="shared" ref="AP28:BE28" si="188">MAX(AO28,0)</f>
        <v>17</v>
      </c>
      <c r="AQ28" s="31">
        <f>VLOOKUP($A28,C_Sales!$A$4:$P$35,AQ$1+1,0)</f>
        <v>3</v>
      </c>
      <c r="AR28" s="31">
        <f>VLOOKUP($A28,'Stock Transfer'!$A$3:$AE$32,1+AQ$1,0)</f>
        <v>4</v>
      </c>
      <c r="AS28" s="31">
        <f t="shared" si="34"/>
        <v>18</v>
      </c>
      <c r="AT28" s="31">
        <f t="shared" ref="AT28:BE28" si="189">MAX(AS28,0)</f>
        <v>18</v>
      </c>
      <c r="AU28" s="31">
        <f>VLOOKUP($A28,C_Sales!$A$4:$P$35,AU$1+1,0)</f>
        <v>3</v>
      </c>
      <c r="AV28" s="31">
        <f>VLOOKUP($A28,'Stock Transfer'!$A$3:$AE$32,1+AU$1,0)</f>
        <v>4</v>
      </c>
      <c r="AW28" s="31">
        <f t="shared" si="36"/>
        <v>19</v>
      </c>
      <c r="AX28" s="31">
        <f t="shared" ref="AX28:BE28" si="190">MAX(AW28,0)</f>
        <v>19</v>
      </c>
      <c r="AY28" s="31">
        <f>VLOOKUP($A28,C_Sales!$A$4:$P$35,AY$1+1,0)</f>
        <v>4</v>
      </c>
      <c r="AZ28" s="31">
        <f>VLOOKUP($A28,'Stock Transfer'!$A$3:$AE$32,1+AY$1,0)</f>
        <v>4</v>
      </c>
      <c r="BA28" s="31">
        <f t="shared" si="38"/>
        <v>19</v>
      </c>
      <c r="BB28" s="31">
        <f t="shared" ref="BB28:BE28" si="191">MAX(BA28,0)</f>
        <v>19</v>
      </c>
      <c r="BC28" s="31">
        <f>VLOOKUP($A28,C_Sales!$A$4:$P$35,BC$1+1,0)</f>
        <v>3</v>
      </c>
      <c r="BD28" s="31">
        <f>VLOOKUP($A28,'Stock Transfer'!$A$3:$AE$32,1+BC$1,0)</f>
        <v>4</v>
      </c>
      <c r="BE28" s="31">
        <f t="shared" si="40"/>
        <v>20</v>
      </c>
      <c r="BF28" s="31">
        <f t="shared" ref="BF28:BI28" si="192">MAX(BE28,0)</f>
        <v>20</v>
      </c>
      <c r="BG28" s="31">
        <f>VLOOKUP($A28,C_Sales!$A$4:$P$35,BG$1+1,0)</f>
        <v>2</v>
      </c>
      <c r="BH28" s="31">
        <f>VLOOKUP($A28,'Stock Transfer'!$A$3:$AE$32,1+BG$1,0)</f>
        <v>4</v>
      </c>
      <c r="BI28" s="31">
        <f t="shared" si="42"/>
        <v>22</v>
      </c>
    </row>
    <row r="29" spans="1:61" x14ac:dyDescent="0.3">
      <c r="A29" s="17" t="s">
        <v>20</v>
      </c>
      <c r="B29" s="31">
        <f>VLOOKUP($A29,'Open STK'!$A$1:$E$31,4,0)</f>
        <v>7</v>
      </c>
      <c r="C29" s="31">
        <f>VLOOKUP($A29,C_Sales!$A$4:$P$35,C$1+1,0)</f>
        <v>2</v>
      </c>
      <c r="D29" s="31">
        <f>VLOOKUP($A29,'Stock Transfer'!$A$3:$AE$32,1+C$1,0)</f>
        <v>2</v>
      </c>
      <c r="E29" s="31">
        <f t="shared" si="43"/>
        <v>7</v>
      </c>
      <c r="F29" s="31">
        <f t="shared" si="44"/>
        <v>7</v>
      </c>
      <c r="G29" s="31">
        <f>VLOOKUP($A29,C_Sales!$A$4:$P$35,G$1+1,0)</f>
        <v>2</v>
      </c>
      <c r="H29" s="31">
        <f>VLOOKUP($A29,'Stock Transfer'!$A$3:$AE$32,1+G$1,0)</f>
        <v>3</v>
      </c>
      <c r="I29" s="31">
        <f t="shared" si="45"/>
        <v>8</v>
      </c>
      <c r="J29" s="31">
        <f t="shared" si="46"/>
        <v>8</v>
      </c>
      <c r="K29" s="31">
        <f>VLOOKUP($A29,C_Sales!$A$4:$P$35,K$1+1,0)</f>
        <v>1</v>
      </c>
      <c r="L29" s="31">
        <f>VLOOKUP($A29,'Stock Transfer'!$A$3:$AE$32,1+K$1,0)</f>
        <v>3</v>
      </c>
      <c r="M29" s="31">
        <f t="shared" si="47"/>
        <v>10</v>
      </c>
      <c r="N29" s="31">
        <f t="shared" si="138"/>
        <v>10</v>
      </c>
      <c r="O29" s="31">
        <f>VLOOKUP($A29,C_Sales!$A$4:$P$35,O$1+1,0)</f>
        <v>1</v>
      </c>
      <c r="P29" s="31">
        <f>VLOOKUP($A29,'Stock Transfer'!$A$3:$AE$32,1+O$1,0)</f>
        <v>3</v>
      </c>
      <c r="Q29" s="31">
        <f t="shared" si="20"/>
        <v>12</v>
      </c>
      <c r="R29" s="31">
        <f t="shared" si="138"/>
        <v>12</v>
      </c>
      <c r="S29" s="31">
        <f>VLOOKUP($A29,C_Sales!$A$4:$P$35,S$1+1,0)</f>
        <v>2</v>
      </c>
      <c r="T29" s="31">
        <f>VLOOKUP($A29,'Stock Transfer'!$A$3:$AE$32,1+S$1,0)</f>
        <v>3</v>
      </c>
      <c r="U29" s="31">
        <f t="shared" si="22"/>
        <v>13</v>
      </c>
      <c r="V29" s="31">
        <f t="shared" si="138"/>
        <v>13</v>
      </c>
      <c r="W29" s="31">
        <f>VLOOKUP($A29,C_Sales!$A$4:$P$35,W$1+1,0)</f>
        <v>1</v>
      </c>
      <c r="X29" s="31">
        <f>VLOOKUP($A29,'Stock Transfer'!$A$3:$AE$32,1+W$1,0)</f>
        <v>3</v>
      </c>
      <c r="Y29" s="31">
        <f t="shared" si="24"/>
        <v>15</v>
      </c>
      <c r="Z29" s="31">
        <f t="shared" si="138"/>
        <v>15</v>
      </c>
      <c r="AA29" s="31">
        <f>VLOOKUP($A29,C_Sales!$A$4:$P$35,AA$1+1,0)</f>
        <v>2</v>
      </c>
      <c r="AB29" s="31">
        <f>VLOOKUP($A29,'Stock Transfer'!$A$3:$AE$32,1+AA$1,0)</f>
        <v>3</v>
      </c>
      <c r="AC29" s="31">
        <f t="shared" si="26"/>
        <v>16</v>
      </c>
      <c r="AD29" s="31">
        <f t="shared" si="138"/>
        <v>16</v>
      </c>
      <c r="AE29" s="31">
        <f>VLOOKUP($A29,C_Sales!$A$4:$P$35,AE$1+1,0)</f>
        <v>2</v>
      </c>
      <c r="AF29" s="31">
        <f>VLOOKUP($A29,'Stock Transfer'!$A$3:$AE$32,1+AE$1,0)</f>
        <v>3</v>
      </c>
      <c r="AG29" s="31">
        <f t="shared" si="28"/>
        <v>17</v>
      </c>
      <c r="AH29" s="31">
        <f t="shared" si="138"/>
        <v>17</v>
      </c>
      <c r="AI29" s="31">
        <f>VLOOKUP($A29,C_Sales!$A$4:$P$35,AI$1+1,0)</f>
        <v>1</v>
      </c>
      <c r="AJ29" s="31">
        <f>VLOOKUP($A29,'Stock Transfer'!$A$3:$AE$32,1+AI$1,0)</f>
        <v>3</v>
      </c>
      <c r="AK29" s="31">
        <f t="shared" si="30"/>
        <v>19</v>
      </c>
      <c r="AL29" s="31">
        <f t="shared" ref="AL29:BE29" si="193">MAX(AK29,0)</f>
        <v>19</v>
      </c>
      <c r="AM29" s="31">
        <f>VLOOKUP($A29,C_Sales!$A$4:$P$35,AM$1+1,0)</f>
        <v>3</v>
      </c>
      <c r="AN29" s="31">
        <f>VLOOKUP($A29,'Stock Transfer'!$A$3:$AE$32,1+AM$1,0)</f>
        <v>3</v>
      </c>
      <c r="AO29" s="31">
        <f t="shared" si="32"/>
        <v>19</v>
      </c>
      <c r="AP29" s="31">
        <f t="shared" ref="AP29:BE29" si="194">MAX(AO29,0)</f>
        <v>19</v>
      </c>
      <c r="AQ29" s="31">
        <f>VLOOKUP($A29,C_Sales!$A$4:$P$35,AQ$1+1,0)</f>
        <v>2</v>
      </c>
      <c r="AR29" s="31">
        <f>VLOOKUP($A29,'Stock Transfer'!$A$3:$AE$32,1+AQ$1,0)</f>
        <v>3</v>
      </c>
      <c r="AS29" s="31">
        <f t="shared" si="34"/>
        <v>20</v>
      </c>
      <c r="AT29" s="31">
        <f t="shared" ref="AT29:BE29" si="195">MAX(AS29,0)</f>
        <v>20</v>
      </c>
      <c r="AU29" s="31">
        <f>VLOOKUP($A29,C_Sales!$A$4:$P$35,AU$1+1,0)</f>
        <v>2</v>
      </c>
      <c r="AV29" s="31">
        <f>VLOOKUP($A29,'Stock Transfer'!$A$3:$AE$32,1+AU$1,0)</f>
        <v>3</v>
      </c>
      <c r="AW29" s="31">
        <f t="shared" si="36"/>
        <v>21</v>
      </c>
      <c r="AX29" s="31">
        <f t="shared" ref="AX29:BE29" si="196">MAX(AW29,0)</f>
        <v>21</v>
      </c>
      <c r="AY29" s="31">
        <f>VLOOKUP($A29,C_Sales!$A$4:$P$35,AY$1+1,0)</f>
        <v>2</v>
      </c>
      <c r="AZ29" s="31">
        <f>VLOOKUP($A29,'Stock Transfer'!$A$3:$AE$32,1+AY$1,0)</f>
        <v>3</v>
      </c>
      <c r="BA29" s="31">
        <f t="shared" si="38"/>
        <v>22</v>
      </c>
      <c r="BB29" s="31">
        <f t="shared" ref="BB29:BE29" si="197">MAX(BA29,0)</f>
        <v>22</v>
      </c>
      <c r="BC29" s="31">
        <f>VLOOKUP($A29,C_Sales!$A$4:$P$35,BC$1+1,0)</f>
        <v>2</v>
      </c>
      <c r="BD29" s="31">
        <f>VLOOKUP($A29,'Stock Transfer'!$A$3:$AE$32,1+BC$1,0)</f>
        <v>3</v>
      </c>
      <c r="BE29" s="31">
        <f t="shared" si="40"/>
        <v>23</v>
      </c>
      <c r="BF29" s="31">
        <f t="shared" ref="BF29:BI29" si="198">MAX(BE29,0)</f>
        <v>23</v>
      </c>
      <c r="BG29" s="31">
        <f>VLOOKUP($A29,C_Sales!$A$4:$P$35,BG$1+1,0)</f>
        <v>2</v>
      </c>
      <c r="BH29" s="31">
        <f>VLOOKUP($A29,'Stock Transfer'!$A$3:$AE$32,1+BG$1,0)</f>
        <v>3</v>
      </c>
      <c r="BI29" s="31">
        <f t="shared" si="42"/>
        <v>24</v>
      </c>
    </row>
    <row r="30" spans="1:61" x14ac:dyDescent="0.3">
      <c r="A30" s="17" t="s">
        <v>23</v>
      </c>
      <c r="B30" s="31">
        <f>VLOOKUP($A30,'Open STK'!$A$1:$E$31,4,0)</f>
        <v>9</v>
      </c>
      <c r="C30" s="31">
        <f>VLOOKUP($A30,C_Sales!$A$4:$P$35,C$1+1,0)</f>
        <v>2</v>
      </c>
      <c r="D30" s="31">
        <f>VLOOKUP($A30,'Stock Transfer'!$A$3:$AE$32,1+C$1,0)</f>
        <v>3</v>
      </c>
      <c r="E30" s="31">
        <f t="shared" si="43"/>
        <v>10</v>
      </c>
      <c r="F30" s="31">
        <f t="shared" si="44"/>
        <v>10</v>
      </c>
      <c r="G30" s="31">
        <f>VLOOKUP($A30,C_Sales!$A$4:$P$35,G$1+1,0)</f>
        <v>2</v>
      </c>
      <c r="H30" s="31">
        <f>VLOOKUP($A30,'Stock Transfer'!$A$3:$AE$32,1+G$1,0)</f>
        <v>3</v>
      </c>
      <c r="I30" s="31">
        <f t="shared" si="45"/>
        <v>11</v>
      </c>
      <c r="J30" s="31">
        <f t="shared" si="46"/>
        <v>11</v>
      </c>
      <c r="K30" s="31">
        <f>VLOOKUP($A30,C_Sales!$A$4:$P$35,K$1+1,0)</f>
        <v>3</v>
      </c>
      <c r="L30" s="31">
        <f>VLOOKUP($A30,'Stock Transfer'!$A$3:$AE$32,1+K$1,0)</f>
        <v>2</v>
      </c>
      <c r="M30" s="31">
        <f t="shared" si="47"/>
        <v>10</v>
      </c>
      <c r="N30" s="31">
        <f t="shared" si="138"/>
        <v>10</v>
      </c>
      <c r="O30" s="31">
        <f>VLOOKUP($A30,C_Sales!$A$4:$P$35,O$1+1,0)</f>
        <v>2</v>
      </c>
      <c r="P30" s="31">
        <f>VLOOKUP($A30,'Stock Transfer'!$A$3:$AE$32,1+O$1,0)</f>
        <v>3</v>
      </c>
      <c r="Q30" s="31">
        <f t="shared" si="20"/>
        <v>11</v>
      </c>
      <c r="R30" s="31">
        <f t="shared" si="138"/>
        <v>11</v>
      </c>
      <c r="S30" s="31">
        <f>VLOOKUP($A30,C_Sales!$A$4:$P$35,S$1+1,0)</f>
        <v>2</v>
      </c>
      <c r="T30" s="31">
        <f>VLOOKUP($A30,'Stock Transfer'!$A$3:$AE$32,1+S$1,0)</f>
        <v>3</v>
      </c>
      <c r="U30" s="31">
        <f t="shared" si="22"/>
        <v>12</v>
      </c>
      <c r="V30" s="31">
        <f t="shared" si="138"/>
        <v>12</v>
      </c>
      <c r="W30" s="31">
        <f>VLOOKUP($A30,C_Sales!$A$4:$P$35,W$1+1,0)</f>
        <v>1</v>
      </c>
      <c r="X30" s="31">
        <f>VLOOKUP($A30,'Stock Transfer'!$A$3:$AE$32,1+W$1,0)</f>
        <v>3</v>
      </c>
      <c r="Y30" s="31">
        <f t="shared" si="24"/>
        <v>14</v>
      </c>
      <c r="Z30" s="31">
        <f t="shared" si="138"/>
        <v>14</v>
      </c>
      <c r="AA30" s="31">
        <f>VLOOKUP($A30,C_Sales!$A$4:$P$35,AA$1+1,0)</f>
        <v>2</v>
      </c>
      <c r="AB30" s="31">
        <f>VLOOKUP($A30,'Stock Transfer'!$A$3:$AE$32,1+AA$1,0)</f>
        <v>3</v>
      </c>
      <c r="AC30" s="31">
        <f t="shared" si="26"/>
        <v>15</v>
      </c>
      <c r="AD30" s="31">
        <f t="shared" si="138"/>
        <v>15</v>
      </c>
      <c r="AE30" s="31">
        <f>VLOOKUP($A30,C_Sales!$A$4:$P$35,AE$1+1,0)</f>
        <v>2</v>
      </c>
      <c r="AF30" s="31">
        <f>VLOOKUP($A30,'Stock Transfer'!$A$3:$AE$32,1+AE$1,0)</f>
        <v>2</v>
      </c>
      <c r="AG30" s="31">
        <f t="shared" si="28"/>
        <v>15</v>
      </c>
      <c r="AH30" s="31">
        <f t="shared" si="138"/>
        <v>15</v>
      </c>
      <c r="AI30" s="31">
        <f>VLOOKUP($A30,C_Sales!$A$4:$P$35,AI$1+1,0)</f>
        <v>2</v>
      </c>
      <c r="AJ30" s="31">
        <f>VLOOKUP($A30,'Stock Transfer'!$A$3:$AE$32,1+AI$1,0)</f>
        <v>3</v>
      </c>
      <c r="AK30" s="31">
        <f t="shared" si="30"/>
        <v>16</v>
      </c>
      <c r="AL30" s="31">
        <f t="shared" ref="AL30:BE30" si="199">MAX(AK30,0)</f>
        <v>16</v>
      </c>
      <c r="AM30" s="31">
        <f>VLOOKUP($A30,C_Sales!$A$4:$P$35,AM$1+1,0)</f>
        <v>1</v>
      </c>
      <c r="AN30" s="31">
        <f>VLOOKUP($A30,'Stock Transfer'!$A$3:$AE$32,1+AM$1,0)</f>
        <v>3</v>
      </c>
      <c r="AO30" s="31">
        <f t="shared" si="32"/>
        <v>18</v>
      </c>
      <c r="AP30" s="31">
        <f t="shared" ref="AP30:BE30" si="200">MAX(AO30,0)</f>
        <v>18</v>
      </c>
      <c r="AQ30" s="31">
        <f>VLOOKUP($A30,C_Sales!$A$4:$P$35,AQ$1+1,0)</f>
        <v>2</v>
      </c>
      <c r="AR30" s="31">
        <f>VLOOKUP($A30,'Stock Transfer'!$A$3:$AE$32,1+AQ$1,0)</f>
        <v>3</v>
      </c>
      <c r="AS30" s="31">
        <f t="shared" si="34"/>
        <v>19</v>
      </c>
      <c r="AT30" s="31">
        <f t="shared" ref="AT30:BE30" si="201">MAX(AS30,0)</f>
        <v>19</v>
      </c>
      <c r="AU30" s="31">
        <f>VLOOKUP($A30,C_Sales!$A$4:$P$35,AU$1+1,0)</f>
        <v>1</v>
      </c>
      <c r="AV30" s="31">
        <f>VLOOKUP($A30,'Stock Transfer'!$A$3:$AE$32,1+AU$1,0)</f>
        <v>3</v>
      </c>
      <c r="AW30" s="31">
        <f t="shared" si="36"/>
        <v>21</v>
      </c>
      <c r="AX30" s="31">
        <f t="shared" ref="AX30:BE30" si="202">MAX(AW30,0)</f>
        <v>21</v>
      </c>
      <c r="AY30" s="31">
        <f>VLOOKUP($A30,C_Sales!$A$4:$P$35,AY$1+1,0)</f>
        <v>2</v>
      </c>
      <c r="AZ30" s="31">
        <f>VLOOKUP($A30,'Stock Transfer'!$A$3:$AE$32,1+AY$1,0)</f>
        <v>3</v>
      </c>
      <c r="BA30" s="31">
        <f t="shared" si="38"/>
        <v>22</v>
      </c>
      <c r="BB30" s="31">
        <f t="shared" ref="BB30:BE30" si="203">MAX(BA30,0)</f>
        <v>22</v>
      </c>
      <c r="BC30" s="31">
        <f>VLOOKUP($A30,C_Sales!$A$4:$P$35,BC$1+1,0)</f>
        <v>2</v>
      </c>
      <c r="BD30" s="31">
        <f>VLOOKUP($A30,'Stock Transfer'!$A$3:$AE$32,1+BC$1,0)</f>
        <v>3</v>
      </c>
      <c r="BE30" s="31">
        <f t="shared" si="40"/>
        <v>23</v>
      </c>
      <c r="BF30" s="31">
        <f t="shared" ref="BF30:BI30" si="204">MAX(BE30,0)</f>
        <v>23</v>
      </c>
      <c r="BG30" s="31">
        <f>VLOOKUP($A30,C_Sales!$A$4:$P$35,BG$1+1,0)</f>
        <v>2</v>
      </c>
      <c r="BH30" s="31">
        <f>VLOOKUP($A30,'Stock Transfer'!$A$3:$AE$32,1+BG$1,0)</f>
        <v>2</v>
      </c>
      <c r="BI30" s="31">
        <f t="shared" si="42"/>
        <v>23</v>
      </c>
    </row>
    <row r="31" spans="1:61" x14ac:dyDescent="0.3">
      <c r="A31" s="17" t="s">
        <v>26</v>
      </c>
      <c r="B31" s="31">
        <f>VLOOKUP($A31,'Open STK'!$A$1:$E$31,4,0)</f>
        <v>1</v>
      </c>
      <c r="C31" s="31">
        <f>VLOOKUP($A31,C_Sales!$A$4:$P$35,C$1+1,0)</f>
        <v>1</v>
      </c>
      <c r="D31" s="31">
        <f>VLOOKUP($A31,'Stock Transfer'!$A$3:$AE$32,1+C$1,0)</f>
        <v>3</v>
      </c>
      <c r="E31" s="31">
        <f t="shared" si="43"/>
        <v>3</v>
      </c>
      <c r="F31" s="31">
        <f t="shared" si="44"/>
        <v>3</v>
      </c>
      <c r="G31" s="31">
        <f>VLOOKUP($A31,C_Sales!$A$4:$P$35,G$1+1,0)</f>
        <v>0</v>
      </c>
      <c r="H31" s="31">
        <f>VLOOKUP($A31,'Stock Transfer'!$A$3:$AE$32,1+G$1,0)</f>
        <v>2</v>
      </c>
      <c r="I31" s="31">
        <f t="shared" si="45"/>
        <v>5</v>
      </c>
      <c r="J31" s="31">
        <f t="shared" si="46"/>
        <v>5</v>
      </c>
      <c r="K31" s="31">
        <f>VLOOKUP($A31,C_Sales!$A$4:$P$35,K$1+1,0)</f>
        <v>0</v>
      </c>
      <c r="L31" s="31">
        <f>VLOOKUP($A31,'Stock Transfer'!$A$3:$AE$32,1+K$1,0)</f>
        <v>2</v>
      </c>
      <c r="M31" s="31">
        <f t="shared" si="47"/>
        <v>7</v>
      </c>
      <c r="N31" s="31">
        <f t="shared" si="138"/>
        <v>7</v>
      </c>
      <c r="O31" s="31">
        <f>VLOOKUP($A31,C_Sales!$A$4:$P$35,O$1+1,0)</f>
        <v>1</v>
      </c>
      <c r="P31" s="31">
        <f>VLOOKUP($A31,'Stock Transfer'!$A$3:$AE$32,1+O$1,0)</f>
        <v>3</v>
      </c>
      <c r="Q31" s="31">
        <f t="shared" si="20"/>
        <v>9</v>
      </c>
      <c r="R31" s="31">
        <f t="shared" si="138"/>
        <v>9</v>
      </c>
      <c r="S31" s="31">
        <f>VLOOKUP($A31,C_Sales!$A$4:$P$35,S$1+1,0)</f>
        <v>2</v>
      </c>
      <c r="T31" s="31">
        <f>VLOOKUP($A31,'Stock Transfer'!$A$3:$AE$32,1+S$1,0)</f>
        <v>2</v>
      </c>
      <c r="U31" s="31">
        <f t="shared" si="22"/>
        <v>9</v>
      </c>
      <c r="V31" s="31">
        <f t="shared" si="138"/>
        <v>9</v>
      </c>
      <c r="W31" s="31">
        <f>VLOOKUP($A31,C_Sales!$A$4:$P$35,W$1+1,0)</f>
        <v>2</v>
      </c>
      <c r="X31" s="31">
        <f>VLOOKUP($A31,'Stock Transfer'!$A$3:$AE$32,1+W$1,0)</f>
        <v>2</v>
      </c>
      <c r="Y31" s="31">
        <f t="shared" si="24"/>
        <v>9</v>
      </c>
      <c r="Z31" s="31">
        <f t="shared" si="138"/>
        <v>9</v>
      </c>
      <c r="AA31" s="31">
        <f>VLOOKUP($A31,C_Sales!$A$4:$P$35,AA$1+1,0)</f>
        <v>2</v>
      </c>
      <c r="AB31" s="31">
        <f>VLOOKUP($A31,'Stock Transfer'!$A$3:$AE$32,1+AA$1,0)</f>
        <v>2</v>
      </c>
      <c r="AC31" s="31">
        <f t="shared" si="26"/>
        <v>9</v>
      </c>
      <c r="AD31" s="31">
        <f t="shared" si="138"/>
        <v>9</v>
      </c>
      <c r="AE31" s="31">
        <f>VLOOKUP($A31,C_Sales!$A$4:$P$35,AE$1+1,0)</f>
        <v>1</v>
      </c>
      <c r="AF31" s="31">
        <f>VLOOKUP($A31,'Stock Transfer'!$A$3:$AE$32,1+AE$1,0)</f>
        <v>2</v>
      </c>
      <c r="AG31" s="31">
        <f t="shared" si="28"/>
        <v>10</v>
      </c>
      <c r="AH31" s="31">
        <f t="shared" si="138"/>
        <v>10</v>
      </c>
      <c r="AI31" s="31">
        <f>VLOOKUP($A31,C_Sales!$A$4:$P$35,AI$1+1,0)</f>
        <v>1</v>
      </c>
      <c r="AJ31" s="31">
        <f>VLOOKUP($A31,'Stock Transfer'!$A$3:$AE$32,1+AI$1,0)</f>
        <v>2</v>
      </c>
      <c r="AK31" s="31">
        <f t="shared" si="30"/>
        <v>11</v>
      </c>
      <c r="AL31" s="31">
        <f t="shared" ref="AL31:BE31" si="205">MAX(AK31,0)</f>
        <v>11</v>
      </c>
      <c r="AM31" s="31">
        <f>VLOOKUP($A31,C_Sales!$A$4:$P$35,AM$1+1,0)</f>
        <v>1</v>
      </c>
      <c r="AN31" s="31">
        <f>VLOOKUP($A31,'Stock Transfer'!$A$3:$AE$32,1+AM$1,0)</f>
        <v>2</v>
      </c>
      <c r="AO31" s="31">
        <f t="shared" si="32"/>
        <v>12</v>
      </c>
      <c r="AP31" s="31">
        <f t="shared" ref="AP31:BE31" si="206">MAX(AO31,0)</f>
        <v>12</v>
      </c>
      <c r="AQ31" s="31">
        <f>VLOOKUP($A31,C_Sales!$A$4:$P$35,AQ$1+1,0)</f>
        <v>0</v>
      </c>
      <c r="AR31" s="31">
        <f>VLOOKUP($A31,'Stock Transfer'!$A$3:$AE$32,1+AQ$1,0)</f>
        <v>2</v>
      </c>
      <c r="AS31" s="31">
        <f t="shared" si="34"/>
        <v>14</v>
      </c>
      <c r="AT31" s="31">
        <f t="shared" ref="AT31:BE31" si="207">MAX(AS31,0)</f>
        <v>14</v>
      </c>
      <c r="AU31" s="31">
        <f>VLOOKUP($A31,C_Sales!$A$4:$P$35,AU$1+1,0)</f>
        <v>0</v>
      </c>
      <c r="AV31" s="31">
        <f>VLOOKUP($A31,'Stock Transfer'!$A$3:$AE$32,1+AU$1,0)</f>
        <v>2</v>
      </c>
      <c r="AW31" s="31">
        <f t="shared" si="36"/>
        <v>16</v>
      </c>
      <c r="AX31" s="31">
        <f t="shared" ref="AX31:BE31" si="208">MAX(AW31,0)</f>
        <v>16</v>
      </c>
      <c r="AY31" s="31">
        <f>VLOOKUP($A31,C_Sales!$A$4:$P$35,AY$1+1,0)</f>
        <v>0</v>
      </c>
      <c r="AZ31" s="31">
        <f>VLOOKUP($A31,'Stock Transfer'!$A$3:$AE$32,1+AY$1,0)</f>
        <v>2</v>
      </c>
      <c r="BA31" s="31">
        <f t="shared" si="38"/>
        <v>18</v>
      </c>
      <c r="BB31" s="31">
        <f t="shared" ref="BB31:BE31" si="209">MAX(BA31,0)</f>
        <v>18</v>
      </c>
      <c r="BC31" s="31">
        <f>VLOOKUP($A31,C_Sales!$A$4:$P$35,BC$1+1,0)</f>
        <v>1</v>
      </c>
      <c r="BD31" s="31">
        <f>VLOOKUP($A31,'Stock Transfer'!$A$3:$AE$32,1+BC$1,0)</f>
        <v>2</v>
      </c>
      <c r="BE31" s="31">
        <f t="shared" si="40"/>
        <v>19</v>
      </c>
      <c r="BF31" s="31">
        <f t="shared" ref="BF31:BI31" si="210">MAX(BE31,0)</f>
        <v>19</v>
      </c>
      <c r="BG31" s="31">
        <f>VLOOKUP($A31,C_Sales!$A$4:$P$35,BG$1+1,0)</f>
        <v>0</v>
      </c>
      <c r="BH31" s="31">
        <f>VLOOKUP($A31,'Stock Transfer'!$A$3:$AE$32,1+BG$1,0)</f>
        <v>2</v>
      </c>
      <c r="BI31" s="31">
        <f t="shared" si="42"/>
        <v>21</v>
      </c>
    </row>
    <row r="32" spans="1:61" x14ac:dyDescent="0.3">
      <c r="A32" s="17" t="s">
        <v>29</v>
      </c>
      <c r="B32" s="31">
        <f>VLOOKUP($A32,'Open STK'!$A$1:$E$31,4,0)</f>
        <v>2</v>
      </c>
      <c r="C32" s="31">
        <f>VLOOKUP($A32,C_Sales!$A$4:$P$35,C$1+1,0)</f>
        <v>1</v>
      </c>
      <c r="D32" s="31">
        <f>VLOOKUP($A32,'Stock Transfer'!$A$3:$AE$32,1+C$1,0)</f>
        <v>2</v>
      </c>
      <c r="E32" s="31">
        <f t="shared" si="43"/>
        <v>3</v>
      </c>
      <c r="F32" s="31">
        <f t="shared" si="44"/>
        <v>3</v>
      </c>
      <c r="G32" s="31">
        <f>VLOOKUP($A32,C_Sales!$A$4:$P$35,G$1+1,0)</f>
        <v>2</v>
      </c>
      <c r="H32" s="31">
        <f>VLOOKUP($A32,'Stock Transfer'!$A$3:$AE$32,1+G$1,0)</f>
        <v>2</v>
      </c>
      <c r="I32" s="31">
        <f t="shared" si="45"/>
        <v>3</v>
      </c>
      <c r="J32" s="31">
        <f t="shared" si="46"/>
        <v>3</v>
      </c>
      <c r="K32" s="31">
        <f>VLOOKUP($A32,C_Sales!$A$4:$P$35,K$1+1,0)</f>
        <v>0</v>
      </c>
      <c r="L32" s="31">
        <f>VLOOKUP($A32,'Stock Transfer'!$A$3:$AE$32,1+K$1,0)</f>
        <v>3</v>
      </c>
      <c r="M32" s="31">
        <f t="shared" si="47"/>
        <v>6</v>
      </c>
      <c r="N32" s="31">
        <f t="shared" si="138"/>
        <v>6</v>
      </c>
      <c r="O32" s="31">
        <f>VLOOKUP($A32,C_Sales!$A$4:$P$35,O$1+1,0)</f>
        <v>1</v>
      </c>
      <c r="P32" s="31">
        <f>VLOOKUP($A32,'Stock Transfer'!$A$3:$AE$32,1+O$1,0)</f>
        <v>2</v>
      </c>
      <c r="Q32" s="31">
        <f t="shared" si="20"/>
        <v>7</v>
      </c>
      <c r="R32" s="31">
        <f t="shared" si="138"/>
        <v>7</v>
      </c>
      <c r="S32" s="31">
        <f>VLOOKUP($A32,C_Sales!$A$4:$P$35,S$1+1,0)</f>
        <v>1</v>
      </c>
      <c r="T32" s="31">
        <f>VLOOKUP($A32,'Stock Transfer'!$A$3:$AE$32,1+S$1,0)</f>
        <v>2</v>
      </c>
      <c r="U32" s="31">
        <f t="shared" si="22"/>
        <v>8</v>
      </c>
      <c r="V32" s="31">
        <f t="shared" si="138"/>
        <v>8</v>
      </c>
      <c r="W32" s="31">
        <f>VLOOKUP($A32,C_Sales!$A$4:$P$35,W$1+1,0)</f>
        <v>1</v>
      </c>
      <c r="X32" s="31">
        <f>VLOOKUP($A32,'Stock Transfer'!$A$3:$AE$32,1+W$1,0)</f>
        <v>2</v>
      </c>
      <c r="Y32" s="31">
        <f t="shared" si="24"/>
        <v>9</v>
      </c>
      <c r="Z32" s="31">
        <f t="shared" si="138"/>
        <v>9</v>
      </c>
      <c r="AA32" s="31">
        <f>VLOOKUP($A32,C_Sales!$A$4:$P$35,AA$1+1,0)</f>
        <v>2</v>
      </c>
      <c r="AB32" s="31">
        <f>VLOOKUP($A32,'Stock Transfer'!$A$3:$AE$32,1+AA$1,0)</f>
        <v>3</v>
      </c>
      <c r="AC32" s="31">
        <f t="shared" si="26"/>
        <v>10</v>
      </c>
      <c r="AD32" s="31">
        <f t="shared" si="138"/>
        <v>10</v>
      </c>
      <c r="AE32" s="31">
        <f>VLOOKUP($A32,C_Sales!$A$4:$P$35,AE$1+1,0)</f>
        <v>1</v>
      </c>
      <c r="AF32" s="31">
        <f>VLOOKUP($A32,'Stock Transfer'!$A$3:$AE$32,1+AE$1,0)</f>
        <v>3</v>
      </c>
      <c r="AG32" s="31">
        <f t="shared" si="28"/>
        <v>12</v>
      </c>
      <c r="AH32" s="31">
        <f t="shared" si="138"/>
        <v>12</v>
      </c>
      <c r="AI32" s="31">
        <f>VLOOKUP($A32,C_Sales!$A$4:$P$35,AI$1+1,0)</f>
        <v>1</v>
      </c>
      <c r="AJ32" s="31">
        <f>VLOOKUP($A32,'Stock Transfer'!$A$3:$AE$32,1+AI$1,0)</f>
        <v>3</v>
      </c>
      <c r="AK32" s="31">
        <f t="shared" si="30"/>
        <v>14</v>
      </c>
      <c r="AL32" s="31">
        <f t="shared" ref="AL32:BE32" si="211">MAX(AK32,0)</f>
        <v>14</v>
      </c>
      <c r="AM32" s="31">
        <f>VLOOKUP($A32,C_Sales!$A$4:$P$35,AM$1+1,0)</f>
        <v>2</v>
      </c>
      <c r="AN32" s="31">
        <f>VLOOKUP($A32,'Stock Transfer'!$A$3:$AE$32,1+AM$1,0)</f>
        <v>3</v>
      </c>
      <c r="AO32" s="31">
        <f t="shared" si="32"/>
        <v>15</v>
      </c>
      <c r="AP32" s="31">
        <f t="shared" ref="AP32:BE32" si="212">MAX(AO32,0)</f>
        <v>15</v>
      </c>
      <c r="AQ32" s="31">
        <f>VLOOKUP($A32,C_Sales!$A$4:$P$35,AQ$1+1,0)</f>
        <v>2</v>
      </c>
      <c r="AR32" s="31">
        <f>VLOOKUP($A32,'Stock Transfer'!$A$3:$AE$32,1+AQ$1,0)</f>
        <v>2</v>
      </c>
      <c r="AS32" s="31">
        <f t="shared" si="34"/>
        <v>15</v>
      </c>
      <c r="AT32" s="31">
        <f t="shared" ref="AT32:BE32" si="213">MAX(AS32,0)</f>
        <v>15</v>
      </c>
      <c r="AU32" s="31">
        <f>VLOOKUP($A32,C_Sales!$A$4:$P$35,AU$1+1,0)</f>
        <v>2</v>
      </c>
      <c r="AV32" s="31">
        <f>VLOOKUP($A32,'Stock Transfer'!$A$3:$AE$32,1+AU$1,0)</f>
        <v>3</v>
      </c>
      <c r="AW32" s="31">
        <f t="shared" si="36"/>
        <v>16</v>
      </c>
      <c r="AX32" s="31">
        <f t="shared" ref="AX32:BE32" si="214">MAX(AW32,0)</f>
        <v>16</v>
      </c>
      <c r="AY32" s="31">
        <f>VLOOKUP($A32,C_Sales!$A$4:$P$35,AY$1+1,0)</f>
        <v>1</v>
      </c>
      <c r="AZ32" s="31">
        <f>VLOOKUP($A32,'Stock Transfer'!$A$3:$AE$32,1+AY$1,0)</f>
        <v>3</v>
      </c>
      <c r="BA32" s="31">
        <f t="shared" si="38"/>
        <v>18</v>
      </c>
      <c r="BB32" s="31">
        <f t="shared" ref="BB32:BE32" si="215">MAX(BA32,0)</f>
        <v>18</v>
      </c>
      <c r="BC32" s="31">
        <f>VLOOKUP($A32,C_Sales!$A$4:$P$35,BC$1+1,0)</f>
        <v>1</v>
      </c>
      <c r="BD32" s="31">
        <f>VLOOKUP($A32,'Stock Transfer'!$A$3:$AE$32,1+BC$1,0)</f>
        <v>3</v>
      </c>
      <c r="BE32" s="31">
        <f t="shared" si="40"/>
        <v>20</v>
      </c>
      <c r="BF32" s="31">
        <f t="shared" ref="BF32:BI32" si="216">MAX(BE32,0)</f>
        <v>20</v>
      </c>
      <c r="BG32" s="31">
        <f>VLOOKUP($A32,C_Sales!$A$4:$P$35,BG$1+1,0)</f>
        <v>2</v>
      </c>
      <c r="BH32" s="31">
        <f>VLOOKUP($A32,'Stock Transfer'!$A$3:$AE$32,1+BG$1,0)</f>
        <v>3</v>
      </c>
      <c r="BI32" s="31">
        <f t="shared" si="42"/>
        <v>21</v>
      </c>
    </row>
    <row r="33" spans="1:61" x14ac:dyDescent="0.3">
      <c r="A33" s="17" t="s">
        <v>32</v>
      </c>
      <c r="B33" s="31">
        <f>VLOOKUP($A33,'Open STK'!$A$1:$E$31,4,0)</f>
        <v>1</v>
      </c>
      <c r="C33" s="31">
        <f>VLOOKUP($A33,C_Sales!$A$4:$P$35,C$1+1,0)</f>
        <v>2</v>
      </c>
      <c r="D33" s="31">
        <f>VLOOKUP($A33,'Stock Transfer'!$A$3:$AE$32,1+C$1,0)</f>
        <v>3</v>
      </c>
      <c r="E33" s="31">
        <f t="shared" si="43"/>
        <v>2</v>
      </c>
      <c r="F33" s="31">
        <f t="shared" si="44"/>
        <v>2</v>
      </c>
      <c r="G33" s="31">
        <f>VLOOKUP($A33,C_Sales!$A$4:$P$35,G$1+1,0)</f>
        <v>2</v>
      </c>
      <c r="H33" s="31">
        <f>VLOOKUP($A33,'Stock Transfer'!$A$3:$AE$32,1+G$1,0)</f>
        <v>3</v>
      </c>
      <c r="I33" s="31">
        <f t="shared" si="45"/>
        <v>3</v>
      </c>
      <c r="J33" s="31">
        <f t="shared" si="46"/>
        <v>3</v>
      </c>
      <c r="K33" s="31">
        <f>VLOOKUP($A33,C_Sales!$A$4:$P$35,K$1+1,0)</f>
        <v>1</v>
      </c>
      <c r="L33" s="31">
        <f>VLOOKUP($A33,'Stock Transfer'!$A$3:$AE$32,1+K$1,0)</f>
        <v>2</v>
      </c>
      <c r="M33" s="31">
        <f t="shared" si="47"/>
        <v>4</v>
      </c>
      <c r="N33" s="31">
        <f t="shared" si="138"/>
        <v>4</v>
      </c>
      <c r="O33" s="31">
        <f>VLOOKUP($A33,C_Sales!$A$4:$P$35,O$1+1,0)</f>
        <v>1</v>
      </c>
      <c r="P33" s="31">
        <f>VLOOKUP($A33,'Stock Transfer'!$A$3:$AE$32,1+O$1,0)</f>
        <v>2</v>
      </c>
      <c r="Q33" s="31">
        <f t="shared" si="20"/>
        <v>5</v>
      </c>
      <c r="R33" s="31">
        <f t="shared" si="138"/>
        <v>5</v>
      </c>
      <c r="S33" s="31">
        <f>VLOOKUP($A33,C_Sales!$A$4:$P$35,S$1+1,0)</f>
        <v>1</v>
      </c>
      <c r="T33" s="31">
        <f>VLOOKUP($A33,'Stock Transfer'!$A$3:$AE$32,1+S$1,0)</f>
        <v>2</v>
      </c>
      <c r="U33" s="31">
        <f t="shared" si="22"/>
        <v>6</v>
      </c>
      <c r="V33" s="31">
        <f t="shared" si="138"/>
        <v>6</v>
      </c>
      <c r="W33" s="31">
        <f>VLOOKUP($A33,C_Sales!$A$4:$P$35,W$1+1,0)</f>
        <v>1</v>
      </c>
      <c r="X33" s="31">
        <f>VLOOKUP($A33,'Stock Transfer'!$A$3:$AE$32,1+W$1,0)</f>
        <v>2</v>
      </c>
      <c r="Y33" s="31">
        <f t="shared" si="24"/>
        <v>7</v>
      </c>
      <c r="Z33" s="31">
        <f t="shared" si="138"/>
        <v>7</v>
      </c>
      <c r="AA33" s="31">
        <f>VLOOKUP($A33,C_Sales!$A$4:$P$35,AA$1+1,0)</f>
        <v>2</v>
      </c>
      <c r="AB33" s="31">
        <f>VLOOKUP($A33,'Stock Transfer'!$A$3:$AE$32,1+AA$1,0)</f>
        <v>3</v>
      </c>
      <c r="AC33" s="31">
        <f t="shared" si="26"/>
        <v>8</v>
      </c>
      <c r="AD33" s="31">
        <f t="shared" si="138"/>
        <v>8</v>
      </c>
      <c r="AE33" s="31">
        <f>VLOOKUP($A33,C_Sales!$A$4:$P$35,AE$1+1,0)</f>
        <v>0</v>
      </c>
      <c r="AF33" s="31">
        <f>VLOOKUP($A33,'Stock Transfer'!$A$3:$AE$32,1+AE$1,0)</f>
        <v>2</v>
      </c>
      <c r="AG33" s="31">
        <f t="shared" si="28"/>
        <v>10</v>
      </c>
      <c r="AH33" s="31">
        <f t="shared" si="138"/>
        <v>10</v>
      </c>
      <c r="AI33" s="31">
        <f>VLOOKUP($A33,C_Sales!$A$4:$P$35,AI$1+1,0)</f>
        <v>0</v>
      </c>
      <c r="AJ33" s="31">
        <f>VLOOKUP($A33,'Stock Transfer'!$A$3:$AE$32,1+AI$1,0)</f>
        <v>2</v>
      </c>
      <c r="AK33" s="31">
        <f t="shared" si="30"/>
        <v>12</v>
      </c>
      <c r="AL33" s="31">
        <f t="shared" ref="AL33:BE33" si="217">MAX(AK33,0)</f>
        <v>12</v>
      </c>
      <c r="AM33" s="31">
        <f>VLOOKUP($A33,C_Sales!$A$4:$P$35,AM$1+1,0)</f>
        <v>1</v>
      </c>
      <c r="AN33" s="31">
        <f>VLOOKUP($A33,'Stock Transfer'!$A$3:$AE$32,1+AM$1,0)</f>
        <v>3</v>
      </c>
      <c r="AO33" s="31">
        <f t="shared" si="32"/>
        <v>14</v>
      </c>
      <c r="AP33" s="31">
        <f t="shared" ref="AP33:BE33" si="218">MAX(AO33,0)</f>
        <v>14</v>
      </c>
      <c r="AQ33" s="31">
        <f>VLOOKUP($A33,C_Sales!$A$4:$P$35,AQ$1+1,0)</f>
        <v>2</v>
      </c>
      <c r="AR33" s="31">
        <f>VLOOKUP($A33,'Stock Transfer'!$A$3:$AE$32,1+AQ$1,0)</f>
        <v>2</v>
      </c>
      <c r="AS33" s="31">
        <f t="shared" si="34"/>
        <v>14</v>
      </c>
      <c r="AT33" s="31">
        <f t="shared" ref="AT33:BE33" si="219">MAX(AS33,0)</f>
        <v>14</v>
      </c>
      <c r="AU33" s="31">
        <f>VLOOKUP($A33,C_Sales!$A$4:$P$35,AU$1+1,0)</f>
        <v>2</v>
      </c>
      <c r="AV33" s="31">
        <f>VLOOKUP($A33,'Stock Transfer'!$A$3:$AE$32,1+AU$1,0)</f>
        <v>2</v>
      </c>
      <c r="AW33" s="31">
        <f t="shared" si="36"/>
        <v>14</v>
      </c>
      <c r="AX33" s="31">
        <f t="shared" ref="AX33:BE33" si="220">MAX(AW33,0)</f>
        <v>14</v>
      </c>
      <c r="AY33" s="31">
        <f>VLOOKUP($A33,C_Sales!$A$4:$P$35,AY$1+1,0)</f>
        <v>1</v>
      </c>
      <c r="AZ33" s="31">
        <f>VLOOKUP($A33,'Stock Transfer'!$A$3:$AE$32,1+AY$1,0)</f>
        <v>2</v>
      </c>
      <c r="BA33" s="31">
        <f t="shared" si="38"/>
        <v>15</v>
      </c>
      <c r="BB33" s="31">
        <f t="shared" ref="BB33:BE33" si="221">MAX(BA33,0)</f>
        <v>15</v>
      </c>
      <c r="BC33" s="31">
        <f>VLOOKUP($A33,C_Sales!$A$4:$P$35,BC$1+1,0)</f>
        <v>1</v>
      </c>
      <c r="BD33" s="31">
        <f>VLOOKUP($A33,'Stock Transfer'!$A$3:$AE$32,1+BC$1,0)</f>
        <v>2</v>
      </c>
      <c r="BE33" s="31">
        <f t="shared" si="40"/>
        <v>16</v>
      </c>
      <c r="BF33" s="31">
        <f t="shared" ref="BF33:BI33" si="222">MAX(BE33,0)</f>
        <v>16</v>
      </c>
      <c r="BG33" s="31">
        <f>VLOOKUP($A33,C_Sales!$A$4:$P$35,BG$1+1,0)</f>
        <v>1</v>
      </c>
      <c r="BH33" s="31">
        <f>VLOOKUP($A33,'Stock Transfer'!$A$3:$AE$32,1+BG$1,0)</f>
        <v>2</v>
      </c>
      <c r="BI33" s="31">
        <f t="shared" si="42"/>
        <v>17</v>
      </c>
    </row>
  </sheetData>
  <mergeCells count="15">
    <mergeCell ref="AX2:BA2"/>
    <mergeCell ref="BB2:BE2"/>
    <mergeCell ref="BF2:BI2"/>
    <mergeCell ref="Z2:AC2"/>
    <mergeCell ref="AD2:AG2"/>
    <mergeCell ref="AH2:AK2"/>
    <mergeCell ref="AL2:AO2"/>
    <mergeCell ref="AP2:AS2"/>
    <mergeCell ref="AT2:AW2"/>
    <mergeCell ref="B2:E2"/>
    <mergeCell ref="F2:I2"/>
    <mergeCell ref="J2:M2"/>
    <mergeCell ref="N2:Q2"/>
    <mergeCell ref="R2:U2"/>
    <mergeCell ref="V2:Y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workbookViewId="0">
      <selection activeCell="Q21" sqref="Q21"/>
    </sheetView>
  </sheetViews>
  <sheetFormatPr defaultRowHeight="13.2" x14ac:dyDescent="0.25"/>
  <cols>
    <col min="1" max="1" width="13.33203125" bestFit="1" customWidth="1"/>
    <col min="2" max="2" width="16.21875" bestFit="1" customWidth="1"/>
    <col min="3" max="16" width="10.33203125" bestFit="1" customWidth="1"/>
    <col min="17" max="17" width="11.33203125" bestFit="1" customWidth="1"/>
  </cols>
  <sheetData>
    <row r="1" spans="1:17" x14ac:dyDescent="0.25">
      <c r="A1" s="14" t="s">
        <v>101</v>
      </c>
      <c r="B1" t="s">
        <v>97</v>
      </c>
    </row>
    <row r="3" spans="1:17" x14ac:dyDescent="0.25">
      <c r="A3" s="14" t="s">
        <v>108</v>
      </c>
      <c r="B3" s="14" t="s">
        <v>115</v>
      </c>
    </row>
    <row r="4" spans="1:17" x14ac:dyDescent="0.25">
      <c r="A4" s="14" t="s">
        <v>107</v>
      </c>
      <c r="B4" s="26">
        <v>44287</v>
      </c>
      <c r="C4" s="26">
        <v>44288</v>
      </c>
      <c r="D4" s="26">
        <v>44289</v>
      </c>
      <c r="E4" s="26">
        <v>44290</v>
      </c>
      <c r="F4" s="26">
        <v>44291</v>
      </c>
      <c r="G4" s="26">
        <v>44292</v>
      </c>
      <c r="H4" s="26">
        <v>44293</v>
      </c>
      <c r="I4" s="26">
        <v>44294</v>
      </c>
      <c r="J4" s="26">
        <v>44295</v>
      </c>
      <c r="K4" s="26">
        <v>44296</v>
      </c>
      <c r="L4" s="26">
        <v>44297</v>
      </c>
      <c r="M4" s="26">
        <v>44298</v>
      </c>
      <c r="N4" s="26">
        <v>44299</v>
      </c>
      <c r="O4" s="26">
        <v>44300</v>
      </c>
      <c r="P4" s="26">
        <v>44301</v>
      </c>
      <c r="Q4" s="26" t="s">
        <v>103</v>
      </c>
    </row>
    <row r="5" spans="1:17" x14ac:dyDescent="0.25">
      <c r="A5" s="27" t="s">
        <v>36</v>
      </c>
      <c r="B5" s="16">
        <v>12</v>
      </c>
      <c r="C5" s="16">
        <v>28</v>
      </c>
      <c r="D5" s="16">
        <v>23</v>
      </c>
      <c r="E5" s="16">
        <v>24</v>
      </c>
      <c r="F5" s="16">
        <v>14</v>
      </c>
      <c r="G5" s="16">
        <v>8</v>
      </c>
      <c r="H5" s="16">
        <v>21</v>
      </c>
      <c r="I5" s="16">
        <v>1</v>
      </c>
      <c r="J5" s="16">
        <v>30</v>
      </c>
      <c r="K5" s="16">
        <v>23</v>
      </c>
      <c r="L5" s="16">
        <v>21</v>
      </c>
      <c r="M5" s="16">
        <v>14</v>
      </c>
      <c r="N5" s="16">
        <v>13</v>
      </c>
      <c r="O5" s="16">
        <v>28</v>
      </c>
      <c r="P5" s="16">
        <v>1</v>
      </c>
      <c r="Q5" s="16">
        <v>261</v>
      </c>
    </row>
    <row r="6" spans="1:17" x14ac:dyDescent="0.25">
      <c r="A6" s="27" t="s">
        <v>39</v>
      </c>
      <c r="B6" s="16">
        <v>3</v>
      </c>
      <c r="C6" s="16">
        <v>7</v>
      </c>
      <c r="D6" s="16">
        <v>13</v>
      </c>
      <c r="E6" s="16">
        <v>14</v>
      </c>
      <c r="F6" s="16">
        <v>6</v>
      </c>
      <c r="G6" s="16">
        <v>11</v>
      </c>
      <c r="H6" s="16">
        <v>9</v>
      </c>
      <c r="I6" s="16">
        <v>10</v>
      </c>
      <c r="J6" s="16">
        <v>11</v>
      </c>
      <c r="K6" s="16">
        <v>10</v>
      </c>
      <c r="L6" s="16">
        <v>1</v>
      </c>
      <c r="M6" s="16">
        <v>6</v>
      </c>
      <c r="N6" s="16">
        <v>13</v>
      </c>
      <c r="O6" s="16">
        <v>1</v>
      </c>
      <c r="P6" s="16">
        <v>16</v>
      </c>
      <c r="Q6" s="16">
        <v>131</v>
      </c>
    </row>
    <row r="7" spans="1:17" x14ac:dyDescent="0.25">
      <c r="A7" s="27" t="s">
        <v>42</v>
      </c>
      <c r="B7" s="16">
        <v>3</v>
      </c>
      <c r="C7" s="16">
        <v>5</v>
      </c>
      <c r="D7" s="16">
        <v>3</v>
      </c>
      <c r="E7" s="16">
        <v>10</v>
      </c>
      <c r="F7" s="16">
        <v>9</v>
      </c>
      <c r="G7" s="16">
        <v>7</v>
      </c>
      <c r="H7" s="16">
        <v>10</v>
      </c>
      <c r="I7" s="16">
        <v>10</v>
      </c>
      <c r="J7" s="16">
        <v>6</v>
      </c>
      <c r="K7" s="16">
        <v>11</v>
      </c>
      <c r="L7" s="16">
        <v>10</v>
      </c>
      <c r="M7" s="16">
        <v>2</v>
      </c>
      <c r="N7" s="16">
        <v>2</v>
      </c>
      <c r="O7" s="16">
        <v>4</v>
      </c>
      <c r="P7" s="16">
        <v>3</v>
      </c>
      <c r="Q7" s="16">
        <v>95</v>
      </c>
    </row>
    <row r="8" spans="1:17" x14ac:dyDescent="0.25">
      <c r="A8" s="27" t="s">
        <v>45</v>
      </c>
      <c r="B8" s="16">
        <v>8</v>
      </c>
      <c r="C8" s="16">
        <v>8</v>
      </c>
      <c r="D8" s="16">
        <v>5</v>
      </c>
      <c r="E8" s="16">
        <v>6</v>
      </c>
      <c r="F8" s="16">
        <v>7</v>
      </c>
      <c r="G8" s="16">
        <v>1</v>
      </c>
      <c r="H8" s="16">
        <v>10</v>
      </c>
      <c r="I8" s="16">
        <v>1</v>
      </c>
      <c r="J8" s="16">
        <v>3</v>
      </c>
      <c r="K8" s="16">
        <v>3</v>
      </c>
      <c r="L8" s="16">
        <v>5</v>
      </c>
      <c r="M8" s="16">
        <v>7</v>
      </c>
      <c r="N8" s="16">
        <v>6</v>
      </c>
      <c r="O8" s="16">
        <v>3</v>
      </c>
      <c r="P8" s="16">
        <v>4</v>
      </c>
      <c r="Q8" s="16">
        <v>77</v>
      </c>
    </row>
    <row r="9" spans="1:17" x14ac:dyDescent="0.25">
      <c r="A9" s="27" t="s">
        <v>48</v>
      </c>
      <c r="B9" s="16">
        <v>4</v>
      </c>
      <c r="C9" s="16">
        <v>6</v>
      </c>
      <c r="D9" s="16">
        <v>5</v>
      </c>
      <c r="E9" s="16">
        <v>5</v>
      </c>
      <c r="F9" s="16">
        <v>3</v>
      </c>
      <c r="G9" s="16">
        <v>2</v>
      </c>
      <c r="H9" s="16">
        <v>1</v>
      </c>
      <c r="I9" s="16">
        <v>4</v>
      </c>
      <c r="J9" s="16">
        <v>7</v>
      </c>
      <c r="K9" s="16">
        <v>2</v>
      </c>
      <c r="L9" s="16">
        <v>3</v>
      </c>
      <c r="M9" s="16">
        <v>4</v>
      </c>
      <c r="N9" s="16">
        <v>6</v>
      </c>
      <c r="O9" s="16">
        <v>6</v>
      </c>
      <c r="P9" s="16">
        <v>6</v>
      </c>
      <c r="Q9" s="16">
        <v>64</v>
      </c>
    </row>
    <row r="10" spans="1:17" x14ac:dyDescent="0.25">
      <c r="A10" s="27" t="s">
        <v>51</v>
      </c>
      <c r="B10" s="16">
        <v>4</v>
      </c>
      <c r="C10" s="16">
        <v>2</v>
      </c>
      <c r="D10" s="16">
        <v>5</v>
      </c>
      <c r="E10" s="16">
        <v>3</v>
      </c>
      <c r="F10" s="16">
        <v>3</v>
      </c>
      <c r="G10" s="16">
        <v>5</v>
      </c>
      <c r="H10" s="16">
        <v>2</v>
      </c>
      <c r="I10" s="16">
        <v>3</v>
      </c>
      <c r="J10" s="16">
        <v>1</v>
      </c>
      <c r="K10" s="16">
        <v>2</v>
      </c>
      <c r="L10" s="16">
        <v>1</v>
      </c>
      <c r="M10" s="16">
        <v>2</v>
      </c>
      <c r="N10" s="16">
        <v>4</v>
      </c>
      <c r="O10" s="16">
        <v>5</v>
      </c>
      <c r="P10" s="16">
        <v>3</v>
      </c>
      <c r="Q10" s="16">
        <v>45</v>
      </c>
    </row>
    <row r="11" spans="1:17" x14ac:dyDescent="0.25">
      <c r="A11" s="27" t="s">
        <v>54</v>
      </c>
      <c r="B11" s="16">
        <v>2</v>
      </c>
      <c r="C11" s="16">
        <v>2</v>
      </c>
      <c r="D11" s="16">
        <v>4</v>
      </c>
      <c r="E11" s="16">
        <v>3</v>
      </c>
      <c r="F11" s="16">
        <v>3</v>
      </c>
      <c r="G11" s="16">
        <v>1</v>
      </c>
      <c r="H11" s="16">
        <v>1</v>
      </c>
      <c r="I11" s="16">
        <v>2</v>
      </c>
      <c r="J11" s="16">
        <v>3</v>
      </c>
      <c r="K11" s="16">
        <v>2</v>
      </c>
      <c r="L11" s="16">
        <v>3</v>
      </c>
      <c r="M11" s="16">
        <v>3</v>
      </c>
      <c r="N11" s="16">
        <v>3</v>
      </c>
      <c r="O11" s="16">
        <v>3</v>
      </c>
      <c r="P11" s="16">
        <v>2</v>
      </c>
      <c r="Q11" s="16">
        <v>37</v>
      </c>
    </row>
    <row r="12" spans="1:17" x14ac:dyDescent="0.25">
      <c r="A12" s="27" t="s">
        <v>57</v>
      </c>
      <c r="B12" s="16">
        <v>2</v>
      </c>
      <c r="C12" s="16">
        <v>0</v>
      </c>
      <c r="D12" s="16">
        <v>2</v>
      </c>
      <c r="E12" s="16">
        <v>3</v>
      </c>
      <c r="F12" s="16">
        <v>1</v>
      </c>
      <c r="G12" s="16">
        <v>0</v>
      </c>
      <c r="H12" s="16">
        <v>1</v>
      </c>
      <c r="I12" s="16">
        <v>1</v>
      </c>
      <c r="J12" s="16">
        <v>1</v>
      </c>
      <c r="K12" s="16">
        <v>2</v>
      </c>
      <c r="L12" s="16">
        <v>1</v>
      </c>
      <c r="M12" s="16">
        <v>2</v>
      </c>
      <c r="N12" s="16">
        <v>1</v>
      </c>
      <c r="O12" s="16">
        <v>1</v>
      </c>
      <c r="P12" s="16">
        <v>2</v>
      </c>
      <c r="Q12" s="16">
        <v>20</v>
      </c>
    </row>
    <row r="13" spans="1:17" x14ac:dyDescent="0.25">
      <c r="A13" s="27" t="s">
        <v>60</v>
      </c>
      <c r="B13" s="16">
        <v>0</v>
      </c>
      <c r="C13" s="16">
        <v>1</v>
      </c>
      <c r="D13" s="16">
        <v>1</v>
      </c>
      <c r="E13" s="16">
        <v>2</v>
      </c>
      <c r="F13" s="16">
        <v>1</v>
      </c>
      <c r="G13" s="16">
        <v>1</v>
      </c>
      <c r="H13" s="16">
        <v>3</v>
      </c>
      <c r="I13" s="16">
        <v>2</v>
      </c>
      <c r="J13" s="16">
        <v>1</v>
      </c>
      <c r="K13" s="16">
        <v>1</v>
      </c>
      <c r="L13" s="16">
        <v>1</v>
      </c>
      <c r="M13" s="16">
        <v>2</v>
      </c>
      <c r="N13" s="16">
        <v>2</v>
      </c>
      <c r="O13" s="16">
        <v>2</v>
      </c>
      <c r="P13" s="16">
        <v>1</v>
      </c>
      <c r="Q13" s="16">
        <v>21</v>
      </c>
    </row>
    <row r="14" spans="1:17" x14ac:dyDescent="0.25">
      <c r="A14" s="27" t="s">
        <v>63</v>
      </c>
      <c r="B14" s="16">
        <v>3</v>
      </c>
      <c r="C14" s="16">
        <v>2</v>
      </c>
      <c r="D14" s="16">
        <v>3</v>
      </c>
      <c r="E14" s="16">
        <v>0</v>
      </c>
      <c r="F14" s="16">
        <v>1</v>
      </c>
      <c r="G14" s="16">
        <v>2</v>
      </c>
      <c r="H14" s="16">
        <v>2</v>
      </c>
      <c r="I14" s="16">
        <v>2</v>
      </c>
      <c r="J14" s="16">
        <v>0</v>
      </c>
      <c r="K14" s="16">
        <v>1</v>
      </c>
      <c r="L14" s="16">
        <v>2</v>
      </c>
      <c r="M14" s="16">
        <v>3</v>
      </c>
      <c r="N14" s="16">
        <v>2</v>
      </c>
      <c r="O14" s="16">
        <v>2</v>
      </c>
      <c r="P14" s="16">
        <v>3</v>
      </c>
      <c r="Q14" s="16">
        <v>28</v>
      </c>
    </row>
    <row r="15" spans="1:17" x14ac:dyDescent="0.25">
      <c r="A15" s="27" t="s">
        <v>67</v>
      </c>
      <c r="B15" s="16">
        <v>9</v>
      </c>
      <c r="C15" s="16">
        <v>12</v>
      </c>
      <c r="D15" s="16">
        <v>11</v>
      </c>
      <c r="E15" s="16">
        <v>9</v>
      </c>
      <c r="F15" s="16">
        <v>13</v>
      </c>
      <c r="G15" s="16">
        <v>11</v>
      </c>
      <c r="H15" s="16">
        <v>11</v>
      </c>
      <c r="I15" s="16">
        <v>6</v>
      </c>
      <c r="J15" s="16">
        <v>15</v>
      </c>
      <c r="K15" s="16">
        <v>4</v>
      </c>
      <c r="L15" s="16">
        <v>12</v>
      </c>
      <c r="M15" s="16">
        <v>11</v>
      </c>
      <c r="N15" s="16">
        <v>3</v>
      </c>
      <c r="O15" s="16">
        <v>14</v>
      </c>
      <c r="P15" s="16">
        <v>9</v>
      </c>
      <c r="Q15" s="16">
        <v>150</v>
      </c>
    </row>
    <row r="16" spans="1:17" x14ac:dyDescent="0.25">
      <c r="A16" s="27" t="s">
        <v>70</v>
      </c>
      <c r="B16" s="16">
        <v>7</v>
      </c>
      <c r="C16" s="16">
        <v>2</v>
      </c>
      <c r="D16" s="16">
        <v>8</v>
      </c>
      <c r="E16" s="16">
        <v>9</v>
      </c>
      <c r="F16" s="16">
        <v>2</v>
      </c>
      <c r="G16" s="16">
        <v>5</v>
      </c>
      <c r="H16" s="16">
        <v>11</v>
      </c>
      <c r="I16" s="16">
        <v>8</v>
      </c>
      <c r="J16" s="16">
        <v>5</v>
      </c>
      <c r="K16" s="16">
        <v>3</v>
      </c>
      <c r="L16" s="16">
        <v>8</v>
      </c>
      <c r="M16" s="16">
        <v>7</v>
      </c>
      <c r="N16" s="16">
        <v>5</v>
      </c>
      <c r="O16" s="16">
        <v>6</v>
      </c>
      <c r="P16" s="16">
        <v>2</v>
      </c>
      <c r="Q16" s="16">
        <v>88</v>
      </c>
    </row>
    <row r="17" spans="1:17" x14ac:dyDescent="0.25">
      <c r="A17" s="27" t="s">
        <v>73</v>
      </c>
      <c r="B17" s="16">
        <v>6</v>
      </c>
      <c r="C17" s="16">
        <v>3</v>
      </c>
      <c r="D17" s="16">
        <v>4</v>
      </c>
      <c r="E17" s="16">
        <v>2</v>
      </c>
      <c r="F17" s="16">
        <v>1</v>
      </c>
      <c r="G17" s="16">
        <v>5</v>
      </c>
      <c r="H17" s="16">
        <v>6</v>
      </c>
      <c r="I17" s="16">
        <v>6</v>
      </c>
      <c r="J17" s="16">
        <v>4</v>
      </c>
      <c r="K17" s="16">
        <v>4</v>
      </c>
      <c r="L17" s="16">
        <v>4</v>
      </c>
      <c r="M17" s="16">
        <v>1</v>
      </c>
      <c r="N17" s="16">
        <v>5</v>
      </c>
      <c r="O17" s="16">
        <v>5</v>
      </c>
      <c r="P17" s="16">
        <v>6</v>
      </c>
      <c r="Q17" s="16">
        <v>62</v>
      </c>
    </row>
    <row r="18" spans="1:17" x14ac:dyDescent="0.25">
      <c r="A18" s="27" t="s">
        <v>76</v>
      </c>
      <c r="B18" s="16">
        <v>4</v>
      </c>
      <c r="C18" s="16">
        <v>5</v>
      </c>
      <c r="D18" s="16">
        <v>4</v>
      </c>
      <c r="E18" s="16">
        <v>2</v>
      </c>
      <c r="F18" s="16">
        <v>4</v>
      </c>
      <c r="G18" s="16">
        <v>5</v>
      </c>
      <c r="H18" s="16">
        <v>2</v>
      </c>
      <c r="I18" s="16">
        <v>2</v>
      </c>
      <c r="J18" s="16">
        <v>1</v>
      </c>
      <c r="K18" s="16">
        <v>3</v>
      </c>
      <c r="L18" s="16">
        <v>3</v>
      </c>
      <c r="M18" s="16">
        <v>3</v>
      </c>
      <c r="N18" s="16">
        <v>2</v>
      </c>
      <c r="O18" s="16">
        <v>4</v>
      </c>
      <c r="P18" s="16">
        <v>2</v>
      </c>
      <c r="Q18" s="16">
        <v>46</v>
      </c>
    </row>
    <row r="19" spans="1:17" x14ac:dyDescent="0.25">
      <c r="A19" s="27" t="s">
        <v>78</v>
      </c>
      <c r="B19" s="16">
        <v>4</v>
      </c>
      <c r="C19" s="16">
        <v>6</v>
      </c>
      <c r="D19" s="16">
        <v>2</v>
      </c>
      <c r="E19" s="16">
        <v>6</v>
      </c>
      <c r="F19" s="16">
        <v>3</v>
      </c>
      <c r="G19" s="16">
        <v>6</v>
      </c>
      <c r="H19" s="16">
        <v>2</v>
      </c>
      <c r="I19" s="16">
        <v>5</v>
      </c>
      <c r="J19" s="16">
        <v>4</v>
      </c>
      <c r="K19" s="16">
        <v>4</v>
      </c>
      <c r="L19" s="16">
        <v>5</v>
      </c>
      <c r="M19" s="16">
        <v>5</v>
      </c>
      <c r="N19" s="16">
        <v>4</v>
      </c>
      <c r="O19" s="16">
        <v>5</v>
      </c>
      <c r="P19" s="16">
        <v>5</v>
      </c>
      <c r="Q19" s="16">
        <v>66</v>
      </c>
    </row>
    <row r="20" spans="1:17" x14ac:dyDescent="0.25">
      <c r="A20" s="27" t="s">
        <v>81</v>
      </c>
      <c r="B20" s="16">
        <v>3</v>
      </c>
      <c r="C20" s="16">
        <v>5</v>
      </c>
      <c r="D20" s="16">
        <v>2</v>
      </c>
      <c r="E20" s="16">
        <v>4</v>
      </c>
      <c r="F20" s="16">
        <v>3</v>
      </c>
      <c r="G20" s="16">
        <v>2</v>
      </c>
      <c r="H20" s="16">
        <v>3</v>
      </c>
      <c r="I20" s="16">
        <v>2</v>
      </c>
      <c r="J20" s="16">
        <v>3</v>
      </c>
      <c r="K20" s="16">
        <v>4</v>
      </c>
      <c r="L20" s="16">
        <v>5</v>
      </c>
      <c r="M20" s="16">
        <v>3</v>
      </c>
      <c r="N20" s="16">
        <v>2</v>
      </c>
      <c r="O20" s="16">
        <v>2</v>
      </c>
      <c r="P20" s="16">
        <v>1</v>
      </c>
      <c r="Q20" s="16">
        <v>44</v>
      </c>
    </row>
    <row r="21" spans="1:17" x14ac:dyDescent="0.25">
      <c r="A21" s="27" t="s">
        <v>84</v>
      </c>
      <c r="B21" s="16">
        <v>4</v>
      </c>
      <c r="C21" s="16">
        <v>3</v>
      </c>
      <c r="D21" s="16">
        <v>5</v>
      </c>
      <c r="E21" s="16">
        <v>3</v>
      </c>
      <c r="F21" s="16">
        <v>3</v>
      </c>
      <c r="G21" s="16">
        <v>4</v>
      </c>
      <c r="H21" s="16">
        <v>3</v>
      </c>
      <c r="I21" s="16">
        <v>4</v>
      </c>
      <c r="J21" s="16">
        <v>2</v>
      </c>
      <c r="K21" s="16">
        <v>4</v>
      </c>
      <c r="L21" s="16">
        <v>3</v>
      </c>
      <c r="M21" s="16">
        <v>3</v>
      </c>
      <c r="N21" s="16">
        <v>3</v>
      </c>
      <c r="O21" s="16">
        <v>3</v>
      </c>
      <c r="P21" s="16">
        <v>5</v>
      </c>
      <c r="Q21" s="16">
        <v>52</v>
      </c>
    </row>
    <row r="22" spans="1:17" x14ac:dyDescent="0.25">
      <c r="A22" s="27" t="s">
        <v>87</v>
      </c>
      <c r="B22" s="16">
        <v>2</v>
      </c>
      <c r="C22" s="16">
        <v>2</v>
      </c>
      <c r="D22" s="16">
        <v>2</v>
      </c>
      <c r="E22" s="16">
        <v>1</v>
      </c>
      <c r="F22" s="16">
        <v>1</v>
      </c>
      <c r="G22" s="16">
        <v>2</v>
      </c>
      <c r="H22" s="16">
        <v>2</v>
      </c>
      <c r="I22" s="16">
        <v>1</v>
      </c>
      <c r="J22" s="16">
        <v>1</v>
      </c>
      <c r="K22" s="16">
        <v>0</v>
      </c>
      <c r="L22" s="16">
        <v>2</v>
      </c>
      <c r="M22" s="16">
        <v>0</v>
      </c>
      <c r="N22" s="16">
        <v>3</v>
      </c>
      <c r="O22" s="16">
        <v>2</v>
      </c>
      <c r="P22" s="16">
        <v>1</v>
      </c>
      <c r="Q22" s="16">
        <v>22</v>
      </c>
    </row>
    <row r="23" spans="1:17" x14ac:dyDescent="0.25">
      <c r="A23" s="27" t="s">
        <v>90</v>
      </c>
      <c r="B23" s="16">
        <v>0</v>
      </c>
      <c r="C23" s="16">
        <v>0</v>
      </c>
      <c r="D23" s="16">
        <v>2</v>
      </c>
      <c r="E23" s="16">
        <v>0</v>
      </c>
      <c r="F23" s="16">
        <v>2</v>
      </c>
      <c r="G23" s="16">
        <v>2</v>
      </c>
      <c r="H23" s="16">
        <v>1</v>
      </c>
      <c r="I23" s="16">
        <v>2</v>
      </c>
      <c r="J23" s="16">
        <v>1</v>
      </c>
      <c r="K23" s="16">
        <v>2</v>
      </c>
      <c r="L23" s="16">
        <v>2</v>
      </c>
      <c r="M23" s="16">
        <v>1</v>
      </c>
      <c r="N23" s="16">
        <v>2</v>
      </c>
      <c r="O23" s="16">
        <v>1</v>
      </c>
      <c r="P23" s="16">
        <v>2</v>
      </c>
      <c r="Q23" s="16">
        <v>20</v>
      </c>
    </row>
    <row r="24" spans="1:17" x14ac:dyDescent="0.25">
      <c r="A24" s="27" t="s">
        <v>93</v>
      </c>
      <c r="B24" s="16">
        <v>2</v>
      </c>
      <c r="C24" s="16">
        <v>1</v>
      </c>
      <c r="D24" s="16">
        <v>0</v>
      </c>
      <c r="E24" s="16">
        <v>2</v>
      </c>
      <c r="F24" s="16">
        <v>0</v>
      </c>
      <c r="G24" s="16">
        <v>0</v>
      </c>
      <c r="H24" s="16">
        <v>0</v>
      </c>
      <c r="I24" s="16">
        <v>1</v>
      </c>
      <c r="J24" s="16">
        <v>0</v>
      </c>
      <c r="K24" s="16">
        <v>1</v>
      </c>
      <c r="L24" s="16">
        <v>0</v>
      </c>
      <c r="M24" s="16">
        <v>0</v>
      </c>
      <c r="N24" s="16">
        <v>2</v>
      </c>
      <c r="O24" s="16">
        <v>1</v>
      </c>
      <c r="P24" s="16">
        <v>0</v>
      </c>
      <c r="Q24" s="16">
        <v>10</v>
      </c>
    </row>
    <row r="25" spans="1:17" x14ac:dyDescent="0.25">
      <c r="A25" s="27" t="s">
        <v>6</v>
      </c>
      <c r="B25" s="16">
        <v>14</v>
      </c>
      <c r="C25" s="16">
        <v>10</v>
      </c>
      <c r="D25" s="16">
        <v>4</v>
      </c>
      <c r="E25" s="16">
        <v>8</v>
      </c>
      <c r="F25" s="16">
        <v>2</v>
      </c>
      <c r="G25" s="16">
        <v>6</v>
      </c>
      <c r="H25" s="16">
        <v>11</v>
      </c>
      <c r="I25" s="16">
        <v>13</v>
      </c>
      <c r="J25" s="16">
        <v>14</v>
      </c>
      <c r="K25" s="16">
        <v>2</v>
      </c>
      <c r="L25" s="16">
        <v>11</v>
      </c>
      <c r="M25" s="16">
        <v>3</v>
      </c>
      <c r="N25" s="16">
        <v>8</v>
      </c>
      <c r="O25" s="16">
        <v>10</v>
      </c>
      <c r="P25" s="16">
        <v>12</v>
      </c>
      <c r="Q25" s="16">
        <v>128</v>
      </c>
    </row>
    <row r="26" spans="1:17" x14ac:dyDescent="0.25">
      <c r="A26" s="27" t="s">
        <v>9</v>
      </c>
      <c r="B26" s="16">
        <v>9</v>
      </c>
      <c r="C26" s="16">
        <v>7</v>
      </c>
      <c r="D26" s="16">
        <v>4</v>
      </c>
      <c r="E26" s="16">
        <v>8</v>
      </c>
      <c r="F26" s="16">
        <v>5</v>
      </c>
      <c r="G26" s="16">
        <v>5</v>
      </c>
      <c r="H26" s="16">
        <v>1</v>
      </c>
      <c r="I26" s="16">
        <v>6</v>
      </c>
      <c r="J26" s="16">
        <v>6</v>
      </c>
      <c r="K26" s="16">
        <v>5</v>
      </c>
      <c r="L26" s="16">
        <v>6</v>
      </c>
      <c r="M26" s="16">
        <v>6</v>
      </c>
      <c r="N26" s="16">
        <v>5</v>
      </c>
      <c r="O26" s="16">
        <v>6</v>
      </c>
      <c r="P26" s="16">
        <v>5</v>
      </c>
      <c r="Q26" s="16">
        <v>84</v>
      </c>
    </row>
    <row r="27" spans="1:17" x14ac:dyDescent="0.25">
      <c r="A27" s="27" t="s">
        <v>12</v>
      </c>
      <c r="B27" s="16">
        <v>6</v>
      </c>
      <c r="C27" s="16">
        <v>6</v>
      </c>
      <c r="D27" s="16">
        <v>4</v>
      </c>
      <c r="E27" s="16">
        <v>2</v>
      </c>
      <c r="F27" s="16">
        <v>4</v>
      </c>
      <c r="G27" s="16">
        <v>3</v>
      </c>
      <c r="H27" s="16">
        <v>6</v>
      </c>
      <c r="I27" s="16">
        <v>6</v>
      </c>
      <c r="J27" s="16">
        <v>6</v>
      </c>
      <c r="K27" s="16">
        <v>3</v>
      </c>
      <c r="L27" s="16">
        <v>5</v>
      </c>
      <c r="M27" s="16">
        <v>2</v>
      </c>
      <c r="N27" s="16">
        <v>6</v>
      </c>
      <c r="O27" s="16">
        <v>5</v>
      </c>
      <c r="P27" s="16">
        <v>3</v>
      </c>
      <c r="Q27" s="16">
        <v>67</v>
      </c>
    </row>
    <row r="28" spans="1:17" x14ac:dyDescent="0.25">
      <c r="A28" s="27" t="s">
        <v>15</v>
      </c>
      <c r="B28" s="16">
        <v>5</v>
      </c>
      <c r="C28" s="16">
        <v>5</v>
      </c>
      <c r="D28" s="16">
        <v>4</v>
      </c>
      <c r="E28" s="16">
        <v>5</v>
      </c>
      <c r="F28" s="16">
        <v>2</v>
      </c>
      <c r="G28" s="16">
        <v>5</v>
      </c>
      <c r="H28" s="16">
        <v>3</v>
      </c>
      <c r="I28" s="16">
        <v>4</v>
      </c>
      <c r="J28" s="16">
        <v>6</v>
      </c>
      <c r="K28" s="16">
        <v>4</v>
      </c>
      <c r="L28" s="16">
        <v>3</v>
      </c>
      <c r="M28" s="16">
        <v>5</v>
      </c>
      <c r="N28" s="16">
        <v>6</v>
      </c>
      <c r="O28" s="16">
        <v>2</v>
      </c>
      <c r="P28" s="16">
        <v>4</v>
      </c>
      <c r="Q28" s="16">
        <v>63</v>
      </c>
    </row>
    <row r="29" spans="1:17" x14ac:dyDescent="0.25">
      <c r="A29" s="27" t="s">
        <v>17</v>
      </c>
      <c r="B29" s="16">
        <v>2</v>
      </c>
      <c r="C29" s="16">
        <v>1</v>
      </c>
      <c r="D29" s="16">
        <v>3</v>
      </c>
      <c r="E29" s="16">
        <v>2</v>
      </c>
      <c r="F29" s="16">
        <v>2</v>
      </c>
      <c r="G29" s="16">
        <v>4</v>
      </c>
      <c r="H29" s="16">
        <v>3</v>
      </c>
      <c r="I29" s="16">
        <v>5</v>
      </c>
      <c r="J29" s="16">
        <v>4</v>
      </c>
      <c r="K29" s="16">
        <v>3</v>
      </c>
      <c r="L29" s="16">
        <v>3</v>
      </c>
      <c r="M29" s="16">
        <v>3</v>
      </c>
      <c r="N29" s="16">
        <v>4</v>
      </c>
      <c r="O29" s="16">
        <v>3</v>
      </c>
      <c r="P29" s="16">
        <v>2</v>
      </c>
      <c r="Q29" s="16">
        <v>44</v>
      </c>
    </row>
    <row r="30" spans="1:17" x14ac:dyDescent="0.25">
      <c r="A30" s="27" t="s">
        <v>20</v>
      </c>
      <c r="B30" s="16">
        <v>2</v>
      </c>
      <c r="C30" s="16">
        <v>2</v>
      </c>
      <c r="D30" s="16">
        <v>1</v>
      </c>
      <c r="E30" s="16">
        <v>1</v>
      </c>
      <c r="F30" s="16">
        <v>2</v>
      </c>
      <c r="G30" s="16">
        <v>1</v>
      </c>
      <c r="H30" s="16">
        <v>2</v>
      </c>
      <c r="I30" s="16">
        <v>2</v>
      </c>
      <c r="J30" s="16">
        <v>1</v>
      </c>
      <c r="K30" s="16">
        <v>3</v>
      </c>
      <c r="L30" s="16">
        <v>2</v>
      </c>
      <c r="M30" s="16">
        <v>2</v>
      </c>
      <c r="N30" s="16">
        <v>2</v>
      </c>
      <c r="O30" s="16">
        <v>2</v>
      </c>
      <c r="P30" s="16">
        <v>2</v>
      </c>
      <c r="Q30" s="16">
        <v>27</v>
      </c>
    </row>
    <row r="31" spans="1:17" x14ac:dyDescent="0.25">
      <c r="A31" s="27" t="s">
        <v>23</v>
      </c>
      <c r="B31" s="16">
        <v>2</v>
      </c>
      <c r="C31" s="16">
        <v>2</v>
      </c>
      <c r="D31" s="16">
        <v>3</v>
      </c>
      <c r="E31" s="16">
        <v>2</v>
      </c>
      <c r="F31" s="16">
        <v>2</v>
      </c>
      <c r="G31" s="16">
        <v>1</v>
      </c>
      <c r="H31" s="16">
        <v>2</v>
      </c>
      <c r="I31" s="16">
        <v>2</v>
      </c>
      <c r="J31" s="16">
        <v>2</v>
      </c>
      <c r="K31" s="16">
        <v>1</v>
      </c>
      <c r="L31" s="16">
        <v>2</v>
      </c>
      <c r="M31" s="16">
        <v>1</v>
      </c>
      <c r="N31" s="16">
        <v>2</v>
      </c>
      <c r="O31" s="16">
        <v>2</v>
      </c>
      <c r="P31" s="16">
        <v>2</v>
      </c>
      <c r="Q31" s="16">
        <v>28</v>
      </c>
    </row>
    <row r="32" spans="1:17" x14ac:dyDescent="0.25">
      <c r="A32" s="27" t="s">
        <v>26</v>
      </c>
      <c r="B32" s="16">
        <v>1</v>
      </c>
      <c r="C32" s="16">
        <v>0</v>
      </c>
      <c r="D32" s="16">
        <v>0</v>
      </c>
      <c r="E32" s="16">
        <v>1</v>
      </c>
      <c r="F32" s="16">
        <v>2</v>
      </c>
      <c r="G32" s="16">
        <v>2</v>
      </c>
      <c r="H32" s="16">
        <v>2</v>
      </c>
      <c r="I32" s="16">
        <v>1</v>
      </c>
      <c r="J32" s="16">
        <v>1</v>
      </c>
      <c r="K32" s="16">
        <v>1</v>
      </c>
      <c r="L32" s="16">
        <v>0</v>
      </c>
      <c r="M32" s="16">
        <v>0</v>
      </c>
      <c r="N32" s="16">
        <v>0</v>
      </c>
      <c r="O32" s="16">
        <v>1</v>
      </c>
      <c r="P32" s="16">
        <v>0</v>
      </c>
      <c r="Q32" s="16">
        <v>12</v>
      </c>
    </row>
    <row r="33" spans="1:17" x14ac:dyDescent="0.25">
      <c r="A33" s="27" t="s">
        <v>29</v>
      </c>
      <c r="B33" s="16">
        <v>1</v>
      </c>
      <c r="C33" s="16">
        <v>2</v>
      </c>
      <c r="D33" s="16">
        <v>0</v>
      </c>
      <c r="E33" s="16">
        <v>1</v>
      </c>
      <c r="F33" s="16">
        <v>1</v>
      </c>
      <c r="G33" s="16">
        <v>1</v>
      </c>
      <c r="H33" s="16">
        <v>2</v>
      </c>
      <c r="I33" s="16">
        <v>1</v>
      </c>
      <c r="J33" s="16">
        <v>1</v>
      </c>
      <c r="K33" s="16">
        <v>2</v>
      </c>
      <c r="L33" s="16">
        <v>2</v>
      </c>
      <c r="M33" s="16">
        <v>2</v>
      </c>
      <c r="N33" s="16">
        <v>1</v>
      </c>
      <c r="O33" s="16">
        <v>1</v>
      </c>
      <c r="P33" s="16">
        <v>2</v>
      </c>
      <c r="Q33" s="16">
        <v>20</v>
      </c>
    </row>
    <row r="34" spans="1:17" x14ac:dyDescent="0.25">
      <c r="A34" s="27" t="s">
        <v>32</v>
      </c>
      <c r="B34" s="16">
        <v>2</v>
      </c>
      <c r="C34" s="16">
        <v>2</v>
      </c>
      <c r="D34" s="16">
        <v>1</v>
      </c>
      <c r="E34" s="16">
        <v>1</v>
      </c>
      <c r="F34" s="16">
        <v>1</v>
      </c>
      <c r="G34" s="16">
        <v>1</v>
      </c>
      <c r="H34" s="16">
        <v>2</v>
      </c>
      <c r="I34" s="16">
        <v>0</v>
      </c>
      <c r="J34" s="16">
        <v>0</v>
      </c>
      <c r="K34" s="16">
        <v>1</v>
      </c>
      <c r="L34" s="16">
        <v>2</v>
      </c>
      <c r="M34" s="16">
        <v>2</v>
      </c>
      <c r="N34" s="16">
        <v>1</v>
      </c>
      <c r="O34" s="16">
        <v>1</v>
      </c>
      <c r="P34" s="16">
        <v>1</v>
      </c>
      <c r="Q34" s="16">
        <v>18</v>
      </c>
    </row>
    <row r="35" spans="1:17" x14ac:dyDescent="0.25">
      <c r="A35" s="27" t="s">
        <v>103</v>
      </c>
      <c r="B35" s="16">
        <v>126</v>
      </c>
      <c r="C35" s="16">
        <v>137</v>
      </c>
      <c r="D35" s="16">
        <v>128</v>
      </c>
      <c r="E35" s="16">
        <v>139</v>
      </c>
      <c r="F35" s="16">
        <v>103</v>
      </c>
      <c r="G35" s="16">
        <v>109</v>
      </c>
      <c r="H35" s="16">
        <v>135</v>
      </c>
      <c r="I35" s="16">
        <v>113</v>
      </c>
      <c r="J35" s="16">
        <v>140</v>
      </c>
      <c r="K35" s="16">
        <v>111</v>
      </c>
      <c r="L35" s="16">
        <v>128</v>
      </c>
      <c r="M35" s="16">
        <v>105</v>
      </c>
      <c r="N35" s="16">
        <v>118</v>
      </c>
      <c r="O35" s="16">
        <v>131</v>
      </c>
      <c r="P35" s="16">
        <v>107</v>
      </c>
      <c r="Q35" s="16">
        <v>1830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351"/>
  <sheetViews>
    <sheetView workbookViewId="0">
      <selection sqref="A1:G1351"/>
    </sheetView>
  </sheetViews>
  <sheetFormatPr defaultColWidth="12.6640625" defaultRowHeight="15.75" customHeight="1" x14ac:dyDescent="0.3"/>
  <cols>
    <col min="1" max="16384" width="12.6640625" style="17"/>
  </cols>
  <sheetData>
    <row r="1" spans="1:7" ht="14.4" x14ac:dyDescent="0.3">
      <c r="A1" s="12" t="s">
        <v>100</v>
      </c>
      <c r="B1" s="13" t="s">
        <v>1</v>
      </c>
      <c r="C1" s="13" t="s">
        <v>101</v>
      </c>
      <c r="D1" s="13" t="s">
        <v>102</v>
      </c>
      <c r="E1" s="13" t="s">
        <v>105</v>
      </c>
      <c r="F1" s="13" t="s">
        <v>106</v>
      </c>
      <c r="G1" s="17" t="s">
        <v>126</v>
      </c>
    </row>
    <row r="2" spans="1:7" ht="14.4" x14ac:dyDescent="0.3">
      <c r="A2" s="22">
        <v>44287</v>
      </c>
      <c r="B2" s="23" t="s">
        <v>6</v>
      </c>
      <c r="C2" s="23" t="s">
        <v>96</v>
      </c>
      <c r="D2" s="24">
        <v>26</v>
      </c>
      <c r="E2" s="17">
        <f>VLOOKUP(B2,'SKU Master'!$B$2:$E$31,4,0)</f>
        <v>210</v>
      </c>
      <c r="F2" s="25">
        <f>D2*E2</f>
        <v>5460</v>
      </c>
      <c r="G2" s="40" t="str">
        <f>CHOOSE(WEEKDAY(A2),"Sun","Mon","Tue","Wed","Thu","Fri","Sat")</f>
        <v>Thu</v>
      </c>
    </row>
    <row r="3" spans="1:7" ht="14.4" x14ac:dyDescent="0.3">
      <c r="A3" s="22">
        <v>44287</v>
      </c>
      <c r="B3" s="23" t="s">
        <v>9</v>
      </c>
      <c r="C3" s="23" t="s">
        <v>96</v>
      </c>
      <c r="D3" s="24">
        <v>13</v>
      </c>
      <c r="E3" s="17">
        <f>VLOOKUP(B3,'SKU Master'!$B$2:$E$31,4,0)</f>
        <v>199</v>
      </c>
      <c r="F3" s="25">
        <f t="shared" ref="F3:F66" si="0">D3*E3</f>
        <v>2587</v>
      </c>
      <c r="G3" s="40" t="str">
        <f>CHOOSE(WEEKDAY(A3),"Sun","Mon","Tue","Wed","Thu","Fri","Sat")</f>
        <v>Thu</v>
      </c>
    </row>
    <row r="4" spans="1:7" ht="14.4" x14ac:dyDescent="0.3">
      <c r="A4" s="22">
        <v>44287</v>
      </c>
      <c r="B4" s="23" t="s">
        <v>12</v>
      </c>
      <c r="C4" s="23" t="s">
        <v>96</v>
      </c>
      <c r="D4" s="24">
        <v>9</v>
      </c>
      <c r="E4" s="17">
        <f>VLOOKUP(B4,'SKU Master'!$B$2:$E$31,4,0)</f>
        <v>322</v>
      </c>
      <c r="F4" s="25">
        <f t="shared" si="0"/>
        <v>2898</v>
      </c>
      <c r="G4" s="40" t="str">
        <f t="shared" ref="G4:G67" si="1">CHOOSE(WEEKDAY(A4),"Sun","Mon","Tue","Wed","Thu","Fri","Sat")</f>
        <v>Thu</v>
      </c>
    </row>
    <row r="5" spans="1:7" ht="14.4" x14ac:dyDescent="0.3">
      <c r="A5" s="22">
        <v>44287</v>
      </c>
      <c r="B5" s="23" t="s">
        <v>15</v>
      </c>
      <c r="C5" s="23" t="s">
        <v>96</v>
      </c>
      <c r="D5" s="24">
        <v>6</v>
      </c>
      <c r="E5" s="17">
        <f>VLOOKUP(B5,'SKU Master'!$B$2:$E$31,4,0)</f>
        <v>161</v>
      </c>
      <c r="F5" s="25">
        <f t="shared" si="0"/>
        <v>966</v>
      </c>
      <c r="G5" s="40" t="str">
        <f t="shared" si="1"/>
        <v>Thu</v>
      </c>
    </row>
    <row r="6" spans="1:7" ht="14.4" x14ac:dyDescent="0.3">
      <c r="A6" s="22">
        <v>44287</v>
      </c>
      <c r="B6" s="23" t="s">
        <v>17</v>
      </c>
      <c r="C6" s="23" t="s">
        <v>96</v>
      </c>
      <c r="D6" s="24">
        <v>8</v>
      </c>
      <c r="E6" s="17">
        <f>VLOOKUP(B6,'SKU Master'!$B$2:$E$31,4,0)</f>
        <v>109</v>
      </c>
      <c r="F6" s="25">
        <f t="shared" si="0"/>
        <v>872</v>
      </c>
      <c r="G6" s="40" t="str">
        <f t="shared" si="1"/>
        <v>Thu</v>
      </c>
    </row>
    <row r="7" spans="1:7" ht="14.4" x14ac:dyDescent="0.3">
      <c r="A7" s="22">
        <v>44287</v>
      </c>
      <c r="B7" s="23" t="s">
        <v>20</v>
      </c>
      <c r="C7" s="23" t="s">
        <v>96</v>
      </c>
      <c r="D7" s="24">
        <v>3</v>
      </c>
      <c r="E7" s="17">
        <f>VLOOKUP(B7,'SKU Master'!$B$2:$E$31,4,0)</f>
        <v>122</v>
      </c>
      <c r="F7" s="25">
        <f t="shared" si="0"/>
        <v>366</v>
      </c>
      <c r="G7" s="40" t="str">
        <f t="shared" si="1"/>
        <v>Thu</v>
      </c>
    </row>
    <row r="8" spans="1:7" ht="14.4" x14ac:dyDescent="0.3">
      <c r="A8" s="22">
        <v>44287</v>
      </c>
      <c r="B8" s="23" t="s">
        <v>23</v>
      </c>
      <c r="C8" s="23" t="s">
        <v>96</v>
      </c>
      <c r="D8" s="24">
        <v>3</v>
      </c>
      <c r="E8" s="17">
        <f>VLOOKUP(B8,'SKU Master'!$B$2:$E$31,4,0)</f>
        <v>96</v>
      </c>
      <c r="F8" s="25">
        <f t="shared" si="0"/>
        <v>288</v>
      </c>
      <c r="G8" s="40" t="str">
        <f t="shared" si="1"/>
        <v>Thu</v>
      </c>
    </row>
    <row r="9" spans="1:7" ht="14.4" x14ac:dyDescent="0.3">
      <c r="A9" s="22">
        <v>44287</v>
      </c>
      <c r="B9" s="23" t="s">
        <v>26</v>
      </c>
      <c r="C9" s="23" t="s">
        <v>96</v>
      </c>
      <c r="D9" s="24">
        <v>2</v>
      </c>
      <c r="E9" s="17">
        <f>VLOOKUP(B9,'SKU Master'!$B$2:$E$31,4,0)</f>
        <v>73</v>
      </c>
      <c r="F9" s="25">
        <f t="shared" si="0"/>
        <v>146</v>
      </c>
      <c r="G9" s="40" t="str">
        <f t="shared" si="1"/>
        <v>Thu</v>
      </c>
    </row>
    <row r="10" spans="1:7" ht="14.4" x14ac:dyDescent="0.3">
      <c r="A10" s="22">
        <v>44287</v>
      </c>
      <c r="B10" s="23" t="s">
        <v>29</v>
      </c>
      <c r="C10" s="23" t="s">
        <v>96</v>
      </c>
      <c r="D10" s="24">
        <v>0</v>
      </c>
      <c r="E10" s="17">
        <f>VLOOKUP(B10,'SKU Master'!$B$2:$E$31,4,0)</f>
        <v>225</v>
      </c>
      <c r="F10" s="25">
        <f t="shared" si="0"/>
        <v>0</v>
      </c>
      <c r="G10" s="40" t="str">
        <f t="shared" si="1"/>
        <v>Thu</v>
      </c>
    </row>
    <row r="11" spans="1:7" ht="14.4" x14ac:dyDescent="0.3">
      <c r="A11" s="22">
        <v>44287</v>
      </c>
      <c r="B11" s="23" t="s">
        <v>32</v>
      </c>
      <c r="C11" s="23" t="s">
        <v>96</v>
      </c>
      <c r="D11" s="24">
        <v>0</v>
      </c>
      <c r="E11" s="17">
        <f>VLOOKUP(B11,'SKU Master'!$B$2:$E$31,4,0)</f>
        <v>559</v>
      </c>
      <c r="F11" s="25">
        <f t="shared" si="0"/>
        <v>0</v>
      </c>
      <c r="G11" s="40" t="str">
        <f t="shared" si="1"/>
        <v>Thu</v>
      </c>
    </row>
    <row r="12" spans="1:7" ht="14.4" x14ac:dyDescent="0.3">
      <c r="A12" s="22">
        <v>44287</v>
      </c>
      <c r="B12" s="23" t="s">
        <v>36</v>
      </c>
      <c r="C12" s="23" t="s">
        <v>96</v>
      </c>
      <c r="D12" s="24">
        <v>31</v>
      </c>
      <c r="E12" s="17">
        <f>VLOOKUP(B12,'SKU Master'!$B$2:$E$31,4,0)</f>
        <v>3199</v>
      </c>
      <c r="F12" s="25">
        <f t="shared" si="0"/>
        <v>99169</v>
      </c>
      <c r="G12" s="40" t="str">
        <f t="shared" si="1"/>
        <v>Thu</v>
      </c>
    </row>
    <row r="13" spans="1:7" ht="14.4" x14ac:dyDescent="0.3">
      <c r="A13" s="22">
        <v>44287</v>
      </c>
      <c r="B13" s="23" t="s">
        <v>39</v>
      </c>
      <c r="C13" s="23" t="s">
        <v>96</v>
      </c>
      <c r="D13" s="24">
        <v>10</v>
      </c>
      <c r="E13" s="17">
        <f>VLOOKUP(B13,'SKU Master'!$B$2:$E$31,4,0)</f>
        <v>371</v>
      </c>
      <c r="F13" s="25">
        <f t="shared" si="0"/>
        <v>3710</v>
      </c>
      <c r="G13" s="40" t="str">
        <f t="shared" si="1"/>
        <v>Thu</v>
      </c>
    </row>
    <row r="14" spans="1:7" ht="14.4" x14ac:dyDescent="0.3">
      <c r="A14" s="22">
        <v>44287</v>
      </c>
      <c r="B14" s="23" t="s">
        <v>42</v>
      </c>
      <c r="C14" s="23" t="s">
        <v>96</v>
      </c>
      <c r="D14" s="24">
        <v>10</v>
      </c>
      <c r="E14" s="17">
        <f>VLOOKUP(B14,'SKU Master'!$B$2:$E$31,4,0)</f>
        <v>2300</v>
      </c>
      <c r="F14" s="25">
        <f t="shared" si="0"/>
        <v>23000</v>
      </c>
      <c r="G14" s="40" t="str">
        <f t="shared" si="1"/>
        <v>Thu</v>
      </c>
    </row>
    <row r="15" spans="1:7" ht="14.4" x14ac:dyDescent="0.3">
      <c r="A15" s="22">
        <v>44287</v>
      </c>
      <c r="B15" s="23" t="s">
        <v>45</v>
      </c>
      <c r="C15" s="23" t="s">
        <v>96</v>
      </c>
      <c r="D15" s="24">
        <v>7</v>
      </c>
      <c r="E15" s="17">
        <f>VLOOKUP(B15,'SKU Master'!$B$2:$E$31,4,0)</f>
        <v>499</v>
      </c>
      <c r="F15" s="25">
        <f t="shared" si="0"/>
        <v>3493</v>
      </c>
      <c r="G15" s="40" t="str">
        <f t="shared" si="1"/>
        <v>Thu</v>
      </c>
    </row>
    <row r="16" spans="1:7" ht="14.4" x14ac:dyDescent="0.3">
      <c r="A16" s="22">
        <v>44287</v>
      </c>
      <c r="B16" s="23" t="s">
        <v>48</v>
      </c>
      <c r="C16" s="23" t="s">
        <v>96</v>
      </c>
      <c r="D16" s="24">
        <v>5</v>
      </c>
      <c r="E16" s="17">
        <f>VLOOKUP(B16,'SKU Master'!$B$2:$E$31,4,0)</f>
        <v>299</v>
      </c>
      <c r="F16" s="25">
        <f t="shared" si="0"/>
        <v>1495</v>
      </c>
      <c r="G16" s="40" t="str">
        <f t="shared" si="1"/>
        <v>Thu</v>
      </c>
    </row>
    <row r="17" spans="1:7" ht="14.4" x14ac:dyDescent="0.3">
      <c r="A17" s="22">
        <v>44287</v>
      </c>
      <c r="B17" s="23" t="s">
        <v>51</v>
      </c>
      <c r="C17" s="23" t="s">
        <v>96</v>
      </c>
      <c r="D17" s="24">
        <v>5</v>
      </c>
      <c r="E17" s="17">
        <f>VLOOKUP(B17,'SKU Master'!$B$2:$E$31,4,0)</f>
        <v>901</v>
      </c>
      <c r="F17" s="25">
        <f t="shared" si="0"/>
        <v>4505</v>
      </c>
      <c r="G17" s="40" t="str">
        <f t="shared" si="1"/>
        <v>Thu</v>
      </c>
    </row>
    <row r="18" spans="1:7" ht="14.4" x14ac:dyDescent="0.3">
      <c r="A18" s="22">
        <v>44287</v>
      </c>
      <c r="B18" s="23" t="s">
        <v>54</v>
      </c>
      <c r="C18" s="23" t="s">
        <v>96</v>
      </c>
      <c r="D18" s="24">
        <v>3</v>
      </c>
      <c r="E18" s="17">
        <f>VLOOKUP(B18,'SKU Master'!$B$2:$E$31,4,0)</f>
        <v>929</v>
      </c>
      <c r="F18" s="25">
        <f t="shared" si="0"/>
        <v>2787</v>
      </c>
      <c r="G18" s="40" t="str">
        <f t="shared" si="1"/>
        <v>Thu</v>
      </c>
    </row>
    <row r="19" spans="1:7" ht="14.4" x14ac:dyDescent="0.3">
      <c r="A19" s="22">
        <v>44287</v>
      </c>
      <c r="B19" s="23" t="s">
        <v>57</v>
      </c>
      <c r="C19" s="23" t="s">
        <v>96</v>
      </c>
      <c r="D19" s="24">
        <v>2</v>
      </c>
      <c r="E19" s="17">
        <f>VLOOKUP(B19,'SKU Master'!$B$2:$E$31,4,0)</f>
        <v>1030</v>
      </c>
      <c r="F19" s="25">
        <f t="shared" si="0"/>
        <v>2060</v>
      </c>
      <c r="G19" s="40" t="str">
        <f t="shared" si="1"/>
        <v>Thu</v>
      </c>
    </row>
    <row r="20" spans="1:7" ht="14.4" x14ac:dyDescent="0.3">
      <c r="A20" s="22">
        <v>44287</v>
      </c>
      <c r="B20" s="23" t="s">
        <v>60</v>
      </c>
      <c r="C20" s="23" t="s">
        <v>96</v>
      </c>
      <c r="D20" s="24">
        <v>0</v>
      </c>
      <c r="E20" s="17">
        <f>VLOOKUP(B20,'SKU Master'!$B$2:$E$31,4,0)</f>
        <v>1222</v>
      </c>
      <c r="F20" s="25">
        <f t="shared" si="0"/>
        <v>0</v>
      </c>
      <c r="G20" s="40" t="str">
        <f t="shared" si="1"/>
        <v>Thu</v>
      </c>
    </row>
    <row r="21" spans="1:7" ht="14.4" x14ac:dyDescent="0.3">
      <c r="A21" s="22">
        <v>44287</v>
      </c>
      <c r="B21" s="23" t="s">
        <v>63</v>
      </c>
      <c r="C21" s="23" t="s">
        <v>96</v>
      </c>
      <c r="D21" s="24">
        <v>2</v>
      </c>
      <c r="E21" s="17">
        <f>VLOOKUP(B21,'SKU Master'!$B$2:$E$31,4,0)</f>
        <v>649</v>
      </c>
      <c r="F21" s="25">
        <f t="shared" si="0"/>
        <v>1298</v>
      </c>
      <c r="G21" s="40" t="str">
        <f t="shared" si="1"/>
        <v>Thu</v>
      </c>
    </row>
    <row r="22" spans="1:7" ht="14.4" x14ac:dyDescent="0.3">
      <c r="A22" s="22">
        <v>44287</v>
      </c>
      <c r="B22" s="23" t="s">
        <v>67</v>
      </c>
      <c r="C22" s="23" t="s">
        <v>96</v>
      </c>
      <c r="D22" s="24">
        <v>26</v>
      </c>
      <c r="E22" s="17">
        <f>VLOOKUP(B22,'SKU Master'!$B$2:$E$31,4,0)</f>
        <v>1800</v>
      </c>
      <c r="F22" s="25">
        <f t="shared" si="0"/>
        <v>46800</v>
      </c>
      <c r="G22" s="40" t="str">
        <f t="shared" si="1"/>
        <v>Thu</v>
      </c>
    </row>
    <row r="23" spans="1:7" ht="14.4" x14ac:dyDescent="0.3">
      <c r="A23" s="22">
        <v>44287</v>
      </c>
      <c r="B23" s="23" t="s">
        <v>70</v>
      </c>
      <c r="C23" s="23" t="s">
        <v>96</v>
      </c>
      <c r="D23" s="24">
        <v>13</v>
      </c>
      <c r="E23" s="17">
        <f>VLOOKUP(B23,'SKU Master'!$B$2:$E$31,4,0)</f>
        <v>345</v>
      </c>
      <c r="F23" s="25">
        <f t="shared" si="0"/>
        <v>4485</v>
      </c>
      <c r="G23" s="40" t="str">
        <f t="shared" si="1"/>
        <v>Thu</v>
      </c>
    </row>
    <row r="24" spans="1:7" ht="14.4" x14ac:dyDescent="0.3">
      <c r="A24" s="22">
        <v>44287</v>
      </c>
      <c r="B24" s="23" t="s">
        <v>73</v>
      </c>
      <c r="C24" s="23" t="s">
        <v>96</v>
      </c>
      <c r="D24" s="24">
        <v>9</v>
      </c>
      <c r="E24" s="17">
        <f>VLOOKUP(B24,'SKU Master'!$B$2:$E$31,4,0)</f>
        <v>350</v>
      </c>
      <c r="F24" s="25">
        <f t="shared" si="0"/>
        <v>3150</v>
      </c>
      <c r="G24" s="40" t="str">
        <f t="shared" si="1"/>
        <v>Thu</v>
      </c>
    </row>
    <row r="25" spans="1:7" ht="14.4" x14ac:dyDescent="0.3">
      <c r="A25" s="22">
        <v>44287</v>
      </c>
      <c r="B25" s="23" t="s">
        <v>76</v>
      </c>
      <c r="C25" s="23" t="s">
        <v>96</v>
      </c>
      <c r="D25" s="24">
        <v>7</v>
      </c>
      <c r="E25" s="17">
        <f>VLOOKUP(B25,'SKU Master'!$B$2:$E$31,4,0)</f>
        <v>1575</v>
      </c>
      <c r="F25" s="25">
        <f t="shared" si="0"/>
        <v>11025</v>
      </c>
      <c r="G25" s="40" t="str">
        <f t="shared" si="1"/>
        <v>Thu</v>
      </c>
    </row>
    <row r="26" spans="1:7" ht="14.4" x14ac:dyDescent="0.3">
      <c r="A26" s="22">
        <v>44287</v>
      </c>
      <c r="B26" s="23" t="s">
        <v>78</v>
      </c>
      <c r="C26" s="23" t="s">
        <v>96</v>
      </c>
      <c r="D26" s="24">
        <v>4</v>
      </c>
      <c r="E26" s="17">
        <f>VLOOKUP(B26,'SKU Master'!$B$2:$E$31,4,0)</f>
        <v>1045</v>
      </c>
      <c r="F26" s="25">
        <f t="shared" si="0"/>
        <v>4180</v>
      </c>
      <c r="G26" s="40" t="str">
        <f t="shared" si="1"/>
        <v>Thu</v>
      </c>
    </row>
    <row r="27" spans="1:7" ht="14.4" x14ac:dyDescent="0.3">
      <c r="A27" s="22">
        <v>44287</v>
      </c>
      <c r="B27" s="23" t="s">
        <v>81</v>
      </c>
      <c r="C27" s="23" t="s">
        <v>96</v>
      </c>
      <c r="D27" s="24">
        <v>2</v>
      </c>
      <c r="E27" s="17">
        <f>VLOOKUP(B27,'SKU Master'!$B$2:$E$31,4,0)</f>
        <v>1186</v>
      </c>
      <c r="F27" s="25">
        <f t="shared" si="0"/>
        <v>2372</v>
      </c>
      <c r="G27" s="40" t="str">
        <f t="shared" si="1"/>
        <v>Thu</v>
      </c>
    </row>
    <row r="28" spans="1:7" ht="14.4" x14ac:dyDescent="0.3">
      <c r="A28" s="22">
        <v>44287</v>
      </c>
      <c r="B28" s="23" t="s">
        <v>84</v>
      </c>
      <c r="C28" s="23" t="s">
        <v>96</v>
      </c>
      <c r="D28" s="24">
        <v>3</v>
      </c>
      <c r="E28" s="17">
        <f>VLOOKUP(B28,'SKU Master'!$B$2:$E$31,4,0)</f>
        <v>374</v>
      </c>
      <c r="F28" s="25">
        <f t="shared" si="0"/>
        <v>1122</v>
      </c>
      <c r="G28" s="40" t="str">
        <f t="shared" si="1"/>
        <v>Thu</v>
      </c>
    </row>
    <row r="29" spans="1:7" ht="14.4" x14ac:dyDescent="0.3">
      <c r="A29" s="22">
        <v>44287</v>
      </c>
      <c r="B29" s="23" t="s">
        <v>87</v>
      </c>
      <c r="C29" s="23" t="s">
        <v>96</v>
      </c>
      <c r="D29" s="24">
        <v>1</v>
      </c>
      <c r="E29" s="17">
        <f>VLOOKUP(B29,'SKU Master'!$B$2:$E$31,4,0)</f>
        <v>1500</v>
      </c>
      <c r="F29" s="25">
        <f t="shared" si="0"/>
        <v>1500</v>
      </c>
      <c r="G29" s="40" t="str">
        <f t="shared" si="1"/>
        <v>Thu</v>
      </c>
    </row>
    <row r="30" spans="1:7" ht="14.4" x14ac:dyDescent="0.3">
      <c r="A30" s="22">
        <v>44287</v>
      </c>
      <c r="B30" s="23" t="s">
        <v>90</v>
      </c>
      <c r="C30" s="23" t="s">
        <v>96</v>
      </c>
      <c r="D30" s="24">
        <v>0</v>
      </c>
      <c r="E30" s="17">
        <f>VLOOKUP(B30,'SKU Master'!$B$2:$E$31,4,0)</f>
        <v>1800</v>
      </c>
      <c r="F30" s="25">
        <f t="shared" si="0"/>
        <v>0</v>
      </c>
      <c r="G30" s="40" t="str">
        <f t="shared" si="1"/>
        <v>Thu</v>
      </c>
    </row>
    <row r="31" spans="1:7" ht="14.4" x14ac:dyDescent="0.3">
      <c r="A31" s="22">
        <v>44287</v>
      </c>
      <c r="B31" s="23" t="s">
        <v>93</v>
      </c>
      <c r="C31" s="23" t="s">
        <v>96</v>
      </c>
      <c r="D31" s="24">
        <v>2</v>
      </c>
      <c r="E31" s="17">
        <f>VLOOKUP(B31,'SKU Master'!$B$2:$E$31,4,0)</f>
        <v>1477</v>
      </c>
      <c r="F31" s="25">
        <f t="shared" si="0"/>
        <v>2954</v>
      </c>
      <c r="G31" s="40" t="str">
        <f t="shared" si="1"/>
        <v>Thu</v>
      </c>
    </row>
    <row r="32" spans="1:7" ht="14.4" x14ac:dyDescent="0.3">
      <c r="A32" s="22">
        <v>44287</v>
      </c>
      <c r="B32" s="23" t="s">
        <v>6</v>
      </c>
      <c r="C32" s="23" t="s">
        <v>98</v>
      </c>
      <c r="D32" s="24">
        <v>17</v>
      </c>
      <c r="E32" s="17">
        <f>VLOOKUP(B32,'SKU Master'!$B$2:$E$31,4,0)</f>
        <v>210</v>
      </c>
      <c r="F32" s="25">
        <f t="shared" si="0"/>
        <v>3570</v>
      </c>
      <c r="G32" s="40" t="str">
        <f t="shared" si="1"/>
        <v>Thu</v>
      </c>
    </row>
    <row r="33" spans="1:7" ht="14.4" x14ac:dyDescent="0.3">
      <c r="A33" s="22">
        <v>44287</v>
      </c>
      <c r="B33" s="23" t="s">
        <v>9</v>
      </c>
      <c r="C33" s="23" t="s">
        <v>98</v>
      </c>
      <c r="D33" s="24">
        <v>12</v>
      </c>
      <c r="E33" s="17">
        <f>VLOOKUP(B33,'SKU Master'!$B$2:$E$31,4,0)</f>
        <v>199</v>
      </c>
      <c r="F33" s="25">
        <f t="shared" si="0"/>
        <v>2388</v>
      </c>
      <c r="G33" s="40" t="str">
        <f t="shared" si="1"/>
        <v>Thu</v>
      </c>
    </row>
    <row r="34" spans="1:7" ht="14.4" x14ac:dyDescent="0.3">
      <c r="A34" s="22">
        <v>44287</v>
      </c>
      <c r="B34" s="23" t="s">
        <v>12</v>
      </c>
      <c r="C34" s="23" t="s">
        <v>98</v>
      </c>
      <c r="D34" s="24">
        <v>8</v>
      </c>
      <c r="E34" s="17">
        <f>VLOOKUP(B34,'SKU Master'!$B$2:$E$31,4,0)</f>
        <v>322</v>
      </c>
      <c r="F34" s="25">
        <f t="shared" si="0"/>
        <v>2576</v>
      </c>
      <c r="G34" s="40" t="str">
        <f t="shared" si="1"/>
        <v>Thu</v>
      </c>
    </row>
    <row r="35" spans="1:7" ht="14.4" x14ac:dyDescent="0.3">
      <c r="A35" s="22">
        <v>44287</v>
      </c>
      <c r="B35" s="23" t="s">
        <v>15</v>
      </c>
      <c r="C35" s="23" t="s">
        <v>98</v>
      </c>
      <c r="D35" s="24">
        <v>5</v>
      </c>
      <c r="E35" s="17">
        <f>VLOOKUP(B35,'SKU Master'!$B$2:$E$31,4,0)</f>
        <v>161</v>
      </c>
      <c r="F35" s="25">
        <f t="shared" si="0"/>
        <v>805</v>
      </c>
      <c r="G35" s="40" t="str">
        <f t="shared" si="1"/>
        <v>Thu</v>
      </c>
    </row>
    <row r="36" spans="1:7" ht="14.4" x14ac:dyDescent="0.3">
      <c r="A36" s="22">
        <v>44287</v>
      </c>
      <c r="B36" s="23" t="s">
        <v>17</v>
      </c>
      <c r="C36" s="23" t="s">
        <v>98</v>
      </c>
      <c r="D36" s="24">
        <v>5</v>
      </c>
      <c r="E36" s="17">
        <f>VLOOKUP(B36,'SKU Master'!$B$2:$E$31,4,0)</f>
        <v>109</v>
      </c>
      <c r="F36" s="25">
        <f t="shared" si="0"/>
        <v>545</v>
      </c>
      <c r="G36" s="40" t="str">
        <f t="shared" si="1"/>
        <v>Thu</v>
      </c>
    </row>
    <row r="37" spans="1:7" ht="14.4" x14ac:dyDescent="0.3">
      <c r="A37" s="22">
        <v>44287</v>
      </c>
      <c r="B37" s="23" t="s">
        <v>20</v>
      </c>
      <c r="C37" s="23" t="s">
        <v>98</v>
      </c>
      <c r="D37" s="24">
        <v>2</v>
      </c>
      <c r="E37" s="17">
        <f>VLOOKUP(B37,'SKU Master'!$B$2:$E$31,4,0)</f>
        <v>122</v>
      </c>
      <c r="F37" s="25">
        <f t="shared" si="0"/>
        <v>244</v>
      </c>
      <c r="G37" s="40" t="str">
        <f t="shared" si="1"/>
        <v>Thu</v>
      </c>
    </row>
    <row r="38" spans="1:7" ht="14.4" x14ac:dyDescent="0.3">
      <c r="A38" s="22">
        <v>44287</v>
      </c>
      <c r="B38" s="23" t="s">
        <v>23</v>
      </c>
      <c r="C38" s="23" t="s">
        <v>98</v>
      </c>
      <c r="D38" s="24">
        <v>3</v>
      </c>
      <c r="E38" s="17">
        <f>VLOOKUP(B38,'SKU Master'!$B$2:$E$31,4,0)</f>
        <v>96</v>
      </c>
      <c r="F38" s="25">
        <f t="shared" si="0"/>
        <v>288</v>
      </c>
      <c r="G38" s="40" t="str">
        <f t="shared" si="1"/>
        <v>Thu</v>
      </c>
    </row>
    <row r="39" spans="1:7" ht="14.4" x14ac:dyDescent="0.3">
      <c r="A39" s="22">
        <v>44287</v>
      </c>
      <c r="B39" s="23" t="s">
        <v>26</v>
      </c>
      <c r="C39" s="23" t="s">
        <v>98</v>
      </c>
      <c r="D39" s="24">
        <v>1</v>
      </c>
      <c r="E39" s="17">
        <f>VLOOKUP(B39,'SKU Master'!$B$2:$E$31,4,0)</f>
        <v>73</v>
      </c>
      <c r="F39" s="25">
        <f t="shared" si="0"/>
        <v>73</v>
      </c>
      <c r="G39" s="40" t="str">
        <f t="shared" si="1"/>
        <v>Thu</v>
      </c>
    </row>
    <row r="40" spans="1:7" ht="14.4" x14ac:dyDescent="0.3">
      <c r="A40" s="22">
        <v>44287</v>
      </c>
      <c r="B40" s="23" t="s">
        <v>29</v>
      </c>
      <c r="C40" s="23" t="s">
        <v>98</v>
      </c>
      <c r="D40" s="24">
        <v>0</v>
      </c>
      <c r="E40" s="17">
        <f>VLOOKUP(B40,'SKU Master'!$B$2:$E$31,4,0)</f>
        <v>225</v>
      </c>
      <c r="F40" s="25">
        <f t="shared" si="0"/>
        <v>0</v>
      </c>
      <c r="G40" s="40" t="str">
        <f t="shared" si="1"/>
        <v>Thu</v>
      </c>
    </row>
    <row r="41" spans="1:7" ht="14.4" x14ac:dyDescent="0.3">
      <c r="A41" s="22">
        <v>44287</v>
      </c>
      <c r="B41" s="23" t="s">
        <v>32</v>
      </c>
      <c r="C41" s="23" t="s">
        <v>98</v>
      </c>
      <c r="D41" s="24">
        <v>0</v>
      </c>
      <c r="E41" s="17">
        <f>VLOOKUP(B41,'SKU Master'!$B$2:$E$31,4,0)</f>
        <v>559</v>
      </c>
      <c r="F41" s="25">
        <f t="shared" si="0"/>
        <v>0</v>
      </c>
      <c r="G41" s="40" t="str">
        <f t="shared" si="1"/>
        <v>Thu</v>
      </c>
    </row>
    <row r="42" spans="1:7" ht="14.4" x14ac:dyDescent="0.3">
      <c r="A42" s="22">
        <v>44287</v>
      </c>
      <c r="B42" s="23" t="s">
        <v>36</v>
      </c>
      <c r="C42" s="23" t="s">
        <v>98</v>
      </c>
      <c r="D42" s="24">
        <v>14</v>
      </c>
      <c r="E42" s="17">
        <f>VLOOKUP(B42,'SKU Master'!$B$2:$E$31,4,0)</f>
        <v>3199</v>
      </c>
      <c r="F42" s="25">
        <f t="shared" si="0"/>
        <v>44786</v>
      </c>
      <c r="G42" s="40" t="str">
        <f t="shared" si="1"/>
        <v>Thu</v>
      </c>
    </row>
    <row r="43" spans="1:7" ht="14.4" x14ac:dyDescent="0.3">
      <c r="A43" s="22">
        <v>44287</v>
      </c>
      <c r="B43" s="23" t="s">
        <v>39</v>
      </c>
      <c r="C43" s="23" t="s">
        <v>98</v>
      </c>
      <c r="D43" s="24">
        <v>13</v>
      </c>
      <c r="E43" s="17">
        <f>VLOOKUP(B43,'SKU Master'!$B$2:$E$31,4,0)</f>
        <v>371</v>
      </c>
      <c r="F43" s="25">
        <f t="shared" si="0"/>
        <v>4823</v>
      </c>
      <c r="G43" s="40" t="str">
        <f t="shared" si="1"/>
        <v>Thu</v>
      </c>
    </row>
    <row r="44" spans="1:7" ht="14.4" x14ac:dyDescent="0.3">
      <c r="A44" s="22">
        <v>44287</v>
      </c>
      <c r="B44" s="23" t="s">
        <v>42</v>
      </c>
      <c r="C44" s="23" t="s">
        <v>98</v>
      </c>
      <c r="D44" s="24">
        <v>8</v>
      </c>
      <c r="E44" s="17">
        <f>VLOOKUP(B44,'SKU Master'!$B$2:$E$31,4,0)</f>
        <v>2300</v>
      </c>
      <c r="F44" s="25">
        <f t="shared" si="0"/>
        <v>18400</v>
      </c>
      <c r="G44" s="40" t="str">
        <f t="shared" si="1"/>
        <v>Thu</v>
      </c>
    </row>
    <row r="45" spans="1:7" ht="14.4" x14ac:dyDescent="0.3">
      <c r="A45" s="22">
        <v>44287</v>
      </c>
      <c r="B45" s="23" t="s">
        <v>45</v>
      </c>
      <c r="C45" s="23" t="s">
        <v>98</v>
      </c>
      <c r="D45" s="24">
        <v>1</v>
      </c>
      <c r="E45" s="17">
        <f>VLOOKUP(B45,'SKU Master'!$B$2:$E$31,4,0)</f>
        <v>499</v>
      </c>
      <c r="F45" s="25">
        <f t="shared" si="0"/>
        <v>499</v>
      </c>
      <c r="G45" s="40" t="str">
        <f t="shared" si="1"/>
        <v>Thu</v>
      </c>
    </row>
    <row r="46" spans="1:7" ht="14.4" x14ac:dyDescent="0.3">
      <c r="A46" s="22">
        <v>44287</v>
      </c>
      <c r="B46" s="23" t="s">
        <v>48</v>
      </c>
      <c r="C46" s="23" t="s">
        <v>98</v>
      </c>
      <c r="D46" s="24">
        <v>2</v>
      </c>
      <c r="E46" s="17">
        <f>VLOOKUP(B46,'SKU Master'!$B$2:$E$31,4,0)</f>
        <v>299</v>
      </c>
      <c r="F46" s="25">
        <f t="shared" si="0"/>
        <v>598</v>
      </c>
      <c r="G46" s="40" t="str">
        <f t="shared" si="1"/>
        <v>Thu</v>
      </c>
    </row>
    <row r="47" spans="1:7" ht="14.4" x14ac:dyDescent="0.3">
      <c r="A47" s="22">
        <v>44287</v>
      </c>
      <c r="B47" s="23" t="s">
        <v>51</v>
      </c>
      <c r="C47" s="23" t="s">
        <v>98</v>
      </c>
      <c r="D47" s="24">
        <v>0</v>
      </c>
      <c r="E47" s="17">
        <f>VLOOKUP(B47,'SKU Master'!$B$2:$E$31,4,0)</f>
        <v>901</v>
      </c>
      <c r="F47" s="25">
        <f t="shared" si="0"/>
        <v>0</v>
      </c>
      <c r="G47" s="40" t="str">
        <f t="shared" si="1"/>
        <v>Thu</v>
      </c>
    </row>
    <row r="48" spans="1:7" ht="14.4" x14ac:dyDescent="0.3">
      <c r="A48" s="22">
        <v>44287</v>
      </c>
      <c r="B48" s="23" t="s">
        <v>54</v>
      </c>
      <c r="C48" s="23" t="s">
        <v>98</v>
      </c>
      <c r="D48" s="24">
        <v>4</v>
      </c>
      <c r="E48" s="17">
        <f>VLOOKUP(B48,'SKU Master'!$B$2:$E$31,4,0)</f>
        <v>929</v>
      </c>
      <c r="F48" s="25">
        <f t="shared" si="0"/>
        <v>3716</v>
      </c>
      <c r="G48" s="40" t="str">
        <f t="shared" si="1"/>
        <v>Thu</v>
      </c>
    </row>
    <row r="49" spans="1:7" ht="14.4" x14ac:dyDescent="0.3">
      <c r="A49" s="22">
        <v>44287</v>
      </c>
      <c r="B49" s="23" t="s">
        <v>57</v>
      </c>
      <c r="C49" s="23" t="s">
        <v>98</v>
      </c>
      <c r="D49" s="24">
        <v>1</v>
      </c>
      <c r="E49" s="17">
        <f>VLOOKUP(B49,'SKU Master'!$B$2:$E$31,4,0)</f>
        <v>1030</v>
      </c>
      <c r="F49" s="25">
        <f t="shared" si="0"/>
        <v>1030</v>
      </c>
      <c r="G49" s="40" t="str">
        <f t="shared" si="1"/>
        <v>Thu</v>
      </c>
    </row>
    <row r="50" spans="1:7" ht="14.4" x14ac:dyDescent="0.3">
      <c r="A50" s="22">
        <v>44287</v>
      </c>
      <c r="B50" s="23" t="s">
        <v>60</v>
      </c>
      <c r="C50" s="23" t="s">
        <v>98</v>
      </c>
      <c r="D50" s="24">
        <v>0</v>
      </c>
      <c r="E50" s="17">
        <f>VLOOKUP(B50,'SKU Master'!$B$2:$E$31,4,0)</f>
        <v>1222</v>
      </c>
      <c r="F50" s="25">
        <f t="shared" si="0"/>
        <v>0</v>
      </c>
      <c r="G50" s="40" t="str">
        <f t="shared" si="1"/>
        <v>Thu</v>
      </c>
    </row>
    <row r="51" spans="1:7" ht="14.4" x14ac:dyDescent="0.3">
      <c r="A51" s="22">
        <v>44287</v>
      </c>
      <c r="B51" s="23" t="s">
        <v>63</v>
      </c>
      <c r="C51" s="23" t="s">
        <v>98</v>
      </c>
      <c r="D51" s="24">
        <v>0</v>
      </c>
      <c r="E51" s="17">
        <f>VLOOKUP(B51,'SKU Master'!$B$2:$E$31,4,0)</f>
        <v>649</v>
      </c>
      <c r="F51" s="25">
        <f t="shared" si="0"/>
        <v>0</v>
      </c>
      <c r="G51" s="40" t="str">
        <f t="shared" si="1"/>
        <v>Thu</v>
      </c>
    </row>
    <row r="52" spans="1:7" ht="14.4" x14ac:dyDescent="0.3">
      <c r="A52" s="22">
        <v>44287</v>
      </c>
      <c r="B52" s="23" t="s">
        <v>67</v>
      </c>
      <c r="C52" s="23" t="s">
        <v>98</v>
      </c>
      <c r="D52" s="24">
        <v>20</v>
      </c>
      <c r="E52" s="17">
        <f>VLOOKUP(B52,'SKU Master'!$B$2:$E$31,4,0)</f>
        <v>1800</v>
      </c>
      <c r="F52" s="25">
        <f t="shared" si="0"/>
        <v>36000</v>
      </c>
      <c r="G52" s="40" t="str">
        <f t="shared" si="1"/>
        <v>Thu</v>
      </c>
    </row>
    <row r="53" spans="1:7" ht="14.4" x14ac:dyDescent="0.3">
      <c r="A53" s="22">
        <v>44287</v>
      </c>
      <c r="B53" s="23" t="s">
        <v>70</v>
      </c>
      <c r="C53" s="23" t="s">
        <v>98</v>
      </c>
      <c r="D53" s="24">
        <v>8</v>
      </c>
      <c r="E53" s="17">
        <f>VLOOKUP(B53,'SKU Master'!$B$2:$E$31,4,0)</f>
        <v>345</v>
      </c>
      <c r="F53" s="25">
        <f t="shared" si="0"/>
        <v>2760</v>
      </c>
      <c r="G53" s="40" t="str">
        <f t="shared" si="1"/>
        <v>Thu</v>
      </c>
    </row>
    <row r="54" spans="1:7" ht="14.4" x14ac:dyDescent="0.3">
      <c r="A54" s="22">
        <v>44287</v>
      </c>
      <c r="B54" s="23" t="s">
        <v>73</v>
      </c>
      <c r="C54" s="23" t="s">
        <v>98</v>
      </c>
      <c r="D54" s="24">
        <v>8</v>
      </c>
      <c r="E54" s="17">
        <f>VLOOKUP(B54,'SKU Master'!$B$2:$E$31,4,0)</f>
        <v>350</v>
      </c>
      <c r="F54" s="25">
        <f t="shared" si="0"/>
        <v>2800</v>
      </c>
      <c r="G54" s="40" t="str">
        <f t="shared" si="1"/>
        <v>Thu</v>
      </c>
    </row>
    <row r="55" spans="1:7" ht="14.4" x14ac:dyDescent="0.3">
      <c r="A55" s="22">
        <v>44287</v>
      </c>
      <c r="B55" s="23" t="s">
        <v>76</v>
      </c>
      <c r="C55" s="23" t="s">
        <v>98</v>
      </c>
      <c r="D55" s="24">
        <v>4</v>
      </c>
      <c r="E55" s="17">
        <f>VLOOKUP(B55,'SKU Master'!$B$2:$E$31,4,0)</f>
        <v>1575</v>
      </c>
      <c r="F55" s="25">
        <f t="shared" si="0"/>
        <v>6300</v>
      </c>
      <c r="G55" s="40" t="str">
        <f t="shared" si="1"/>
        <v>Thu</v>
      </c>
    </row>
    <row r="56" spans="1:7" ht="14.4" x14ac:dyDescent="0.3">
      <c r="A56" s="22">
        <v>44287</v>
      </c>
      <c r="B56" s="23" t="s">
        <v>78</v>
      </c>
      <c r="C56" s="23" t="s">
        <v>98</v>
      </c>
      <c r="D56" s="24">
        <v>3</v>
      </c>
      <c r="E56" s="17">
        <f>VLOOKUP(B56,'SKU Master'!$B$2:$E$31,4,0)</f>
        <v>1045</v>
      </c>
      <c r="F56" s="25">
        <f t="shared" si="0"/>
        <v>3135</v>
      </c>
      <c r="G56" s="40" t="str">
        <f t="shared" si="1"/>
        <v>Thu</v>
      </c>
    </row>
    <row r="57" spans="1:7" ht="14.4" x14ac:dyDescent="0.3">
      <c r="A57" s="22">
        <v>44287</v>
      </c>
      <c r="B57" s="23" t="s">
        <v>81</v>
      </c>
      <c r="C57" s="23" t="s">
        <v>98</v>
      </c>
      <c r="D57" s="24">
        <v>0</v>
      </c>
      <c r="E57" s="17">
        <f>VLOOKUP(B57,'SKU Master'!$B$2:$E$31,4,0)</f>
        <v>1186</v>
      </c>
      <c r="F57" s="25">
        <f t="shared" si="0"/>
        <v>0</v>
      </c>
      <c r="G57" s="40" t="str">
        <f t="shared" si="1"/>
        <v>Thu</v>
      </c>
    </row>
    <row r="58" spans="1:7" ht="14.4" x14ac:dyDescent="0.3">
      <c r="A58" s="22">
        <v>44287</v>
      </c>
      <c r="B58" s="23" t="s">
        <v>84</v>
      </c>
      <c r="C58" s="23" t="s">
        <v>98</v>
      </c>
      <c r="D58" s="24">
        <v>0</v>
      </c>
      <c r="E58" s="17">
        <f>VLOOKUP(B58,'SKU Master'!$B$2:$E$31,4,0)</f>
        <v>374</v>
      </c>
      <c r="F58" s="25">
        <f t="shared" si="0"/>
        <v>0</v>
      </c>
      <c r="G58" s="40" t="str">
        <f t="shared" si="1"/>
        <v>Thu</v>
      </c>
    </row>
    <row r="59" spans="1:7" ht="14.4" x14ac:dyDescent="0.3">
      <c r="A59" s="22">
        <v>44287</v>
      </c>
      <c r="B59" s="23" t="s">
        <v>87</v>
      </c>
      <c r="C59" s="23" t="s">
        <v>98</v>
      </c>
      <c r="D59" s="24">
        <v>0</v>
      </c>
      <c r="E59" s="17">
        <f>VLOOKUP(B59,'SKU Master'!$B$2:$E$31,4,0)</f>
        <v>1500</v>
      </c>
      <c r="F59" s="25">
        <f t="shared" si="0"/>
        <v>0</v>
      </c>
      <c r="G59" s="40" t="str">
        <f t="shared" si="1"/>
        <v>Thu</v>
      </c>
    </row>
    <row r="60" spans="1:7" ht="14.4" x14ac:dyDescent="0.3">
      <c r="A60" s="22">
        <v>44287</v>
      </c>
      <c r="B60" s="23" t="s">
        <v>90</v>
      </c>
      <c r="C60" s="23" t="s">
        <v>98</v>
      </c>
      <c r="D60" s="24">
        <v>0</v>
      </c>
      <c r="E60" s="17">
        <f>VLOOKUP(B60,'SKU Master'!$B$2:$E$31,4,0)</f>
        <v>1800</v>
      </c>
      <c r="F60" s="25">
        <f t="shared" si="0"/>
        <v>0</v>
      </c>
      <c r="G60" s="40" t="str">
        <f t="shared" si="1"/>
        <v>Thu</v>
      </c>
    </row>
    <row r="61" spans="1:7" ht="14.4" x14ac:dyDescent="0.3">
      <c r="A61" s="22">
        <v>44287</v>
      </c>
      <c r="B61" s="23" t="s">
        <v>93</v>
      </c>
      <c r="C61" s="23" t="s">
        <v>98</v>
      </c>
      <c r="D61" s="24">
        <v>1</v>
      </c>
      <c r="E61" s="17">
        <f>VLOOKUP(B61,'SKU Master'!$B$2:$E$31,4,0)</f>
        <v>1477</v>
      </c>
      <c r="F61" s="25">
        <f t="shared" si="0"/>
        <v>1477</v>
      </c>
      <c r="G61" s="40" t="str">
        <f t="shared" si="1"/>
        <v>Thu</v>
      </c>
    </row>
    <row r="62" spans="1:7" ht="14.4" x14ac:dyDescent="0.3">
      <c r="A62" s="22">
        <v>44287</v>
      </c>
      <c r="B62" s="23" t="s">
        <v>6</v>
      </c>
      <c r="C62" s="23" t="s">
        <v>97</v>
      </c>
      <c r="D62" s="24">
        <v>14</v>
      </c>
      <c r="E62" s="17">
        <f>VLOOKUP(B62,'SKU Master'!$B$2:$E$31,4,0)</f>
        <v>210</v>
      </c>
      <c r="F62" s="25">
        <f t="shared" si="0"/>
        <v>2940</v>
      </c>
      <c r="G62" s="40" t="str">
        <f t="shared" si="1"/>
        <v>Thu</v>
      </c>
    </row>
    <row r="63" spans="1:7" ht="14.4" x14ac:dyDescent="0.3">
      <c r="A63" s="22">
        <v>44287</v>
      </c>
      <c r="B63" s="23" t="s">
        <v>9</v>
      </c>
      <c r="C63" s="23" t="s">
        <v>97</v>
      </c>
      <c r="D63" s="24">
        <v>9</v>
      </c>
      <c r="E63" s="17">
        <f>VLOOKUP(B63,'SKU Master'!$B$2:$E$31,4,0)</f>
        <v>199</v>
      </c>
      <c r="F63" s="25">
        <f t="shared" si="0"/>
        <v>1791</v>
      </c>
      <c r="G63" s="40" t="str">
        <f t="shared" si="1"/>
        <v>Thu</v>
      </c>
    </row>
    <row r="64" spans="1:7" ht="14.4" x14ac:dyDescent="0.3">
      <c r="A64" s="22">
        <v>44287</v>
      </c>
      <c r="B64" s="23" t="s">
        <v>12</v>
      </c>
      <c r="C64" s="23" t="s">
        <v>97</v>
      </c>
      <c r="D64" s="24">
        <v>6</v>
      </c>
      <c r="E64" s="17">
        <f>VLOOKUP(B64,'SKU Master'!$B$2:$E$31,4,0)</f>
        <v>322</v>
      </c>
      <c r="F64" s="25">
        <f t="shared" si="0"/>
        <v>1932</v>
      </c>
      <c r="G64" s="40" t="str">
        <f t="shared" si="1"/>
        <v>Thu</v>
      </c>
    </row>
    <row r="65" spans="1:7" ht="14.4" x14ac:dyDescent="0.3">
      <c r="A65" s="22">
        <v>44287</v>
      </c>
      <c r="B65" s="23" t="s">
        <v>15</v>
      </c>
      <c r="C65" s="23" t="s">
        <v>97</v>
      </c>
      <c r="D65" s="24">
        <v>5</v>
      </c>
      <c r="E65" s="17">
        <f>VLOOKUP(B65,'SKU Master'!$B$2:$E$31,4,0)</f>
        <v>161</v>
      </c>
      <c r="F65" s="25">
        <f t="shared" si="0"/>
        <v>805</v>
      </c>
      <c r="G65" s="40" t="str">
        <f t="shared" si="1"/>
        <v>Thu</v>
      </c>
    </row>
    <row r="66" spans="1:7" ht="14.4" x14ac:dyDescent="0.3">
      <c r="A66" s="22">
        <v>44287</v>
      </c>
      <c r="B66" s="23" t="s">
        <v>17</v>
      </c>
      <c r="C66" s="23" t="s">
        <v>97</v>
      </c>
      <c r="D66" s="24">
        <v>2</v>
      </c>
      <c r="E66" s="17">
        <f>VLOOKUP(B66,'SKU Master'!$B$2:$E$31,4,0)</f>
        <v>109</v>
      </c>
      <c r="F66" s="25">
        <f t="shared" si="0"/>
        <v>218</v>
      </c>
      <c r="G66" s="40" t="str">
        <f t="shared" si="1"/>
        <v>Thu</v>
      </c>
    </row>
    <row r="67" spans="1:7" ht="14.4" x14ac:dyDescent="0.3">
      <c r="A67" s="22">
        <v>44287</v>
      </c>
      <c r="B67" s="23" t="s">
        <v>20</v>
      </c>
      <c r="C67" s="23" t="s">
        <v>97</v>
      </c>
      <c r="D67" s="24">
        <v>2</v>
      </c>
      <c r="E67" s="17">
        <f>VLOOKUP(B67,'SKU Master'!$B$2:$E$31,4,0)</f>
        <v>122</v>
      </c>
      <c r="F67" s="25">
        <f t="shared" ref="F67:F130" si="2">D67*E67</f>
        <v>244</v>
      </c>
      <c r="G67" s="40" t="str">
        <f t="shared" si="1"/>
        <v>Thu</v>
      </c>
    </row>
    <row r="68" spans="1:7" ht="14.4" x14ac:dyDescent="0.3">
      <c r="A68" s="22">
        <v>44287</v>
      </c>
      <c r="B68" s="23" t="s">
        <v>23</v>
      </c>
      <c r="C68" s="23" t="s">
        <v>97</v>
      </c>
      <c r="D68" s="24">
        <v>2</v>
      </c>
      <c r="E68" s="17">
        <f>VLOOKUP(B68,'SKU Master'!$B$2:$E$31,4,0)</f>
        <v>96</v>
      </c>
      <c r="F68" s="25">
        <f t="shared" si="2"/>
        <v>192</v>
      </c>
      <c r="G68" s="40" t="str">
        <f t="shared" ref="G68:G131" si="3">CHOOSE(WEEKDAY(A68),"Sun","Mon","Tue","Wed","Thu","Fri","Sat")</f>
        <v>Thu</v>
      </c>
    </row>
    <row r="69" spans="1:7" ht="14.4" x14ac:dyDescent="0.3">
      <c r="A69" s="22">
        <v>44287</v>
      </c>
      <c r="B69" s="23" t="s">
        <v>26</v>
      </c>
      <c r="C69" s="23" t="s">
        <v>97</v>
      </c>
      <c r="D69" s="24">
        <v>1</v>
      </c>
      <c r="E69" s="17">
        <f>VLOOKUP(B69,'SKU Master'!$B$2:$E$31,4,0)</f>
        <v>73</v>
      </c>
      <c r="F69" s="25">
        <f t="shared" si="2"/>
        <v>73</v>
      </c>
      <c r="G69" s="40" t="str">
        <f t="shared" si="3"/>
        <v>Thu</v>
      </c>
    </row>
    <row r="70" spans="1:7" ht="14.4" x14ac:dyDescent="0.3">
      <c r="A70" s="22">
        <v>44287</v>
      </c>
      <c r="B70" s="23" t="s">
        <v>29</v>
      </c>
      <c r="C70" s="23" t="s">
        <v>97</v>
      </c>
      <c r="D70" s="24">
        <v>1</v>
      </c>
      <c r="E70" s="17">
        <f>VLOOKUP(B70,'SKU Master'!$B$2:$E$31,4,0)</f>
        <v>225</v>
      </c>
      <c r="F70" s="25">
        <f t="shared" si="2"/>
        <v>225</v>
      </c>
      <c r="G70" s="40" t="str">
        <f t="shared" si="3"/>
        <v>Thu</v>
      </c>
    </row>
    <row r="71" spans="1:7" ht="14.4" x14ac:dyDescent="0.3">
      <c r="A71" s="22">
        <v>44287</v>
      </c>
      <c r="B71" s="23" t="s">
        <v>32</v>
      </c>
      <c r="C71" s="23" t="s">
        <v>97</v>
      </c>
      <c r="D71" s="24">
        <v>2</v>
      </c>
      <c r="E71" s="17">
        <f>VLOOKUP(B71,'SKU Master'!$B$2:$E$31,4,0)</f>
        <v>559</v>
      </c>
      <c r="F71" s="25">
        <f t="shared" si="2"/>
        <v>1118</v>
      </c>
      <c r="G71" s="40" t="str">
        <f t="shared" si="3"/>
        <v>Thu</v>
      </c>
    </row>
    <row r="72" spans="1:7" ht="14.4" x14ac:dyDescent="0.3">
      <c r="A72" s="22">
        <v>44287</v>
      </c>
      <c r="B72" s="23" t="s">
        <v>36</v>
      </c>
      <c r="C72" s="23" t="s">
        <v>97</v>
      </c>
      <c r="D72" s="24">
        <v>12</v>
      </c>
      <c r="E72" s="17">
        <f>VLOOKUP(B72,'SKU Master'!$B$2:$E$31,4,0)</f>
        <v>3199</v>
      </c>
      <c r="F72" s="25">
        <f t="shared" si="2"/>
        <v>38388</v>
      </c>
      <c r="G72" s="40" t="str">
        <f t="shared" si="3"/>
        <v>Thu</v>
      </c>
    </row>
    <row r="73" spans="1:7" ht="14.4" x14ac:dyDescent="0.3">
      <c r="A73" s="22">
        <v>44287</v>
      </c>
      <c r="B73" s="23" t="s">
        <v>39</v>
      </c>
      <c r="C73" s="23" t="s">
        <v>97</v>
      </c>
      <c r="D73" s="24">
        <v>3</v>
      </c>
      <c r="E73" s="17">
        <f>VLOOKUP(B73,'SKU Master'!$B$2:$E$31,4,0)</f>
        <v>371</v>
      </c>
      <c r="F73" s="25">
        <f t="shared" si="2"/>
        <v>1113</v>
      </c>
      <c r="G73" s="40" t="str">
        <f t="shared" si="3"/>
        <v>Thu</v>
      </c>
    </row>
    <row r="74" spans="1:7" ht="14.4" x14ac:dyDescent="0.3">
      <c r="A74" s="22">
        <v>44287</v>
      </c>
      <c r="B74" s="23" t="s">
        <v>42</v>
      </c>
      <c r="C74" s="23" t="s">
        <v>97</v>
      </c>
      <c r="D74" s="24">
        <v>3</v>
      </c>
      <c r="E74" s="17">
        <f>VLOOKUP(B74,'SKU Master'!$B$2:$E$31,4,0)</f>
        <v>2300</v>
      </c>
      <c r="F74" s="25">
        <f t="shared" si="2"/>
        <v>6900</v>
      </c>
      <c r="G74" s="40" t="str">
        <f t="shared" si="3"/>
        <v>Thu</v>
      </c>
    </row>
    <row r="75" spans="1:7" ht="14.4" x14ac:dyDescent="0.3">
      <c r="A75" s="22">
        <v>44287</v>
      </c>
      <c r="B75" s="23" t="s">
        <v>45</v>
      </c>
      <c r="C75" s="23" t="s">
        <v>97</v>
      </c>
      <c r="D75" s="24">
        <v>8</v>
      </c>
      <c r="E75" s="17">
        <f>VLOOKUP(B75,'SKU Master'!$B$2:$E$31,4,0)</f>
        <v>499</v>
      </c>
      <c r="F75" s="25">
        <f t="shared" si="2"/>
        <v>3992</v>
      </c>
      <c r="G75" s="40" t="str">
        <f t="shared" si="3"/>
        <v>Thu</v>
      </c>
    </row>
    <row r="76" spans="1:7" ht="14.4" x14ac:dyDescent="0.3">
      <c r="A76" s="22">
        <v>44287</v>
      </c>
      <c r="B76" s="23" t="s">
        <v>48</v>
      </c>
      <c r="C76" s="23" t="s">
        <v>97</v>
      </c>
      <c r="D76" s="24">
        <v>4</v>
      </c>
      <c r="E76" s="17">
        <f>VLOOKUP(B76,'SKU Master'!$B$2:$E$31,4,0)</f>
        <v>299</v>
      </c>
      <c r="F76" s="25">
        <f t="shared" si="2"/>
        <v>1196</v>
      </c>
      <c r="G76" s="40" t="str">
        <f t="shared" si="3"/>
        <v>Thu</v>
      </c>
    </row>
    <row r="77" spans="1:7" ht="14.4" x14ac:dyDescent="0.3">
      <c r="A77" s="22">
        <v>44287</v>
      </c>
      <c r="B77" s="23" t="s">
        <v>51</v>
      </c>
      <c r="C77" s="23" t="s">
        <v>97</v>
      </c>
      <c r="D77" s="24">
        <v>4</v>
      </c>
      <c r="E77" s="17">
        <f>VLOOKUP(B77,'SKU Master'!$B$2:$E$31,4,0)</f>
        <v>901</v>
      </c>
      <c r="F77" s="25">
        <f t="shared" si="2"/>
        <v>3604</v>
      </c>
      <c r="G77" s="40" t="str">
        <f t="shared" si="3"/>
        <v>Thu</v>
      </c>
    </row>
    <row r="78" spans="1:7" ht="14.4" x14ac:dyDescent="0.3">
      <c r="A78" s="22">
        <v>44287</v>
      </c>
      <c r="B78" s="23" t="s">
        <v>54</v>
      </c>
      <c r="C78" s="23" t="s">
        <v>97</v>
      </c>
      <c r="D78" s="24">
        <v>2</v>
      </c>
      <c r="E78" s="17">
        <f>VLOOKUP(B78,'SKU Master'!$B$2:$E$31,4,0)</f>
        <v>929</v>
      </c>
      <c r="F78" s="25">
        <f t="shared" si="2"/>
        <v>1858</v>
      </c>
      <c r="G78" s="40" t="str">
        <f t="shared" si="3"/>
        <v>Thu</v>
      </c>
    </row>
    <row r="79" spans="1:7" ht="14.4" x14ac:dyDescent="0.3">
      <c r="A79" s="22">
        <v>44287</v>
      </c>
      <c r="B79" s="23" t="s">
        <v>57</v>
      </c>
      <c r="C79" s="23" t="s">
        <v>97</v>
      </c>
      <c r="D79" s="24">
        <v>2</v>
      </c>
      <c r="E79" s="17">
        <f>VLOOKUP(B79,'SKU Master'!$B$2:$E$31,4,0)</f>
        <v>1030</v>
      </c>
      <c r="F79" s="25">
        <f t="shared" si="2"/>
        <v>2060</v>
      </c>
      <c r="G79" s="40" t="str">
        <f t="shared" si="3"/>
        <v>Thu</v>
      </c>
    </row>
    <row r="80" spans="1:7" ht="14.4" x14ac:dyDescent="0.3">
      <c r="A80" s="22">
        <v>44287</v>
      </c>
      <c r="B80" s="23" t="s">
        <v>60</v>
      </c>
      <c r="C80" s="23" t="s">
        <v>97</v>
      </c>
      <c r="D80" s="24">
        <v>0</v>
      </c>
      <c r="E80" s="17">
        <f>VLOOKUP(B80,'SKU Master'!$B$2:$E$31,4,0)</f>
        <v>1222</v>
      </c>
      <c r="F80" s="25">
        <f t="shared" si="2"/>
        <v>0</v>
      </c>
      <c r="G80" s="40" t="str">
        <f t="shared" si="3"/>
        <v>Thu</v>
      </c>
    </row>
    <row r="81" spans="1:7" ht="14.4" x14ac:dyDescent="0.3">
      <c r="A81" s="22">
        <v>44287</v>
      </c>
      <c r="B81" s="23" t="s">
        <v>63</v>
      </c>
      <c r="C81" s="23" t="s">
        <v>97</v>
      </c>
      <c r="D81" s="24">
        <v>3</v>
      </c>
      <c r="E81" s="17">
        <f>VLOOKUP(B81,'SKU Master'!$B$2:$E$31,4,0)</f>
        <v>649</v>
      </c>
      <c r="F81" s="25">
        <f t="shared" si="2"/>
        <v>1947</v>
      </c>
      <c r="G81" s="40" t="str">
        <f t="shared" si="3"/>
        <v>Thu</v>
      </c>
    </row>
    <row r="82" spans="1:7" ht="14.4" x14ac:dyDescent="0.3">
      <c r="A82" s="22">
        <v>44287</v>
      </c>
      <c r="B82" s="23" t="s">
        <v>67</v>
      </c>
      <c r="C82" s="23" t="s">
        <v>97</v>
      </c>
      <c r="D82" s="24">
        <v>9</v>
      </c>
      <c r="E82" s="17">
        <f>VLOOKUP(B82,'SKU Master'!$B$2:$E$31,4,0)</f>
        <v>1800</v>
      </c>
      <c r="F82" s="25">
        <f t="shared" si="2"/>
        <v>16200</v>
      </c>
      <c r="G82" s="40" t="str">
        <f t="shared" si="3"/>
        <v>Thu</v>
      </c>
    </row>
    <row r="83" spans="1:7" ht="14.4" x14ac:dyDescent="0.3">
      <c r="A83" s="22">
        <v>44287</v>
      </c>
      <c r="B83" s="23" t="s">
        <v>70</v>
      </c>
      <c r="C83" s="23" t="s">
        <v>97</v>
      </c>
      <c r="D83" s="24">
        <v>7</v>
      </c>
      <c r="E83" s="17">
        <f>VLOOKUP(B83,'SKU Master'!$B$2:$E$31,4,0)</f>
        <v>345</v>
      </c>
      <c r="F83" s="25">
        <f t="shared" si="2"/>
        <v>2415</v>
      </c>
      <c r="G83" s="40" t="str">
        <f t="shared" si="3"/>
        <v>Thu</v>
      </c>
    </row>
    <row r="84" spans="1:7" ht="14.4" x14ac:dyDescent="0.3">
      <c r="A84" s="22">
        <v>44287</v>
      </c>
      <c r="B84" s="23" t="s">
        <v>73</v>
      </c>
      <c r="C84" s="23" t="s">
        <v>97</v>
      </c>
      <c r="D84" s="24">
        <v>6</v>
      </c>
      <c r="E84" s="17">
        <f>VLOOKUP(B84,'SKU Master'!$B$2:$E$31,4,0)</f>
        <v>350</v>
      </c>
      <c r="F84" s="25">
        <f t="shared" si="2"/>
        <v>2100</v>
      </c>
      <c r="G84" s="40" t="str">
        <f t="shared" si="3"/>
        <v>Thu</v>
      </c>
    </row>
    <row r="85" spans="1:7" ht="14.4" x14ac:dyDescent="0.3">
      <c r="A85" s="22">
        <v>44287</v>
      </c>
      <c r="B85" s="23" t="s">
        <v>76</v>
      </c>
      <c r="C85" s="23" t="s">
        <v>97</v>
      </c>
      <c r="D85" s="24">
        <v>4</v>
      </c>
      <c r="E85" s="17">
        <f>VLOOKUP(B85,'SKU Master'!$B$2:$E$31,4,0)</f>
        <v>1575</v>
      </c>
      <c r="F85" s="25">
        <f t="shared" si="2"/>
        <v>6300</v>
      </c>
      <c r="G85" s="40" t="str">
        <f t="shared" si="3"/>
        <v>Thu</v>
      </c>
    </row>
    <row r="86" spans="1:7" ht="14.4" x14ac:dyDescent="0.3">
      <c r="A86" s="22">
        <v>44287</v>
      </c>
      <c r="B86" s="23" t="s">
        <v>78</v>
      </c>
      <c r="C86" s="23" t="s">
        <v>97</v>
      </c>
      <c r="D86" s="24">
        <v>4</v>
      </c>
      <c r="E86" s="17">
        <f>VLOOKUP(B86,'SKU Master'!$B$2:$E$31,4,0)</f>
        <v>1045</v>
      </c>
      <c r="F86" s="25">
        <f t="shared" si="2"/>
        <v>4180</v>
      </c>
      <c r="G86" s="40" t="str">
        <f t="shared" si="3"/>
        <v>Thu</v>
      </c>
    </row>
    <row r="87" spans="1:7" ht="14.4" x14ac:dyDescent="0.3">
      <c r="A87" s="22">
        <v>44287</v>
      </c>
      <c r="B87" s="23" t="s">
        <v>81</v>
      </c>
      <c r="C87" s="23" t="s">
        <v>97</v>
      </c>
      <c r="D87" s="24">
        <v>3</v>
      </c>
      <c r="E87" s="17">
        <f>VLOOKUP(B87,'SKU Master'!$B$2:$E$31,4,0)</f>
        <v>1186</v>
      </c>
      <c r="F87" s="25">
        <f t="shared" si="2"/>
        <v>3558</v>
      </c>
      <c r="G87" s="40" t="str">
        <f t="shared" si="3"/>
        <v>Thu</v>
      </c>
    </row>
    <row r="88" spans="1:7" ht="14.4" x14ac:dyDescent="0.3">
      <c r="A88" s="22">
        <v>44287</v>
      </c>
      <c r="B88" s="23" t="s">
        <v>84</v>
      </c>
      <c r="C88" s="23" t="s">
        <v>97</v>
      </c>
      <c r="D88" s="24">
        <v>4</v>
      </c>
      <c r="E88" s="17">
        <f>VLOOKUP(B88,'SKU Master'!$B$2:$E$31,4,0)</f>
        <v>374</v>
      </c>
      <c r="F88" s="25">
        <f t="shared" si="2"/>
        <v>1496</v>
      </c>
      <c r="G88" s="40" t="str">
        <f t="shared" si="3"/>
        <v>Thu</v>
      </c>
    </row>
    <row r="89" spans="1:7" ht="14.4" x14ac:dyDescent="0.3">
      <c r="A89" s="22">
        <v>44287</v>
      </c>
      <c r="B89" s="23" t="s">
        <v>87</v>
      </c>
      <c r="C89" s="23" t="s">
        <v>97</v>
      </c>
      <c r="D89" s="24">
        <v>2</v>
      </c>
      <c r="E89" s="17">
        <f>VLOOKUP(B89,'SKU Master'!$B$2:$E$31,4,0)</f>
        <v>1500</v>
      </c>
      <c r="F89" s="25">
        <f t="shared" si="2"/>
        <v>3000</v>
      </c>
      <c r="G89" s="40" t="str">
        <f t="shared" si="3"/>
        <v>Thu</v>
      </c>
    </row>
    <row r="90" spans="1:7" ht="14.4" x14ac:dyDescent="0.3">
      <c r="A90" s="22">
        <v>44287</v>
      </c>
      <c r="B90" s="23" t="s">
        <v>90</v>
      </c>
      <c r="C90" s="23" t="s">
        <v>97</v>
      </c>
      <c r="D90" s="24">
        <v>0</v>
      </c>
      <c r="E90" s="17">
        <f>VLOOKUP(B90,'SKU Master'!$B$2:$E$31,4,0)</f>
        <v>1800</v>
      </c>
      <c r="F90" s="25">
        <f t="shared" si="2"/>
        <v>0</v>
      </c>
      <c r="G90" s="40" t="str">
        <f t="shared" si="3"/>
        <v>Thu</v>
      </c>
    </row>
    <row r="91" spans="1:7" ht="14.4" x14ac:dyDescent="0.3">
      <c r="A91" s="22">
        <v>44287</v>
      </c>
      <c r="B91" s="23" t="s">
        <v>93</v>
      </c>
      <c r="C91" s="23" t="s">
        <v>97</v>
      </c>
      <c r="D91" s="24">
        <v>2</v>
      </c>
      <c r="E91" s="17">
        <f>VLOOKUP(B91,'SKU Master'!$B$2:$E$31,4,0)</f>
        <v>1477</v>
      </c>
      <c r="F91" s="25">
        <f t="shared" si="2"/>
        <v>2954</v>
      </c>
      <c r="G91" s="40" t="str">
        <f t="shared" si="3"/>
        <v>Thu</v>
      </c>
    </row>
    <row r="92" spans="1:7" ht="14.4" x14ac:dyDescent="0.3">
      <c r="A92" s="22">
        <v>44288</v>
      </c>
      <c r="B92" s="23" t="s">
        <v>6</v>
      </c>
      <c r="C92" s="23" t="s">
        <v>96</v>
      </c>
      <c r="D92" s="24">
        <v>26</v>
      </c>
      <c r="E92" s="17">
        <f>VLOOKUP(B92,'SKU Master'!$B$2:$E$31,4,0)</f>
        <v>210</v>
      </c>
      <c r="F92" s="25">
        <f t="shared" si="2"/>
        <v>5460</v>
      </c>
      <c r="G92" s="40" t="str">
        <f t="shared" si="3"/>
        <v>Fri</v>
      </c>
    </row>
    <row r="93" spans="1:7" ht="14.4" x14ac:dyDescent="0.3">
      <c r="A93" s="22">
        <v>44288</v>
      </c>
      <c r="B93" s="23" t="s">
        <v>9</v>
      </c>
      <c r="C93" s="23" t="s">
        <v>96</v>
      </c>
      <c r="D93" s="24">
        <v>12</v>
      </c>
      <c r="E93" s="17">
        <f>VLOOKUP(B93,'SKU Master'!$B$2:$E$31,4,0)</f>
        <v>199</v>
      </c>
      <c r="F93" s="25">
        <f t="shared" si="2"/>
        <v>2388</v>
      </c>
      <c r="G93" s="40" t="str">
        <f t="shared" si="3"/>
        <v>Fri</v>
      </c>
    </row>
    <row r="94" spans="1:7" ht="14.4" x14ac:dyDescent="0.3">
      <c r="A94" s="22">
        <v>44288</v>
      </c>
      <c r="B94" s="23" t="s">
        <v>12</v>
      </c>
      <c r="C94" s="23" t="s">
        <v>96</v>
      </c>
      <c r="D94" s="24">
        <v>9</v>
      </c>
      <c r="E94" s="17">
        <f>VLOOKUP(B94,'SKU Master'!$B$2:$E$31,4,0)</f>
        <v>322</v>
      </c>
      <c r="F94" s="25">
        <f t="shared" si="2"/>
        <v>2898</v>
      </c>
      <c r="G94" s="40" t="str">
        <f t="shared" si="3"/>
        <v>Fri</v>
      </c>
    </row>
    <row r="95" spans="1:7" ht="14.4" x14ac:dyDescent="0.3">
      <c r="A95" s="22">
        <v>44288</v>
      </c>
      <c r="B95" s="23" t="s">
        <v>15</v>
      </c>
      <c r="C95" s="23" t="s">
        <v>96</v>
      </c>
      <c r="D95" s="24">
        <v>6</v>
      </c>
      <c r="E95" s="17">
        <f>VLOOKUP(B95,'SKU Master'!$B$2:$E$31,4,0)</f>
        <v>161</v>
      </c>
      <c r="F95" s="25">
        <f t="shared" si="2"/>
        <v>966</v>
      </c>
      <c r="G95" s="40" t="str">
        <f t="shared" si="3"/>
        <v>Fri</v>
      </c>
    </row>
    <row r="96" spans="1:7" ht="14.4" x14ac:dyDescent="0.3">
      <c r="A96" s="22">
        <v>44288</v>
      </c>
      <c r="B96" s="23" t="s">
        <v>17</v>
      </c>
      <c r="C96" s="23" t="s">
        <v>96</v>
      </c>
      <c r="D96" s="24">
        <v>8</v>
      </c>
      <c r="E96" s="17">
        <f>VLOOKUP(B96,'SKU Master'!$B$2:$E$31,4,0)</f>
        <v>109</v>
      </c>
      <c r="F96" s="25">
        <f t="shared" si="2"/>
        <v>872</v>
      </c>
      <c r="G96" s="40" t="str">
        <f t="shared" si="3"/>
        <v>Fri</v>
      </c>
    </row>
    <row r="97" spans="1:7" ht="14.4" x14ac:dyDescent="0.3">
      <c r="A97" s="22">
        <v>44288</v>
      </c>
      <c r="B97" s="23" t="s">
        <v>20</v>
      </c>
      <c r="C97" s="23" t="s">
        <v>96</v>
      </c>
      <c r="D97" s="24">
        <v>4</v>
      </c>
      <c r="E97" s="17">
        <f>VLOOKUP(B97,'SKU Master'!$B$2:$E$31,4,0)</f>
        <v>122</v>
      </c>
      <c r="F97" s="25">
        <f t="shared" si="2"/>
        <v>488</v>
      </c>
      <c r="G97" s="40" t="str">
        <f t="shared" si="3"/>
        <v>Fri</v>
      </c>
    </row>
    <row r="98" spans="1:7" ht="14.4" x14ac:dyDescent="0.3">
      <c r="A98" s="22">
        <v>44288</v>
      </c>
      <c r="B98" s="23" t="s">
        <v>23</v>
      </c>
      <c r="C98" s="23" t="s">
        <v>96</v>
      </c>
      <c r="D98" s="24">
        <v>3</v>
      </c>
      <c r="E98" s="17">
        <f>VLOOKUP(B98,'SKU Master'!$B$2:$E$31,4,0)</f>
        <v>96</v>
      </c>
      <c r="F98" s="25">
        <f t="shared" si="2"/>
        <v>288</v>
      </c>
      <c r="G98" s="40" t="str">
        <f t="shared" si="3"/>
        <v>Fri</v>
      </c>
    </row>
    <row r="99" spans="1:7" ht="14.4" x14ac:dyDescent="0.3">
      <c r="A99" s="22">
        <v>44288</v>
      </c>
      <c r="B99" s="23" t="s">
        <v>26</v>
      </c>
      <c r="C99" s="23" t="s">
        <v>96</v>
      </c>
      <c r="D99" s="24">
        <v>0</v>
      </c>
      <c r="E99" s="17">
        <f>VLOOKUP(B99,'SKU Master'!$B$2:$E$31,4,0)</f>
        <v>73</v>
      </c>
      <c r="F99" s="25">
        <f t="shared" si="2"/>
        <v>0</v>
      </c>
      <c r="G99" s="40" t="str">
        <f t="shared" si="3"/>
        <v>Fri</v>
      </c>
    </row>
    <row r="100" spans="1:7" ht="14.4" x14ac:dyDescent="0.3">
      <c r="A100" s="22">
        <v>44288</v>
      </c>
      <c r="B100" s="23" t="s">
        <v>29</v>
      </c>
      <c r="C100" s="23" t="s">
        <v>96</v>
      </c>
      <c r="D100" s="24">
        <v>2</v>
      </c>
      <c r="E100" s="17">
        <f>VLOOKUP(B100,'SKU Master'!$B$2:$E$31,4,0)</f>
        <v>225</v>
      </c>
      <c r="F100" s="25">
        <f t="shared" si="2"/>
        <v>450</v>
      </c>
      <c r="G100" s="40" t="str">
        <f t="shared" si="3"/>
        <v>Fri</v>
      </c>
    </row>
    <row r="101" spans="1:7" ht="14.4" x14ac:dyDescent="0.3">
      <c r="A101" s="22">
        <v>44288</v>
      </c>
      <c r="B101" s="23" t="s">
        <v>32</v>
      </c>
      <c r="C101" s="23" t="s">
        <v>96</v>
      </c>
      <c r="D101" s="24">
        <v>0</v>
      </c>
      <c r="E101" s="17">
        <f>VLOOKUP(B101,'SKU Master'!$B$2:$E$31,4,0)</f>
        <v>559</v>
      </c>
      <c r="F101" s="25">
        <f t="shared" si="2"/>
        <v>0</v>
      </c>
      <c r="G101" s="40" t="str">
        <f t="shared" si="3"/>
        <v>Fri</v>
      </c>
    </row>
    <row r="102" spans="1:7" ht="14.4" x14ac:dyDescent="0.3">
      <c r="A102" s="22">
        <v>44288</v>
      </c>
      <c r="B102" s="23" t="s">
        <v>36</v>
      </c>
      <c r="C102" s="23" t="s">
        <v>96</v>
      </c>
      <c r="D102" s="24">
        <v>28</v>
      </c>
      <c r="E102" s="17">
        <f>VLOOKUP(B102,'SKU Master'!$B$2:$E$31,4,0)</f>
        <v>3199</v>
      </c>
      <c r="F102" s="25">
        <f t="shared" si="2"/>
        <v>89572</v>
      </c>
      <c r="G102" s="40" t="str">
        <f t="shared" si="3"/>
        <v>Fri</v>
      </c>
    </row>
    <row r="103" spans="1:7" ht="14.4" x14ac:dyDescent="0.3">
      <c r="A103" s="22">
        <v>44288</v>
      </c>
      <c r="B103" s="23" t="s">
        <v>39</v>
      </c>
      <c r="C103" s="23" t="s">
        <v>96</v>
      </c>
      <c r="D103" s="24">
        <v>14</v>
      </c>
      <c r="E103" s="17">
        <f>VLOOKUP(B103,'SKU Master'!$B$2:$E$31,4,0)</f>
        <v>371</v>
      </c>
      <c r="F103" s="25">
        <f t="shared" si="2"/>
        <v>5194</v>
      </c>
      <c r="G103" s="40" t="str">
        <f t="shared" si="3"/>
        <v>Fri</v>
      </c>
    </row>
    <row r="104" spans="1:7" ht="14.4" x14ac:dyDescent="0.3">
      <c r="A104" s="22">
        <v>44288</v>
      </c>
      <c r="B104" s="23" t="s">
        <v>42</v>
      </c>
      <c r="C104" s="23" t="s">
        <v>96</v>
      </c>
      <c r="D104" s="24">
        <v>10</v>
      </c>
      <c r="E104" s="17">
        <f>VLOOKUP(B104,'SKU Master'!$B$2:$E$31,4,0)</f>
        <v>2300</v>
      </c>
      <c r="F104" s="25">
        <f t="shared" si="2"/>
        <v>23000</v>
      </c>
      <c r="G104" s="40" t="str">
        <f t="shared" si="3"/>
        <v>Fri</v>
      </c>
    </row>
    <row r="105" spans="1:7" ht="14.4" x14ac:dyDescent="0.3">
      <c r="A105" s="22">
        <v>44288</v>
      </c>
      <c r="B105" s="23" t="s">
        <v>45</v>
      </c>
      <c r="C105" s="23" t="s">
        <v>96</v>
      </c>
      <c r="D105" s="24">
        <v>9</v>
      </c>
      <c r="E105" s="17">
        <f>VLOOKUP(B105,'SKU Master'!$B$2:$E$31,4,0)</f>
        <v>499</v>
      </c>
      <c r="F105" s="25">
        <f t="shared" si="2"/>
        <v>4491</v>
      </c>
      <c r="G105" s="40" t="str">
        <f t="shared" si="3"/>
        <v>Fri</v>
      </c>
    </row>
    <row r="106" spans="1:7" ht="14.4" x14ac:dyDescent="0.3">
      <c r="A106" s="22">
        <v>44288</v>
      </c>
      <c r="B106" s="23" t="s">
        <v>48</v>
      </c>
      <c r="C106" s="23" t="s">
        <v>96</v>
      </c>
      <c r="D106" s="24">
        <v>7</v>
      </c>
      <c r="E106" s="17">
        <f>VLOOKUP(B106,'SKU Master'!$B$2:$E$31,4,0)</f>
        <v>299</v>
      </c>
      <c r="F106" s="25">
        <f t="shared" si="2"/>
        <v>2093</v>
      </c>
      <c r="G106" s="40" t="str">
        <f t="shared" si="3"/>
        <v>Fri</v>
      </c>
    </row>
    <row r="107" spans="1:7" ht="14.4" x14ac:dyDescent="0.3">
      <c r="A107" s="22">
        <v>44288</v>
      </c>
      <c r="B107" s="23" t="s">
        <v>51</v>
      </c>
      <c r="C107" s="23" t="s">
        <v>96</v>
      </c>
      <c r="D107" s="24">
        <v>5</v>
      </c>
      <c r="E107" s="17">
        <f>VLOOKUP(B107,'SKU Master'!$B$2:$E$31,4,0)</f>
        <v>901</v>
      </c>
      <c r="F107" s="25">
        <f t="shared" si="2"/>
        <v>4505</v>
      </c>
      <c r="G107" s="40" t="str">
        <f t="shared" si="3"/>
        <v>Fri</v>
      </c>
    </row>
    <row r="108" spans="1:7" ht="14.4" x14ac:dyDescent="0.3">
      <c r="A108" s="22">
        <v>44288</v>
      </c>
      <c r="B108" s="23" t="s">
        <v>54</v>
      </c>
      <c r="C108" s="23" t="s">
        <v>96</v>
      </c>
      <c r="D108" s="24">
        <v>3</v>
      </c>
      <c r="E108" s="17">
        <f>VLOOKUP(B108,'SKU Master'!$B$2:$E$31,4,0)</f>
        <v>929</v>
      </c>
      <c r="F108" s="25">
        <f t="shared" si="2"/>
        <v>2787</v>
      </c>
      <c r="G108" s="40" t="str">
        <f t="shared" si="3"/>
        <v>Fri</v>
      </c>
    </row>
    <row r="109" spans="1:7" ht="14.4" x14ac:dyDescent="0.3">
      <c r="A109" s="22">
        <v>44288</v>
      </c>
      <c r="B109" s="23" t="s">
        <v>57</v>
      </c>
      <c r="C109" s="23" t="s">
        <v>96</v>
      </c>
      <c r="D109" s="24">
        <v>0</v>
      </c>
      <c r="E109" s="17">
        <f>VLOOKUP(B109,'SKU Master'!$B$2:$E$31,4,0)</f>
        <v>1030</v>
      </c>
      <c r="F109" s="25">
        <f t="shared" si="2"/>
        <v>0</v>
      </c>
      <c r="G109" s="40" t="str">
        <f t="shared" si="3"/>
        <v>Fri</v>
      </c>
    </row>
    <row r="110" spans="1:7" ht="14.4" x14ac:dyDescent="0.3">
      <c r="A110" s="22">
        <v>44288</v>
      </c>
      <c r="B110" s="23" t="s">
        <v>60</v>
      </c>
      <c r="C110" s="23" t="s">
        <v>96</v>
      </c>
      <c r="D110" s="24">
        <v>1</v>
      </c>
      <c r="E110" s="17">
        <f>VLOOKUP(B110,'SKU Master'!$B$2:$E$31,4,0)</f>
        <v>1222</v>
      </c>
      <c r="F110" s="25">
        <f t="shared" si="2"/>
        <v>1222</v>
      </c>
      <c r="G110" s="40" t="str">
        <f t="shared" si="3"/>
        <v>Fri</v>
      </c>
    </row>
    <row r="111" spans="1:7" ht="14.4" x14ac:dyDescent="0.3">
      <c r="A111" s="22">
        <v>44288</v>
      </c>
      <c r="B111" s="23" t="s">
        <v>63</v>
      </c>
      <c r="C111" s="23" t="s">
        <v>96</v>
      </c>
      <c r="D111" s="24">
        <v>3</v>
      </c>
      <c r="E111" s="17">
        <f>VLOOKUP(B111,'SKU Master'!$B$2:$E$31,4,0)</f>
        <v>649</v>
      </c>
      <c r="F111" s="25">
        <f t="shared" si="2"/>
        <v>1947</v>
      </c>
      <c r="G111" s="40" t="str">
        <f t="shared" si="3"/>
        <v>Fri</v>
      </c>
    </row>
    <row r="112" spans="1:7" ht="14.4" x14ac:dyDescent="0.3">
      <c r="A112" s="22">
        <v>44288</v>
      </c>
      <c r="B112" s="23" t="s">
        <v>67</v>
      </c>
      <c r="C112" s="23" t="s">
        <v>96</v>
      </c>
      <c r="D112" s="24">
        <v>32</v>
      </c>
      <c r="E112" s="17">
        <f>VLOOKUP(B112,'SKU Master'!$B$2:$E$31,4,0)</f>
        <v>1800</v>
      </c>
      <c r="F112" s="25">
        <f t="shared" si="2"/>
        <v>57600</v>
      </c>
      <c r="G112" s="40" t="str">
        <f t="shared" si="3"/>
        <v>Fri</v>
      </c>
    </row>
    <row r="113" spans="1:7" ht="14.4" x14ac:dyDescent="0.3">
      <c r="A113" s="22">
        <v>44288</v>
      </c>
      <c r="B113" s="23" t="s">
        <v>70</v>
      </c>
      <c r="C113" s="23" t="s">
        <v>96</v>
      </c>
      <c r="D113" s="24">
        <v>16</v>
      </c>
      <c r="E113" s="17">
        <f>VLOOKUP(B113,'SKU Master'!$B$2:$E$31,4,0)</f>
        <v>345</v>
      </c>
      <c r="F113" s="25">
        <f t="shared" si="2"/>
        <v>5520</v>
      </c>
      <c r="G113" s="40" t="str">
        <f t="shared" si="3"/>
        <v>Fri</v>
      </c>
    </row>
    <row r="114" spans="1:7" ht="14.4" x14ac:dyDescent="0.3">
      <c r="A114" s="22">
        <v>44288</v>
      </c>
      <c r="B114" s="23" t="s">
        <v>73</v>
      </c>
      <c r="C114" s="23" t="s">
        <v>96</v>
      </c>
      <c r="D114" s="24">
        <v>11</v>
      </c>
      <c r="E114" s="17">
        <f>VLOOKUP(B114,'SKU Master'!$B$2:$E$31,4,0)</f>
        <v>350</v>
      </c>
      <c r="F114" s="25">
        <f t="shared" si="2"/>
        <v>3850</v>
      </c>
      <c r="G114" s="40" t="str">
        <f t="shared" si="3"/>
        <v>Fri</v>
      </c>
    </row>
    <row r="115" spans="1:7" ht="14.4" x14ac:dyDescent="0.3">
      <c r="A115" s="22">
        <v>44288</v>
      </c>
      <c r="B115" s="23" t="s">
        <v>76</v>
      </c>
      <c r="C115" s="23" t="s">
        <v>96</v>
      </c>
      <c r="D115" s="24">
        <v>7</v>
      </c>
      <c r="E115" s="17">
        <f>VLOOKUP(B115,'SKU Master'!$B$2:$E$31,4,0)</f>
        <v>1575</v>
      </c>
      <c r="F115" s="25">
        <f t="shared" si="2"/>
        <v>11025</v>
      </c>
      <c r="G115" s="40" t="str">
        <f t="shared" si="3"/>
        <v>Fri</v>
      </c>
    </row>
    <row r="116" spans="1:7" ht="14.4" x14ac:dyDescent="0.3">
      <c r="A116" s="22">
        <v>44288</v>
      </c>
      <c r="B116" s="23" t="s">
        <v>78</v>
      </c>
      <c r="C116" s="23" t="s">
        <v>96</v>
      </c>
      <c r="D116" s="24">
        <v>6</v>
      </c>
      <c r="E116" s="17">
        <f>VLOOKUP(B116,'SKU Master'!$B$2:$E$31,4,0)</f>
        <v>1045</v>
      </c>
      <c r="F116" s="25">
        <f t="shared" si="2"/>
        <v>6270</v>
      </c>
      <c r="G116" s="40" t="str">
        <f t="shared" si="3"/>
        <v>Fri</v>
      </c>
    </row>
    <row r="117" spans="1:7" ht="14.4" x14ac:dyDescent="0.3">
      <c r="A117" s="22">
        <v>44288</v>
      </c>
      <c r="B117" s="23" t="s">
        <v>81</v>
      </c>
      <c r="C117" s="23" t="s">
        <v>96</v>
      </c>
      <c r="D117" s="24">
        <v>3</v>
      </c>
      <c r="E117" s="17">
        <f>VLOOKUP(B117,'SKU Master'!$B$2:$E$31,4,0)</f>
        <v>1186</v>
      </c>
      <c r="F117" s="25">
        <f t="shared" si="2"/>
        <v>3558</v>
      </c>
      <c r="G117" s="40" t="str">
        <f t="shared" si="3"/>
        <v>Fri</v>
      </c>
    </row>
    <row r="118" spans="1:7" ht="14.4" x14ac:dyDescent="0.3">
      <c r="A118" s="22">
        <v>44288</v>
      </c>
      <c r="B118" s="23" t="s">
        <v>84</v>
      </c>
      <c r="C118" s="23" t="s">
        <v>96</v>
      </c>
      <c r="D118" s="24">
        <v>4</v>
      </c>
      <c r="E118" s="17">
        <f>VLOOKUP(B118,'SKU Master'!$B$2:$E$31,4,0)</f>
        <v>374</v>
      </c>
      <c r="F118" s="25">
        <f t="shared" si="2"/>
        <v>1496</v>
      </c>
      <c r="G118" s="40" t="str">
        <f t="shared" si="3"/>
        <v>Fri</v>
      </c>
    </row>
    <row r="119" spans="1:7" ht="14.4" x14ac:dyDescent="0.3">
      <c r="A119" s="22">
        <v>44288</v>
      </c>
      <c r="B119" s="23" t="s">
        <v>87</v>
      </c>
      <c r="C119" s="23" t="s">
        <v>96</v>
      </c>
      <c r="D119" s="24">
        <v>1</v>
      </c>
      <c r="E119" s="17">
        <f>VLOOKUP(B119,'SKU Master'!$B$2:$E$31,4,0)</f>
        <v>1500</v>
      </c>
      <c r="F119" s="25">
        <f t="shared" si="2"/>
        <v>1500</v>
      </c>
      <c r="G119" s="40" t="str">
        <f t="shared" si="3"/>
        <v>Fri</v>
      </c>
    </row>
    <row r="120" spans="1:7" ht="14.4" x14ac:dyDescent="0.3">
      <c r="A120" s="22">
        <v>44288</v>
      </c>
      <c r="B120" s="23" t="s">
        <v>90</v>
      </c>
      <c r="C120" s="23" t="s">
        <v>96</v>
      </c>
      <c r="D120" s="24">
        <v>0</v>
      </c>
      <c r="E120" s="17">
        <f>VLOOKUP(B120,'SKU Master'!$B$2:$E$31,4,0)</f>
        <v>1800</v>
      </c>
      <c r="F120" s="25">
        <f t="shared" si="2"/>
        <v>0</v>
      </c>
      <c r="G120" s="40" t="str">
        <f t="shared" si="3"/>
        <v>Fri</v>
      </c>
    </row>
    <row r="121" spans="1:7" ht="14.4" x14ac:dyDescent="0.3">
      <c r="A121" s="22">
        <v>44288</v>
      </c>
      <c r="B121" s="23" t="s">
        <v>93</v>
      </c>
      <c r="C121" s="23" t="s">
        <v>96</v>
      </c>
      <c r="D121" s="24">
        <v>0</v>
      </c>
      <c r="E121" s="17">
        <f>VLOOKUP(B121,'SKU Master'!$B$2:$E$31,4,0)</f>
        <v>1477</v>
      </c>
      <c r="F121" s="25">
        <f t="shared" si="2"/>
        <v>0</v>
      </c>
      <c r="G121" s="40" t="str">
        <f t="shared" si="3"/>
        <v>Fri</v>
      </c>
    </row>
    <row r="122" spans="1:7" ht="14.4" x14ac:dyDescent="0.3">
      <c r="A122" s="22">
        <v>44288</v>
      </c>
      <c r="B122" s="23" t="s">
        <v>6</v>
      </c>
      <c r="C122" s="23" t="s">
        <v>98</v>
      </c>
      <c r="D122" s="24">
        <v>23</v>
      </c>
      <c r="E122" s="17">
        <f>VLOOKUP(B122,'SKU Master'!$B$2:$E$31,4,0)</f>
        <v>210</v>
      </c>
      <c r="F122" s="25">
        <f t="shared" si="2"/>
        <v>4830</v>
      </c>
      <c r="G122" s="40" t="str">
        <f t="shared" si="3"/>
        <v>Fri</v>
      </c>
    </row>
    <row r="123" spans="1:7" ht="14.4" x14ac:dyDescent="0.3">
      <c r="A123" s="22">
        <v>44288</v>
      </c>
      <c r="B123" s="23" t="s">
        <v>9</v>
      </c>
      <c r="C123" s="23" t="s">
        <v>98</v>
      </c>
      <c r="D123" s="24">
        <v>9</v>
      </c>
      <c r="E123" s="17">
        <f>VLOOKUP(B123,'SKU Master'!$B$2:$E$31,4,0)</f>
        <v>199</v>
      </c>
      <c r="F123" s="25">
        <f t="shared" si="2"/>
        <v>1791</v>
      </c>
      <c r="G123" s="40" t="str">
        <f t="shared" si="3"/>
        <v>Fri</v>
      </c>
    </row>
    <row r="124" spans="1:7" ht="14.4" x14ac:dyDescent="0.3">
      <c r="A124" s="22">
        <v>44288</v>
      </c>
      <c r="B124" s="23" t="s">
        <v>12</v>
      </c>
      <c r="C124" s="23" t="s">
        <v>98</v>
      </c>
      <c r="D124" s="24">
        <v>6</v>
      </c>
      <c r="E124" s="17">
        <f>VLOOKUP(B124,'SKU Master'!$B$2:$E$31,4,0)</f>
        <v>322</v>
      </c>
      <c r="F124" s="25">
        <f t="shared" si="2"/>
        <v>1932</v>
      </c>
      <c r="G124" s="40" t="str">
        <f t="shared" si="3"/>
        <v>Fri</v>
      </c>
    </row>
    <row r="125" spans="1:7" ht="14.4" x14ac:dyDescent="0.3">
      <c r="A125" s="22">
        <v>44288</v>
      </c>
      <c r="B125" s="23" t="s">
        <v>15</v>
      </c>
      <c r="C125" s="23" t="s">
        <v>98</v>
      </c>
      <c r="D125" s="24">
        <v>5</v>
      </c>
      <c r="E125" s="17">
        <f>VLOOKUP(B125,'SKU Master'!$B$2:$E$31,4,0)</f>
        <v>161</v>
      </c>
      <c r="F125" s="25">
        <f t="shared" si="2"/>
        <v>805</v>
      </c>
      <c r="G125" s="40" t="str">
        <f t="shared" si="3"/>
        <v>Fri</v>
      </c>
    </row>
    <row r="126" spans="1:7" ht="14.4" x14ac:dyDescent="0.3">
      <c r="A126" s="22">
        <v>44288</v>
      </c>
      <c r="B126" s="23" t="s">
        <v>17</v>
      </c>
      <c r="C126" s="23" t="s">
        <v>98</v>
      </c>
      <c r="D126" s="24">
        <v>5</v>
      </c>
      <c r="E126" s="17">
        <f>VLOOKUP(B126,'SKU Master'!$B$2:$E$31,4,0)</f>
        <v>109</v>
      </c>
      <c r="F126" s="25">
        <f t="shared" si="2"/>
        <v>545</v>
      </c>
      <c r="G126" s="40" t="str">
        <f t="shared" si="3"/>
        <v>Fri</v>
      </c>
    </row>
    <row r="127" spans="1:7" ht="14.4" x14ac:dyDescent="0.3">
      <c r="A127" s="22">
        <v>44288</v>
      </c>
      <c r="B127" s="23" t="s">
        <v>20</v>
      </c>
      <c r="C127" s="23" t="s">
        <v>98</v>
      </c>
      <c r="D127" s="24">
        <v>4</v>
      </c>
      <c r="E127" s="17">
        <f>VLOOKUP(B127,'SKU Master'!$B$2:$E$31,4,0)</f>
        <v>122</v>
      </c>
      <c r="F127" s="25">
        <f t="shared" si="2"/>
        <v>488</v>
      </c>
      <c r="G127" s="40" t="str">
        <f t="shared" si="3"/>
        <v>Fri</v>
      </c>
    </row>
    <row r="128" spans="1:7" ht="14.4" x14ac:dyDescent="0.3">
      <c r="A128" s="22">
        <v>44288</v>
      </c>
      <c r="B128" s="23" t="s">
        <v>23</v>
      </c>
      <c r="C128" s="23" t="s">
        <v>98</v>
      </c>
      <c r="D128" s="24">
        <v>1</v>
      </c>
      <c r="E128" s="17">
        <f>VLOOKUP(B128,'SKU Master'!$B$2:$E$31,4,0)</f>
        <v>96</v>
      </c>
      <c r="F128" s="25">
        <f t="shared" si="2"/>
        <v>96</v>
      </c>
      <c r="G128" s="40" t="str">
        <f t="shared" si="3"/>
        <v>Fri</v>
      </c>
    </row>
    <row r="129" spans="1:7" ht="14.4" x14ac:dyDescent="0.3">
      <c r="A129" s="22">
        <v>44288</v>
      </c>
      <c r="B129" s="23" t="s">
        <v>26</v>
      </c>
      <c r="C129" s="23" t="s">
        <v>98</v>
      </c>
      <c r="D129" s="24">
        <v>0</v>
      </c>
      <c r="E129" s="17">
        <f>VLOOKUP(B129,'SKU Master'!$B$2:$E$31,4,0)</f>
        <v>73</v>
      </c>
      <c r="F129" s="25">
        <f t="shared" si="2"/>
        <v>0</v>
      </c>
      <c r="G129" s="40" t="str">
        <f t="shared" si="3"/>
        <v>Fri</v>
      </c>
    </row>
    <row r="130" spans="1:7" ht="14.4" x14ac:dyDescent="0.3">
      <c r="A130" s="22">
        <v>44288</v>
      </c>
      <c r="B130" s="23" t="s">
        <v>29</v>
      </c>
      <c r="C130" s="23" t="s">
        <v>98</v>
      </c>
      <c r="D130" s="24">
        <v>1</v>
      </c>
      <c r="E130" s="17">
        <f>VLOOKUP(B130,'SKU Master'!$B$2:$E$31,4,0)</f>
        <v>225</v>
      </c>
      <c r="F130" s="25">
        <f t="shared" si="2"/>
        <v>225</v>
      </c>
      <c r="G130" s="40" t="str">
        <f t="shared" si="3"/>
        <v>Fri</v>
      </c>
    </row>
    <row r="131" spans="1:7" ht="14.4" x14ac:dyDescent="0.3">
      <c r="A131" s="22">
        <v>44288</v>
      </c>
      <c r="B131" s="23" t="s">
        <v>32</v>
      </c>
      <c r="C131" s="23" t="s">
        <v>98</v>
      </c>
      <c r="D131" s="24">
        <v>0</v>
      </c>
      <c r="E131" s="17">
        <f>VLOOKUP(B131,'SKU Master'!$B$2:$E$31,4,0)</f>
        <v>559</v>
      </c>
      <c r="F131" s="25">
        <f t="shared" ref="F131:F194" si="4">D131*E131</f>
        <v>0</v>
      </c>
      <c r="G131" s="40" t="str">
        <f t="shared" si="3"/>
        <v>Fri</v>
      </c>
    </row>
    <row r="132" spans="1:7" ht="14.4" x14ac:dyDescent="0.3">
      <c r="A132" s="22">
        <v>44288</v>
      </c>
      <c r="B132" s="23" t="s">
        <v>36</v>
      </c>
      <c r="C132" s="23" t="s">
        <v>98</v>
      </c>
      <c r="D132" s="24">
        <v>9</v>
      </c>
      <c r="E132" s="17">
        <f>VLOOKUP(B132,'SKU Master'!$B$2:$E$31,4,0)</f>
        <v>3199</v>
      </c>
      <c r="F132" s="25">
        <f t="shared" si="4"/>
        <v>28791</v>
      </c>
      <c r="G132" s="40" t="str">
        <f t="shared" ref="G132:G195" si="5">CHOOSE(WEEKDAY(A132),"Sun","Mon","Tue","Wed","Thu","Fri","Sat")</f>
        <v>Fri</v>
      </c>
    </row>
    <row r="133" spans="1:7" ht="14.4" x14ac:dyDescent="0.3">
      <c r="A133" s="22">
        <v>44288</v>
      </c>
      <c r="B133" s="23" t="s">
        <v>39</v>
      </c>
      <c r="C133" s="23" t="s">
        <v>98</v>
      </c>
      <c r="D133" s="24">
        <v>5</v>
      </c>
      <c r="E133" s="17">
        <f>VLOOKUP(B133,'SKU Master'!$B$2:$E$31,4,0)</f>
        <v>371</v>
      </c>
      <c r="F133" s="25">
        <f t="shared" si="4"/>
        <v>1855</v>
      </c>
      <c r="G133" s="40" t="str">
        <f t="shared" si="5"/>
        <v>Fri</v>
      </c>
    </row>
    <row r="134" spans="1:7" ht="14.4" x14ac:dyDescent="0.3">
      <c r="A134" s="22">
        <v>44288</v>
      </c>
      <c r="B134" s="23" t="s">
        <v>42</v>
      </c>
      <c r="C134" s="23" t="s">
        <v>98</v>
      </c>
      <c r="D134" s="24">
        <v>5</v>
      </c>
      <c r="E134" s="17">
        <f>VLOOKUP(B134,'SKU Master'!$B$2:$E$31,4,0)</f>
        <v>2300</v>
      </c>
      <c r="F134" s="25">
        <f t="shared" si="4"/>
        <v>11500</v>
      </c>
      <c r="G134" s="40" t="str">
        <f t="shared" si="5"/>
        <v>Fri</v>
      </c>
    </row>
    <row r="135" spans="1:7" ht="14.4" x14ac:dyDescent="0.3">
      <c r="A135" s="22">
        <v>44288</v>
      </c>
      <c r="B135" s="23" t="s">
        <v>45</v>
      </c>
      <c r="C135" s="23" t="s">
        <v>98</v>
      </c>
      <c r="D135" s="24">
        <v>1</v>
      </c>
      <c r="E135" s="17">
        <f>VLOOKUP(B135,'SKU Master'!$B$2:$E$31,4,0)</f>
        <v>499</v>
      </c>
      <c r="F135" s="25">
        <f t="shared" si="4"/>
        <v>499</v>
      </c>
      <c r="G135" s="40" t="str">
        <f t="shared" si="5"/>
        <v>Fri</v>
      </c>
    </row>
    <row r="136" spans="1:7" ht="14.4" x14ac:dyDescent="0.3">
      <c r="A136" s="22">
        <v>44288</v>
      </c>
      <c r="B136" s="23" t="s">
        <v>48</v>
      </c>
      <c r="C136" s="23" t="s">
        <v>98</v>
      </c>
      <c r="D136" s="24">
        <v>0</v>
      </c>
      <c r="E136" s="17">
        <f>VLOOKUP(B136,'SKU Master'!$B$2:$E$31,4,0)</f>
        <v>299</v>
      </c>
      <c r="F136" s="25">
        <f t="shared" si="4"/>
        <v>0</v>
      </c>
      <c r="G136" s="40" t="str">
        <f t="shared" si="5"/>
        <v>Fri</v>
      </c>
    </row>
    <row r="137" spans="1:7" ht="14.4" x14ac:dyDescent="0.3">
      <c r="A137" s="22">
        <v>44288</v>
      </c>
      <c r="B137" s="23" t="s">
        <v>51</v>
      </c>
      <c r="C137" s="23" t="s">
        <v>98</v>
      </c>
      <c r="D137" s="24">
        <v>3</v>
      </c>
      <c r="E137" s="17">
        <f>VLOOKUP(B137,'SKU Master'!$B$2:$E$31,4,0)</f>
        <v>901</v>
      </c>
      <c r="F137" s="25">
        <f t="shared" si="4"/>
        <v>2703</v>
      </c>
      <c r="G137" s="40" t="str">
        <f t="shared" si="5"/>
        <v>Fri</v>
      </c>
    </row>
    <row r="138" spans="1:7" ht="14.4" x14ac:dyDescent="0.3">
      <c r="A138" s="22">
        <v>44288</v>
      </c>
      <c r="B138" s="23" t="s">
        <v>54</v>
      </c>
      <c r="C138" s="23" t="s">
        <v>98</v>
      </c>
      <c r="D138" s="24">
        <v>1</v>
      </c>
      <c r="E138" s="17">
        <f>VLOOKUP(B138,'SKU Master'!$B$2:$E$31,4,0)</f>
        <v>929</v>
      </c>
      <c r="F138" s="25">
        <f t="shared" si="4"/>
        <v>929</v>
      </c>
      <c r="G138" s="40" t="str">
        <f t="shared" si="5"/>
        <v>Fri</v>
      </c>
    </row>
    <row r="139" spans="1:7" ht="14.4" x14ac:dyDescent="0.3">
      <c r="A139" s="22">
        <v>44288</v>
      </c>
      <c r="B139" s="23" t="s">
        <v>57</v>
      </c>
      <c r="C139" s="23" t="s">
        <v>98</v>
      </c>
      <c r="D139" s="24">
        <v>0</v>
      </c>
      <c r="E139" s="17">
        <f>VLOOKUP(B139,'SKU Master'!$B$2:$E$31,4,0)</f>
        <v>1030</v>
      </c>
      <c r="F139" s="25">
        <f t="shared" si="4"/>
        <v>0</v>
      </c>
      <c r="G139" s="40" t="str">
        <f t="shared" si="5"/>
        <v>Fri</v>
      </c>
    </row>
    <row r="140" spans="1:7" ht="14.4" x14ac:dyDescent="0.3">
      <c r="A140" s="22">
        <v>44288</v>
      </c>
      <c r="B140" s="23" t="s">
        <v>60</v>
      </c>
      <c r="C140" s="23" t="s">
        <v>98</v>
      </c>
      <c r="D140" s="24">
        <v>1</v>
      </c>
      <c r="E140" s="17">
        <f>VLOOKUP(B140,'SKU Master'!$B$2:$E$31,4,0)</f>
        <v>1222</v>
      </c>
      <c r="F140" s="25">
        <f t="shared" si="4"/>
        <v>1222</v>
      </c>
      <c r="G140" s="40" t="str">
        <f t="shared" si="5"/>
        <v>Fri</v>
      </c>
    </row>
    <row r="141" spans="1:7" ht="14.4" x14ac:dyDescent="0.3">
      <c r="A141" s="22">
        <v>44288</v>
      </c>
      <c r="B141" s="23" t="s">
        <v>63</v>
      </c>
      <c r="C141" s="23" t="s">
        <v>98</v>
      </c>
      <c r="D141" s="24">
        <v>0</v>
      </c>
      <c r="E141" s="17">
        <f>VLOOKUP(B141,'SKU Master'!$B$2:$E$31,4,0)</f>
        <v>649</v>
      </c>
      <c r="F141" s="25">
        <f t="shared" si="4"/>
        <v>0</v>
      </c>
      <c r="G141" s="40" t="str">
        <f t="shared" si="5"/>
        <v>Fri</v>
      </c>
    </row>
    <row r="142" spans="1:7" ht="14.4" x14ac:dyDescent="0.3">
      <c r="A142" s="22">
        <v>44288</v>
      </c>
      <c r="B142" s="23" t="s">
        <v>67</v>
      </c>
      <c r="C142" s="23" t="s">
        <v>98</v>
      </c>
      <c r="D142" s="24">
        <v>18</v>
      </c>
      <c r="E142" s="17">
        <f>VLOOKUP(B142,'SKU Master'!$B$2:$E$31,4,0)</f>
        <v>1800</v>
      </c>
      <c r="F142" s="25">
        <f t="shared" si="4"/>
        <v>32400</v>
      </c>
      <c r="G142" s="40" t="str">
        <f t="shared" si="5"/>
        <v>Fri</v>
      </c>
    </row>
    <row r="143" spans="1:7" ht="14.4" x14ac:dyDescent="0.3">
      <c r="A143" s="22">
        <v>44288</v>
      </c>
      <c r="B143" s="23" t="s">
        <v>70</v>
      </c>
      <c r="C143" s="23" t="s">
        <v>98</v>
      </c>
      <c r="D143" s="24">
        <v>10</v>
      </c>
      <c r="E143" s="17">
        <f>VLOOKUP(B143,'SKU Master'!$B$2:$E$31,4,0)</f>
        <v>345</v>
      </c>
      <c r="F143" s="25">
        <f t="shared" si="4"/>
        <v>3450</v>
      </c>
      <c r="G143" s="40" t="str">
        <f t="shared" si="5"/>
        <v>Fri</v>
      </c>
    </row>
    <row r="144" spans="1:7" ht="14.4" x14ac:dyDescent="0.3">
      <c r="A144" s="22">
        <v>44288</v>
      </c>
      <c r="B144" s="23" t="s">
        <v>73</v>
      </c>
      <c r="C144" s="23" t="s">
        <v>98</v>
      </c>
      <c r="D144" s="24">
        <v>7</v>
      </c>
      <c r="E144" s="17">
        <f>VLOOKUP(B144,'SKU Master'!$B$2:$E$31,4,0)</f>
        <v>350</v>
      </c>
      <c r="F144" s="25">
        <f t="shared" si="4"/>
        <v>2450</v>
      </c>
      <c r="G144" s="40" t="str">
        <f t="shared" si="5"/>
        <v>Fri</v>
      </c>
    </row>
    <row r="145" spans="1:7" ht="14.4" x14ac:dyDescent="0.3">
      <c r="A145" s="22">
        <v>44288</v>
      </c>
      <c r="B145" s="23" t="s">
        <v>76</v>
      </c>
      <c r="C145" s="23" t="s">
        <v>98</v>
      </c>
      <c r="D145" s="24">
        <v>4</v>
      </c>
      <c r="E145" s="17">
        <f>VLOOKUP(B145,'SKU Master'!$B$2:$E$31,4,0)</f>
        <v>1575</v>
      </c>
      <c r="F145" s="25">
        <f t="shared" si="4"/>
        <v>6300</v>
      </c>
      <c r="G145" s="40" t="str">
        <f t="shared" si="5"/>
        <v>Fri</v>
      </c>
    </row>
    <row r="146" spans="1:7" ht="14.4" x14ac:dyDescent="0.3">
      <c r="A146" s="22">
        <v>44288</v>
      </c>
      <c r="B146" s="23" t="s">
        <v>78</v>
      </c>
      <c r="C146" s="23" t="s">
        <v>98</v>
      </c>
      <c r="D146" s="24">
        <v>1</v>
      </c>
      <c r="E146" s="17">
        <f>VLOOKUP(B146,'SKU Master'!$B$2:$E$31,4,0)</f>
        <v>1045</v>
      </c>
      <c r="F146" s="25">
        <f t="shared" si="4"/>
        <v>1045</v>
      </c>
      <c r="G146" s="40" t="str">
        <f t="shared" si="5"/>
        <v>Fri</v>
      </c>
    </row>
    <row r="147" spans="1:7" ht="14.4" x14ac:dyDescent="0.3">
      <c r="A147" s="22">
        <v>44288</v>
      </c>
      <c r="B147" s="23" t="s">
        <v>81</v>
      </c>
      <c r="C147" s="23" t="s">
        <v>98</v>
      </c>
      <c r="D147" s="24">
        <v>0</v>
      </c>
      <c r="E147" s="17">
        <f>VLOOKUP(B147,'SKU Master'!$B$2:$E$31,4,0)</f>
        <v>1186</v>
      </c>
      <c r="F147" s="25">
        <f t="shared" si="4"/>
        <v>0</v>
      </c>
      <c r="G147" s="40" t="str">
        <f t="shared" si="5"/>
        <v>Fri</v>
      </c>
    </row>
    <row r="148" spans="1:7" ht="14.4" x14ac:dyDescent="0.3">
      <c r="A148" s="22">
        <v>44288</v>
      </c>
      <c r="B148" s="23" t="s">
        <v>84</v>
      </c>
      <c r="C148" s="23" t="s">
        <v>98</v>
      </c>
      <c r="D148" s="24">
        <v>1</v>
      </c>
      <c r="E148" s="17">
        <f>VLOOKUP(B148,'SKU Master'!$B$2:$E$31,4,0)</f>
        <v>374</v>
      </c>
      <c r="F148" s="25">
        <f t="shared" si="4"/>
        <v>374</v>
      </c>
      <c r="G148" s="40" t="str">
        <f t="shared" si="5"/>
        <v>Fri</v>
      </c>
    </row>
    <row r="149" spans="1:7" ht="14.4" x14ac:dyDescent="0.3">
      <c r="A149" s="22">
        <v>44288</v>
      </c>
      <c r="B149" s="23" t="s">
        <v>87</v>
      </c>
      <c r="C149" s="23" t="s">
        <v>98</v>
      </c>
      <c r="D149" s="24">
        <v>0</v>
      </c>
      <c r="E149" s="17">
        <f>VLOOKUP(B149,'SKU Master'!$B$2:$E$31,4,0)</f>
        <v>1500</v>
      </c>
      <c r="F149" s="25">
        <f t="shared" si="4"/>
        <v>0</v>
      </c>
      <c r="G149" s="40" t="str">
        <f t="shared" si="5"/>
        <v>Fri</v>
      </c>
    </row>
    <row r="150" spans="1:7" ht="14.4" x14ac:dyDescent="0.3">
      <c r="A150" s="22">
        <v>44288</v>
      </c>
      <c r="B150" s="23" t="s">
        <v>90</v>
      </c>
      <c r="C150" s="23" t="s">
        <v>98</v>
      </c>
      <c r="D150" s="24">
        <v>0</v>
      </c>
      <c r="E150" s="17">
        <f>VLOOKUP(B150,'SKU Master'!$B$2:$E$31,4,0)</f>
        <v>1800</v>
      </c>
      <c r="F150" s="25">
        <f t="shared" si="4"/>
        <v>0</v>
      </c>
      <c r="G150" s="40" t="str">
        <f t="shared" si="5"/>
        <v>Fri</v>
      </c>
    </row>
    <row r="151" spans="1:7" ht="14.4" x14ac:dyDescent="0.3">
      <c r="A151" s="22">
        <v>44288</v>
      </c>
      <c r="B151" s="23" t="s">
        <v>93</v>
      </c>
      <c r="C151" s="23" t="s">
        <v>98</v>
      </c>
      <c r="D151" s="24">
        <v>0</v>
      </c>
      <c r="E151" s="17">
        <f>VLOOKUP(B151,'SKU Master'!$B$2:$E$31,4,0)</f>
        <v>1477</v>
      </c>
      <c r="F151" s="25">
        <f t="shared" si="4"/>
        <v>0</v>
      </c>
      <c r="G151" s="40" t="str">
        <f t="shared" si="5"/>
        <v>Fri</v>
      </c>
    </row>
    <row r="152" spans="1:7" ht="14.4" x14ac:dyDescent="0.3">
      <c r="A152" s="22">
        <v>44288</v>
      </c>
      <c r="B152" s="23" t="s">
        <v>6</v>
      </c>
      <c r="C152" s="23" t="s">
        <v>97</v>
      </c>
      <c r="D152" s="24">
        <v>10</v>
      </c>
      <c r="E152" s="17">
        <f>VLOOKUP(B152,'SKU Master'!$B$2:$E$31,4,0)</f>
        <v>210</v>
      </c>
      <c r="F152" s="25">
        <f t="shared" si="4"/>
        <v>2100</v>
      </c>
      <c r="G152" s="40" t="str">
        <f t="shared" si="5"/>
        <v>Fri</v>
      </c>
    </row>
    <row r="153" spans="1:7" ht="14.4" x14ac:dyDescent="0.3">
      <c r="A153" s="22">
        <v>44288</v>
      </c>
      <c r="B153" s="23" t="s">
        <v>9</v>
      </c>
      <c r="C153" s="23" t="s">
        <v>97</v>
      </c>
      <c r="D153" s="24">
        <v>7</v>
      </c>
      <c r="E153" s="17">
        <f>VLOOKUP(B153,'SKU Master'!$B$2:$E$31,4,0)</f>
        <v>199</v>
      </c>
      <c r="F153" s="25">
        <f t="shared" si="4"/>
        <v>1393</v>
      </c>
      <c r="G153" s="40" t="str">
        <f t="shared" si="5"/>
        <v>Fri</v>
      </c>
    </row>
    <row r="154" spans="1:7" ht="14.4" x14ac:dyDescent="0.3">
      <c r="A154" s="22">
        <v>44288</v>
      </c>
      <c r="B154" s="23" t="s">
        <v>12</v>
      </c>
      <c r="C154" s="23" t="s">
        <v>97</v>
      </c>
      <c r="D154" s="24">
        <v>6</v>
      </c>
      <c r="E154" s="17">
        <f>VLOOKUP(B154,'SKU Master'!$B$2:$E$31,4,0)</f>
        <v>322</v>
      </c>
      <c r="F154" s="25">
        <f t="shared" si="4"/>
        <v>1932</v>
      </c>
      <c r="G154" s="40" t="str">
        <f t="shared" si="5"/>
        <v>Fri</v>
      </c>
    </row>
    <row r="155" spans="1:7" ht="14.4" x14ac:dyDescent="0.3">
      <c r="A155" s="22">
        <v>44288</v>
      </c>
      <c r="B155" s="23" t="s">
        <v>15</v>
      </c>
      <c r="C155" s="23" t="s">
        <v>97</v>
      </c>
      <c r="D155" s="24">
        <v>5</v>
      </c>
      <c r="E155" s="17">
        <f>VLOOKUP(B155,'SKU Master'!$B$2:$E$31,4,0)</f>
        <v>161</v>
      </c>
      <c r="F155" s="25">
        <f t="shared" si="4"/>
        <v>805</v>
      </c>
      <c r="G155" s="40" t="str">
        <f t="shared" si="5"/>
        <v>Fri</v>
      </c>
    </row>
    <row r="156" spans="1:7" ht="14.4" x14ac:dyDescent="0.3">
      <c r="A156" s="22">
        <v>44288</v>
      </c>
      <c r="B156" s="23" t="s">
        <v>17</v>
      </c>
      <c r="C156" s="23" t="s">
        <v>97</v>
      </c>
      <c r="D156" s="24">
        <v>1</v>
      </c>
      <c r="E156" s="17">
        <f>VLOOKUP(B156,'SKU Master'!$B$2:$E$31,4,0)</f>
        <v>109</v>
      </c>
      <c r="F156" s="25">
        <f t="shared" si="4"/>
        <v>109</v>
      </c>
      <c r="G156" s="40" t="str">
        <f t="shared" si="5"/>
        <v>Fri</v>
      </c>
    </row>
    <row r="157" spans="1:7" ht="14.4" x14ac:dyDescent="0.3">
      <c r="A157" s="22">
        <v>44288</v>
      </c>
      <c r="B157" s="23" t="s">
        <v>20</v>
      </c>
      <c r="C157" s="23" t="s">
        <v>97</v>
      </c>
      <c r="D157" s="24">
        <v>2</v>
      </c>
      <c r="E157" s="17">
        <f>VLOOKUP(B157,'SKU Master'!$B$2:$E$31,4,0)</f>
        <v>122</v>
      </c>
      <c r="F157" s="25">
        <f t="shared" si="4"/>
        <v>244</v>
      </c>
      <c r="G157" s="40" t="str">
        <f t="shared" si="5"/>
        <v>Fri</v>
      </c>
    </row>
    <row r="158" spans="1:7" ht="14.4" x14ac:dyDescent="0.3">
      <c r="A158" s="22">
        <v>44288</v>
      </c>
      <c r="B158" s="23" t="s">
        <v>23</v>
      </c>
      <c r="C158" s="23" t="s">
        <v>97</v>
      </c>
      <c r="D158" s="24">
        <v>2</v>
      </c>
      <c r="E158" s="17">
        <f>VLOOKUP(B158,'SKU Master'!$B$2:$E$31,4,0)</f>
        <v>96</v>
      </c>
      <c r="F158" s="25">
        <f t="shared" si="4"/>
        <v>192</v>
      </c>
      <c r="G158" s="40" t="str">
        <f t="shared" si="5"/>
        <v>Fri</v>
      </c>
    </row>
    <row r="159" spans="1:7" ht="14.4" x14ac:dyDescent="0.3">
      <c r="A159" s="22">
        <v>44288</v>
      </c>
      <c r="B159" s="23" t="s">
        <v>26</v>
      </c>
      <c r="C159" s="23" t="s">
        <v>97</v>
      </c>
      <c r="D159" s="24">
        <v>0</v>
      </c>
      <c r="E159" s="17">
        <f>VLOOKUP(B159,'SKU Master'!$B$2:$E$31,4,0)</f>
        <v>73</v>
      </c>
      <c r="F159" s="25">
        <f t="shared" si="4"/>
        <v>0</v>
      </c>
      <c r="G159" s="40" t="str">
        <f t="shared" si="5"/>
        <v>Fri</v>
      </c>
    </row>
    <row r="160" spans="1:7" ht="14.4" x14ac:dyDescent="0.3">
      <c r="A160" s="22">
        <v>44288</v>
      </c>
      <c r="B160" s="23" t="s">
        <v>29</v>
      </c>
      <c r="C160" s="23" t="s">
        <v>97</v>
      </c>
      <c r="D160" s="24">
        <v>2</v>
      </c>
      <c r="E160" s="17">
        <f>VLOOKUP(B160,'SKU Master'!$B$2:$E$31,4,0)</f>
        <v>225</v>
      </c>
      <c r="F160" s="25">
        <f t="shared" si="4"/>
        <v>450</v>
      </c>
      <c r="G160" s="40" t="str">
        <f t="shared" si="5"/>
        <v>Fri</v>
      </c>
    </row>
    <row r="161" spans="1:7" ht="14.4" x14ac:dyDescent="0.3">
      <c r="A161" s="22">
        <v>44288</v>
      </c>
      <c r="B161" s="23" t="s">
        <v>32</v>
      </c>
      <c r="C161" s="23" t="s">
        <v>97</v>
      </c>
      <c r="D161" s="24">
        <v>2</v>
      </c>
      <c r="E161" s="17">
        <f>VLOOKUP(B161,'SKU Master'!$B$2:$E$31,4,0)</f>
        <v>559</v>
      </c>
      <c r="F161" s="25">
        <f t="shared" si="4"/>
        <v>1118</v>
      </c>
      <c r="G161" s="40" t="str">
        <f t="shared" si="5"/>
        <v>Fri</v>
      </c>
    </row>
    <row r="162" spans="1:7" ht="14.4" x14ac:dyDescent="0.3">
      <c r="A162" s="22">
        <v>44288</v>
      </c>
      <c r="B162" s="23" t="s">
        <v>36</v>
      </c>
      <c r="C162" s="23" t="s">
        <v>97</v>
      </c>
      <c r="D162" s="24">
        <v>28</v>
      </c>
      <c r="E162" s="17">
        <f>VLOOKUP(B162,'SKU Master'!$B$2:$E$31,4,0)</f>
        <v>3199</v>
      </c>
      <c r="F162" s="25">
        <f t="shared" si="4"/>
        <v>89572</v>
      </c>
      <c r="G162" s="40" t="str">
        <f t="shared" si="5"/>
        <v>Fri</v>
      </c>
    </row>
    <row r="163" spans="1:7" ht="14.4" x14ac:dyDescent="0.3">
      <c r="A163" s="22">
        <v>44288</v>
      </c>
      <c r="B163" s="23" t="s">
        <v>39</v>
      </c>
      <c r="C163" s="23" t="s">
        <v>97</v>
      </c>
      <c r="D163" s="24">
        <v>7</v>
      </c>
      <c r="E163" s="17">
        <f>VLOOKUP(B163,'SKU Master'!$B$2:$E$31,4,0)</f>
        <v>371</v>
      </c>
      <c r="F163" s="25">
        <f t="shared" si="4"/>
        <v>2597</v>
      </c>
      <c r="G163" s="40" t="str">
        <f t="shared" si="5"/>
        <v>Fri</v>
      </c>
    </row>
    <row r="164" spans="1:7" ht="14.4" x14ac:dyDescent="0.3">
      <c r="A164" s="22">
        <v>44288</v>
      </c>
      <c r="B164" s="23" t="s">
        <v>42</v>
      </c>
      <c r="C164" s="23" t="s">
        <v>97</v>
      </c>
      <c r="D164" s="24">
        <v>5</v>
      </c>
      <c r="E164" s="17">
        <f>VLOOKUP(B164,'SKU Master'!$B$2:$E$31,4,0)</f>
        <v>2300</v>
      </c>
      <c r="F164" s="25">
        <f t="shared" si="4"/>
        <v>11500</v>
      </c>
      <c r="G164" s="40" t="str">
        <f t="shared" si="5"/>
        <v>Fri</v>
      </c>
    </row>
    <row r="165" spans="1:7" ht="14.4" x14ac:dyDescent="0.3">
      <c r="A165" s="22">
        <v>44288</v>
      </c>
      <c r="B165" s="23" t="s">
        <v>45</v>
      </c>
      <c r="C165" s="23" t="s">
        <v>97</v>
      </c>
      <c r="D165" s="24">
        <v>8</v>
      </c>
      <c r="E165" s="17">
        <f>VLOOKUP(B165,'SKU Master'!$B$2:$E$31,4,0)</f>
        <v>499</v>
      </c>
      <c r="F165" s="25">
        <f t="shared" si="4"/>
        <v>3992</v>
      </c>
      <c r="G165" s="40" t="str">
        <f t="shared" si="5"/>
        <v>Fri</v>
      </c>
    </row>
    <row r="166" spans="1:7" ht="14.4" x14ac:dyDescent="0.3">
      <c r="A166" s="22">
        <v>44288</v>
      </c>
      <c r="B166" s="23" t="s">
        <v>48</v>
      </c>
      <c r="C166" s="23" t="s">
        <v>97</v>
      </c>
      <c r="D166" s="24">
        <v>6</v>
      </c>
      <c r="E166" s="17">
        <f>VLOOKUP(B166,'SKU Master'!$B$2:$E$31,4,0)</f>
        <v>299</v>
      </c>
      <c r="F166" s="25">
        <f t="shared" si="4"/>
        <v>1794</v>
      </c>
      <c r="G166" s="40" t="str">
        <f t="shared" si="5"/>
        <v>Fri</v>
      </c>
    </row>
    <row r="167" spans="1:7" ht="14.4" x14ac:dyDescent="0.3">
      <c r="A167" s="22">
        <v>44288</v>
      </c>
      <c r="B167" s="23" t="s">
        <v>51</v>
      </c>
      <c r="C167" s="23" t="s">
        <v>97</v>
      </c>
      <c r="D167" s="24">
        <v>2</v>
      </c>
      <c r="E167" s="17">
        <f>VLOOKUP(B167,'SKU Master'!$B$2:$E$31,4,0)</f>
        <v>901</v>
      </c>
      <c r="F167" s="25">
        <f t="shared" si="4"/>
        <v>1802</v>
      </c>
      <c r="G167" s="40" t="str">
        <f t="shared" si="5"/>
        <v>Fri</v>
      </c>
    </row>
    <row r="168" spans="1:7" ht="14.4" x14ac:dyDescent="0.3">
      <c r="A168" s="22">
        <v>44288</v>
      </c>
      <c r="B168" s="23" t="s">
        <v>54</v>
      </c>
      <c r="C168" s="23" t="s">
        <v>97</v>
      </c>
      <c r="D168" s="24">
        <v>2</v>
      </c>
      <c r="E168" s="17">
        <f>VLOOKUP(B168,'SKU Master'!$B$2:$E$31,4,0)</f>
        <v>929</v>
      </c>
      <c r="F168" s="25">
        <f t="shared" si="4"/>
        <v>1858</v>
      </c>
      <c r="G168" s="40" t="str">
        <f t="shared" si="5"/>
        <v>Fri</v>
      </c>
    </row>
    <row r="169" spans="1:7" ht="14.4" x14ac:dyDescent="0.3">
      <c r="A169" s="22">
        <v>44288</v>
      </c>
      <c r="B169" s="23" t="s">
        <v>57</v>
      </c>
      <c r="C169" s="23" t="s">
        <v>97</v>
      </c>
      <c r="D169" s="24">
        <v>0</v>
      </c>
      <c r="E169" s="17">
        <f>VLOOKUP(B169,'SKU Master'!$B$2:$E$31,4,0)</f>
        <v>1030</v>
      </c>
      <c r="F169" s="25">
        <f t="shared" si="4"/>
        <v>0</v>
      </c>
      <c r="G169" s="40" t="str">
        <f t="shared" si="5"/>
        <v>Fri</v>
      </c>
    </row>
    <row r="170" spans="1:7" ht="14.4" x14ac:dyDescent="0.3">
      <c r="A170" s="22">
        <v>44288</v>
      </c>
      <c r="B170" s="23" t="s">
        <v>60</v>
      </c>
      <c r="C170" s="23" t="s">
        <v>97</v>
      </c>
      <c r="D170" s="24">
        <v>1</v>
      </c>
      <c r="E170" s="17">
        <f>VLOOKUP(B170,'SKU Master'!$B$2:$E$31,4,0)</f>
        <v>1222</v>
      </c>
      <c r="F170" s="25">
        <f t="shared" si="4"/>
        <v>1222</v>
      </c>
      <c r="G170" s="40" t="str">
        <f t="shared" si="5"/>
        <v>Fri</v>
      </c>
    </row>
    <row r="171" spans="1:7" ht="14.4" x14ac:dyDescent="0.3">
      <c r="A171" s="22">
        <v>44288</v>
      </c>
      <c r="B171" s="23" t="s">
        <v>63</v>
      </c>
      <c r="C171" s="23" t="s">
        <v>97</v>
      </c>
      <c r="D171" s="24">
        <v>2</v>
      </c>
      <c r="E171" s="17">
        <f>VLOOKUP(B171,'SKU Master'!$B$2:$E$31,4,0)</f>
        <v>649</v>
      </c>
      <c r="F171" s="25">
        <f t="shared" si="4"/>
        <v>1298</v>
      </c>
      <c r="G171" s="40" t="str">
        <f t="shared" si="5"/>
        <v>Fri</v>
      </c>
    </row>
    <row r="172" spans="1:7" ht="14.4" x14ac:dyDescent="0.3">
      <c r="A172" s="22">
        <v>44288</v>
      </c>
      <c r="B172" s="23" t="s">
        <v>67</v>
      </c>
      <c r="C172" s="23" t="s">
        <v>97</v>
      </c>
      <c r="D172" s="24">
        <v>12</v>
      </c>
      <c r="E172" s="17">
        <f>VLOOKUP(B172,'SKU Master'!$B$2:$E$31,4,0)</f>
        <v>1800</v>
      </c>
      <c r="F172" s="25">
        <f t="shared" si="4"/>
        <v>21600</v>
      </c>
      <c r="G172" s="40" t="str">
        <f t="shared" si="5"/>
        <v>Fri</v>
      </c>
    </row>
    <row r="173" spans="1:7" ht="14.4" x14ac:dyDescent="0.3">
      <c r="A173" s="22">
        <v>44288</v>
      </c>
      <c r="B173" s="23" t="s">
        <v>70</v>
      </c>
      <c r="C173" s="23" t="s">
        <v>97</v>
      </c>
      <c r="D173" s="24">
        <v>2</v>
      </c>
      <c r="E173" s="17">
        <f>VLOOKUP(B173,'SKU Master'!$B$2:$E$31,4,0)</f>
        <v>345</v>
      </c>
      <c r="F173" s="25">
        <f t="shared" si="4"/>
        <v>690</v>
      </c>
      <c r="G173" s="40" t="str">
        <f t="shared" si="5"/>
        <v>Fri</v>
      </c>
    </row>
    <row r="174" spans="1:7" ht="14.4" x14ac:dyDescent="0.3">
      <c r="A174" s="22">
        <v>44288</v>
      </c>
      <c r="B174" s="23" t="s">
        <v>73</v>
      </c>
      <c r="C174" s="23" t="s">
        <v>97</v>
      </c>
      <c r="D174" s="24">
        <v>3</v>
      </c>
      <c r="E174" s="17">
        <f>VLOOKUP(B174,'SKU Master'!$B$2:$E$31,4,0)</f>
        <v>350</v>
      </c>
      <c r="F174" s="25">
        <f t="shared" si="4"/>
        <v>1050</v>
      </c>
      <c r="G174" s="40" t="str">
        <f t="shared" si="5"/>
        <v>Fri</v>
      </c>
    </row>
    <row r="175" spans="1:7" ht="14.4" x14ac:dyDescent="0.3">
      <c r="A175" s="22">
        <v>44288</v>
      </c>
      <c r="B175" s="23" t="s">
        <v>76</v>
      </c>
      <c r="C175" s="23" t="s">
        <v>97</v>
      </c>
      <c r="D175" s="24">
        <v>5</v>
      </c>
      <c r="E175" s="17">
        <f>VLOOKUP(B175,'SKU Master'!$B$2:$E$31,4,0)</f>
        <v>1575</v>
      </c>
      <c r="F175" s="25">
        <f t="shared" si="4"/>
        <v>7875</v>
      </c>
      <c r="G175" s="40" t="str">
        <f t="shared" si="5"/>
        <v>Fri</v>
      </c>
    </row>
    <row r="176" spans="1:7" ht="14.4" x14ac:dyDescent="0.3">
      <c r="A176" s="22">
        <v>44288</v>
      </c>
      <c r="B176" s="23" t="s">
        <v>78</v>
      </c>
      <c r="C176" s="23" t="s">
        <v>97</v>
      </c>
      <c r="D176" s="24">
        <v>6</v>
      </c>
      <c r="E176" s="17">
        <f>VLOOKUP(B176,'SKU Master'!$B$2:$E$31,4,0)</f>
        <v>1045</v>
      </c>
      <c r="F176" s="25">
        <f t="shared" si="4"/>
        <v>6270</v>
      </c>
      <c r="G176" s="40" t="str">
        <f t="shared" si="5"/>
        <v>Fri</v>
      </c>
    </row>
    <row r="177" spans="1:7" ht="14.4" x14ac:dyDescent="0.3">
      <c r="A177" s="22">
        <v>44288</v>
      </c>
      <c r="B177" s="23" t="s">
        <v>81</v>
      </c>
      <c r="C177" s="23" t="s">
        <v>97</v>
      </c>
      <c r="D177" s="24">
        <v>5</v>
      </c>
      <c r="E177" s="17">
        <f>VLOOKUP(B177,'SKU Master'!$B$2:$E$31,4,0)</f>
        <v>1186</v>
      </c>
      <c r="F177" s="25">
        <f t="shared" si="4"/>
        <v>5930</v>
      </c>
      <c r="G177" s="40" t="str">
        <f t="shared" si="5"/>
        <v>Fri</v>
      </c>
    </row>
    <row r="178" spans="1:7" ht="14.4" x14ac:dyDescent="0.3">
      <c r="A178" s="22">
        <v>44288</v>
      </c>
      <c r="B178" s="23" t="s">
        <v>84</v>
      </c>
      <c r="C178" s="23" t="s">
        <v>97</v>
      </c>
      <c r="D178" s="24">
        <v>3</v>
      </c>
      <c r="E178" s="17">
        <f>VLOOKUP(B178,'SKU Master'!$B$2:$E$31,4,0)</f>
        <v>374</v>
      </c>
      <c r="F178" s="25">
        <f t="shared" si="4"/>
        <v>1122</v>
      </c>
      <c r="G178" s="40" t="str">
        <f t="shared" si="5"/>
        <v>Fri</v>
      </c>
    </row>
    <row r="179" spans="1:7" ht="14.4" x14ac:dyDescent="0.3">
      <c r="A179" s="22">
        <v>44288</v>
      </c>
      <c r="B179" s="23" t="s">
        <v>87</v>
      </c>
      <c r="C179" s="23" t="s">
        <v>97</v>
      </c>
      <c r="D179" s="24">
        <v>2</v>
      </c>
      <c r="E179" s="17">
        <f>VLOOKUP(B179,'SKU Master'!$B$2:$E$31,4,0)</f>
        <v>1500</v>
      </c>
      <c r="F179" s="25">
        <f t="shared" si="4"/>
        <v>3000</v>
      </c>
      <c r="G179" s="40" t="str">
        <f t="shared" si="5"/>
        <v>Fri</v>
      </c>
    </row>
    <row r="180" spans="1:7" ht="14.4" x14ac:dyDescent="0.3">
      <c r="A180" s="22">
        <v>44288</v>
      </c>
      <c r="B180" s="23" t="s">
        <v>90</v>
      </c>
      <c r="C180" s="23" t="s">
        <v>97</v>
      </c>
      <c r="D180" s="24">
        <v>0</v>
      </c>
      <c r="E180" s="17">
        <f>VLOOKUP(B180,'SKU Master'!$B$2:$E$31,4,0)</f>
        <v>1800</v>
      </c>
      <c r="F180" s="25">
        <f t="shared" si="4"/>
        <v>0</v>
      </c>
      <c r="G180" s="40" t="str">
        <f t="shared" si="5"/>
        <v>Fri</v>
      </c>
    </row>
    <row r="181" spans="1:7" ht="14.4" x14ac:dyDescent="0.3">
      <c r="A181" s="22">
        <v>44288</v>
      </c>
      <c r="B181" s="23" t="s">
        <v>93</v>
      </c>
      <c r="C181" s="23" t="s">
        <v>97</v>
      </c>
      <c r="D181" s="24">
        <v>1</v>
      </c>
      <c r="E181" s="17">
        <f>VLOOKUP(B181,'SKU Master'!$B$2:$E$31,4,0)</f>
        <v>1477</v>
      </c>
      <c r="F181" s="25">
        <f t="shared" si="4"/>
        <v>1477</v>
      </c>
      <c r="G181" s="40" t="str">
        <f t="shared" si="5"/>
        <v>Fri</v>
      </c>
    </row>
    <row r="182" spans="1:7" ht="14.4" x14ac:dyDescent="0.3">
      <c r="A182" s="22">
        <v>44289</v>
      </c>
      <c r="B182" s="23" t="s">
        <v>6</v>
      </c>
      <c r="C182" s="23" t="s">
        <v>96</v>
      </c>
      <c r="D182" s="24">
        <v>34</v>
      </c>
      <c r="E182" s="17">
        <f>VLOOKUP(B182,'SKU Master'!$B$2:$E$31,4,0)</f>
        <v>210</v>
      </c>
      <c r="F182" s="25">
        <f t="shared" si="4"/>
        <v>7140</v>
      </c>
      <c r="G182" s="40" t="str">
        <f t="shared" si="5"/>
        <v>Sat</v>
      </c>
    </row>
    <row r="183" spans="1:7" ht="14.4" x14ac:dyDescent="0.3">
      <c r="A183" s="22">
        <v>44289</v>
      </c>
      <c r="B183" s="23" t="s">
        <v>9</v>
      </c>
      <c r="C183" s="23" t="s">
        <v>96</v>
      </c>
      <c r="D183" s="24">
        <v>14</v>
      </c>
      <c r="E183" s="17">
        <f>VLOOKUP(B183,'SKU Master'!$B$2:$E$31,4,0)</f>
        <v>199</v>
      </c>
      <c r="F183" s="25">
        <f t="shared" si="4"/>
        <v>2786</v>
      </c>
      <c r="G183" s="40" t="str">
        <f t="shared" si="5"/>
        <v>Sat</v>
      </c>
    </row>
    <row r="184" spans="1:7" ht="14.4" x14ac:dyDescent="0.3">
      <c r="A184" s="22">
        <v>44289</v>
      </c>
      <c r="B184" s="23" t="s">
        <v>12</v>
      </c>
      <c r="C184" s="23" t="s">
        <v>96</v>
      </c>
      <c r="D184" s="24">
        <v>12</v>
      </c>
      <c r="E184" s="17">
        <f>VLOOKUP(B184,'SKU Master'!$B$2:$E$31,4,0)</f>
        <v>322</v>
      </c>
      <c r="F184" s="25">
        <f t="shared" si="4"/>
        <v>3864</v>
      </c>
      <c r="G184" s="40" t="str">
        <f t="shared" si="5"/>
        <v>Sat</v>
      </c>
    </row>
    <row r="185" spans="1:7" ht="14.4" x14ac:dyDescent="0.3">
      <c r="A185" s="22">
        <v>44289</v>
      </c>
      <c r="B185" s="23" t="s">
        <v>15</v>
      </c>
      <c r="C185" s="23" t="s">
        <v>96</v>
      </c>
      <c r="D185" s="24">
        <v>8</v>
      </c>
      <c r="E185" s="17">
        <f>VLOOKUP(B185,'SKU Master'!$B$2:$E$31,4,0)</f>
        <v>161</v>
      </c>
      <c r="F185" s="25">
        <f t="shared" si="4"/>
        <v>1288</v>
      </c>
      <c r="G185" s="40" t="str">
        <f t="shared" si="5"/>
        <v>Sat</v>
      </c>
    </row>
    <row r="186" spans="1:7" ht="14.4" x14ac:dyDescent="0.3">
      <c r="A186" s="22">
        <v>44289</v>
      </c>
      <c r="B186" s="23" t="s">
        <v>17</v>
      </c>
      <c r="C186" s="23" t="s">
        <v>96</v>
      </c>
      <c r="D186" s="24">
        <v>7</v>
      </c>
      <c r="E186" s="17">
        <f>VLOOKUP(B186,'SKU Master'!$B$2:$E$31,4,0)</f>
        <v>109</v>
      </c>
      <c r="F186" s="25">
        <f t="shared" si="4"/>
        <v>763</v>
      </c>
      <c r="G186" s="40" t="str">
        <f t="shared" si="5"/>
        <v>Sat</v>
      </c>
    </row>
    <row r="187" spans="1:7" ht="14.4" x14ac:dyDescent="0.3">
      <c r="A187" s="22">
        <v>44289</v>
      </c>
      <c r="B187" s="23" t="s">
        <v>20</v>
      </c>
      <c r="C187" s="23" t="s">
        <v>96</v>
      </c>
      <c r="D187" s="24">
        <v>5</v>
      </c>
      <c r="E187" s="17">
        <f>VLOOKUP(B187,'SKU Master'!$B$2:$E$31,4,0)</f>
        <v>122</v>
      </c>
      <c r="F187" s="25">
        <f t="shared" si="4"/>
        <v>610</v>
      </c>
      <c r="G187" s="40" t="str">
        <f t="shared" si="5"/>
        <v>Sat</v>
      </c>
    </row>
    <row r="188" spans="1:7" ht="14.4" x14ac:dyDescent="0.3">
      <c r="A188" s="22">
        <v>44289</v>
      </c>
      <c r="B188" s="23" t="s">
        <v>23</v>
      </c>
      <c r="C188" s="23" t="s">
        <v>96</v>
      </c>
      <c r="D188" s="24">
        <v>4</v>
      </c>
      <c r="E188" s="17">
        <f>VLOOKUP(B188,'SKU Master'!$B$2:$E$31,4,0)</f>
        <v>96</v>
      </c>
      <c r="F188" s="25">
        <f t="shared" si="4"/>
        <v>384</v>
      </c>
      <c r="G188" s="40" t="str">
        <f t="shared" si="5"/>
        <v>Sat</v>
      </c>
    </row>
    <row r="189" spans="1:7" ht="14.4" x14ac:dyDescent="0.3">
      <c r="A189" s="22">
        <v>44289</v>
      </c>
      <c r="B189" s="23" t="s">
        <v>26</v>
      </c>
      <c r="C189" s="23" t="s">
        <v>96</v>
      </c>
      <c r="D189" s="24">
        <v>0</v>
      </c>
      <c r="E189" s="17">
        <f>VLOOKUP(B189,'SKU Master'!$B$2:$E$31,4,0)</f>
        <v>73</v>
      </c>
      <c r="F189" s="25">
        <f t="shared" si="4"/>
        <v>0</v>
      </c>
      <c r="G189" s="40" t="str">
        <f t="shared" si="5"/>
        <v>Sat</v>
      </c>
    </row>
    <row r="190" spans="1:7" ht="14.4" x14ac:dyDescent="0.3">
      <c r="A190" s="22">
        <v>44289</v>
      </c>
      <c r="B190" s="23" t="s">
        <v>29</v>
      </c>
      <c r="C190" s="23" t="s">
        <v>96</v>
      </c>
      <c r="D190" s="24">
        <v>0</v>
      </c>
      <c r="E190" s="17">
        <f>VLOOKUP(B190,'SKU Master'!$B$2:$E$31,4,0)</f>
        <v>225</v>
      </c>
      <c r="F190" s="25">
        <f t="shared" si="4"/>
        <v>0</v>
      </c>
      <c r="G190" s="40" t="str">
        <f t="shared" si="5"/>
        <v>Sat</v>
      </c>
    </row>
    <row r="191" spans="1:7" ht="14.4" x14ac:dyDescent="0.3">
      <c r="A191" s="22">
        <v>44289</v>
      </c>
      <c r="B191" s="23" t="s">
        <v>32</v>
      </c>
      <c r="C191" s="23" t="s">
        <v>96</v>
      </c>
      <c r="D191" s="24">
        <v>1</v>
      </c>
      <c r="E191" s="17">
        <f>VLOOKUP(B191,'SKU Master'!$B$2:$E$31,4,0)</f>
        <v>559</v>
      </c>
      <c r="F191" s="25">
        <f t="shared" si="4"/>
        <v>559</v>
      </c>
      <c r="G191" s="40" t="str">
        <f t="shared" si="5"/>
        <v>Sat</v>
      </c>
    </row>
    <row r="192" spans="1:7" ht="14.4" x14ac:dyDescent="0.3">
      <c r="A192" s="22">
        <v>44289</v>
      </c>
      <c r="B192" s="23" t="s">
        <v>36</v>
      </c>
      <c r="C192" s="23" t="s">
        <v>96</v>
      </c>
      <c r="D192" s="24">
        <v>27</v>
      </c>
      <c r="E192" s="17">
        <f>VLOOKUP(B192,'SKU Master'!$B$2:$E$31,4,0)</f>
        <v>3199</v>
      </c>
      <c r="F192" s="25">
        <f t="shared" si="4"/>
        <v>86373</v>
      </c>
      <c r="G192" s="40" t="str">
        <f t="shared" si="5"/>
        <v>Sat</v>
      </c>
    </row>
    <row r="193" spans="1:7" ht="14.4" x14ac:dyDescent="0.3">
      <c r="A193" s="22">
        <v>44289</v>
      </c>
      <c r="B193" s="23" t="s">
        <v>39</v>
      </c>
      <c r="C193" s="23" t="s">
        <v>96</v>
      </c>
      <c r="D193" s="24">
        <v>11</v>
      </c>
      <c r="E193" s="17">
        <f>VLOOKUP(B193,'SKU Master'!$B$2:$E$31,4,0)</f>
        <v>371</v>
      </c>
      <c r="F193" s="25">
        <f t="shared" si="4"/>
        <v>4081</v>
      </c>
      <c r="G193" s="40" t="str">
        <f t="shared" si="5"/>
        <v>Sat</v>
      </c>
    </row>
    <row r="194" spans="1:7" ht="14.4" x14ac:dyDescent="0.3">
      <c r="A194" s="22">
        <v>44289</v>
      </c>
      <c r="B194" s="23" t="s">
        <v>42</v>
      </c>
      <c r="C194" s="23" t="s">
        <v>96</v>
      </c>
      <c r="D194" s="24">
        <v>13</v>
      </c>
      <c r="E194" s="17">
        <f>VLOOKUP(B194,'SKU Master'!$B$2:$E$31,4,0)</f>
        <v>2300</v>
      </c>
      <c r="F194" s="25">
        <f t="shared" si="4"/>
        <v>29900</v>
      </c>
      <c r="G194" s="40" t="str">
        <f t="shared" si="5"/>
        <v>Sat</v>
      </c>
    </row>
    <row r="195" spans="1:7" ht="14.4" x14ac:dyDescent="0.3">
      <c r="A195" s="22">
        <v>44289</v>
      </c>
      <c r="B195" s="23" t="s">
        <v>45</v>
      </c>
      <c r="C195" s="23" t="s">
        <v>96</v>
      </c>
      <c r="D195" s="24">
        <v>11</v>
      </c>
      <c r="E195" s="17">
        <f>VLOOKUP(B195,'SKU Master'!$B$2:$E$31,4,0)</f>
        <v>499</v>
      </c>
      <c r="F195" s="25">
        <f t="shared" ref="F195:F258" si="6">D195*E195</f>
        <v>5489</v>
      </c>
      <c r="G195" s="40" t="str">
        <f t="shared" si="5"/>
        <v>Sat</v>
      </c>
    </row>
    <row r="196" spans="1:7" ht="14.4" x14ac:dyDescent="0.3">
      <c r="A196" s="22">
        <v>44289</v>
      </c>
      <c r="B196" s="23" t="s">
        <v>48</v>
      </c>
      <c r="C196" s="23" t="s">
        <v>96</v>
      </c>
      <c r="D196" s="24">
        <v>6</v>
      </c>
      <c r="E196" s="17">
        <f>VLOOKUP(B196,'SKU Master'!$B$2:$E$31,4,0)</f>
        <v>299</v>
      </c>
      <c r="F196" s="25">
        <f t="shared" si="6"/>
        <v>1794</v>
      </c>
      <c r="G196" s="40" t="str">
        <f t="shared" ref="G196:G259" si="7">CHOOSE(WEEKDAY(A196),"Sun","Mon","Tue","Wed","Thu","Fri","Sat")</f>
        <v>Sat</v>
      </c>
    </row>
    <row r="197" spans="1:7" ht="14.4" x14ac:dyDescent="0.3">
      <c r="A197" s="22">
        <v>44289</v>
      </c>
      <c r="B197" s="23" t="s">
        <v>51</v>
      </c>
      <c r="C197" s="23" t="s">
        <v>96</v>
      </c>
      <c r="D197" s="24">
        <v>4</v>
      </c>
      <c r="E197" s="17">
        <f>VLOOKUP(B197,'SKU Master'!$B$2:$E$31,4,0)</f>
        <v>901</v>
      </c>
      <c r="F197" s="25">
        <f t="shared" si="6"/>
        <v>3604</v>
      </c>
      <c r="G197" s="40" t="str">
        <f t="shared" si="7"/>
        <v>Sat</v>
      </c>
    </row>
    <row r="198" spans="1:7" ht="14.4" x14ac:dyDescent="0.3">
      <c r="A198" s="22">
        <v>44289</v>
      </c>
      <c r="B198" s="23" t="s">
        <v>54</v>
      </c>
      <c r="C198" s="23" t="s">
        <v>96</v>
      </c>
      <c r="D198" s="24">
        <v>2</v>
      </c>
      <c r="E198" s="17">
        <f>VLOOKUP(B198,'SKU Master'!$B$2:$E$31,4,0)</f>
        <v>929</v>
      </c>
      <c r="F198" s="25">
        <f t="shared" si="6"/>
        <v>1858</v>
      </c>
      <c r="G198" s="40" t="str">
        <f t="shared" si="7"/>
        <v>Sat</v>
      </c>
    </row>
    <row r="199" spans="1:7" ht="14.4" x14ac:dyDescent="0.3">
      <c r="A199" s="22">
        <v>44289</v>
      </c>
      <c r="B199" s="23" t="s">
        <v>57</v>
      </c>
      <c r="C199" s="23" t="s">
        <v>96</v>
      </c>
      <c r="D199" s="24">
        <v>2</v>
      </c>
      <c r="E199" s="17">
        <f>VLOOKUP(B199,'SKU Master'!$B$2:$E$31,4,0)</f>
        <v>1030</v>
      </c>
      <c r="F199" s="25">
        <f t="shared" si="6"/>
        <v>2060</v>
      </c>
      <c r="G199" s="40" t="str">
        <f t="shared" si="7"/>
        <v>Sat</v>
      </c>
    </row>
    <row r="200" spans="1:7" ht="14.4" x14ac:dyDescent="0.3">
      <c r="A200" s="22">
        <v>44289</v>
      </c>
      <c r="B200" s="23" t="s">
        <v>60</v>
      </c>
      <c r="C200" s="23" t="s">
        <v>96</v>
      </c>
      <c r="D200" s="24">
        <v>1</v>
      </c>
      <c r="E200" s="17">
        <f>VLOOKUP(B200,'SKU Master'!$B$2:$E$31,4,0)</f>
        <v>1222</v>
      </c>
      <c r="F200" s="25">
        <f t="shared" si="6"/>
        <v>1222</v>
      </c>
      <c r="G200" s="40" t="str">
        <f t="shared" si="7"/>
        <v>Sat</v>
      </c>
    </row>
    <row r="201" spans="1:7" ht="14.4" x14ac:dyDescent="0.3">
      <c r="A201" s="22">
        <v>44289</v>
      </c>
      <c r="B201" s="23" t="s">
        <v>63</v>
      </c>
      <c r="C201" s="23" t="s">
        <v>96</v>
      </c>
      <c r="D201" s="24">
        <v>2</v>
      </c>
      <c r="E201" s="17">
        <f>VLOOKUP(B201,'SKU Master'!$B$2:$E$31,4,0)</f>
        <v>649</v>
      </c>
      <c r="F201" s="25">
        <f t="shared" si="6"/>
        <v>1298</v>
      </c>
      <c r="G201" s="40" t="str">
        <f t="shared" si="7"/>
        <v>Sat</v>
      </c>
    </row>
    <row r="202" spans="1:7" ht="14.4" x14ac:dyDescent="0.3">
      <c r="A202" s="22">
        <v>44289</v>
      </c>
      <c r="B202" s="23" t="s">
        <v>67</v>
      </c>
      <c r="C202" s="23" t="s">
        <v>96</v>
      </c>
      <c r="D202" s="24">
        <v>28</v>
      </c>
      <c r="E202" s="17">
        <f>VLOOKUP(B202,'SKU Master'!$B$2:$E$31,4,0)</f>
        <v>1800</v>
      </c>
      <c r="F202" s="25">
        <f t="shared" si="6"/>
        <v>50400</v>
      </c>
      <c r="G202" s="40" t="str">
        <f t="shared" si="7"/>
        <v>Sat</v>
      </c>
    </row>
    <row r="203" spans="1:7" ht="14.4" x14ac:dyDescent="0.3">
      <c r="A203" s="22">
        <v>44289</v>
      </c>
      <c r="B203" s="23" t="s">
        <v>70</v>
      </c>
      <c r="C203" s="23" t="s">
        <v>96</v>
      </c>
      <c r="D203" s="24">
        <v>16</v>
      </c>
      <c r="E203" s="17">
        <f>VLOOKUP(B203,'SKU Master'!$B$2:$E$31,4,0)</f>
        <v>345</v>
      </c>
      <c r="F203" s="25">
        <f t="shared" si="6"/>
        <v>5520</v>
      </c>
      <c r="G203" s="40" t="str">
        <f t="shared" si="7"/>
        <v>Sat</v>
      </c>
    </row>
    <row r="204" spans="1:7" ht="14.4" x14ac:dyDescent="0.3">
      <c r="A204" s="22">
        <v>44289</v>
      </c>
      <c r="B204" s="23" t="s">
        <v>73</v>
      </c>
      <c r="C204" s="23" t="s">
        <v>96</v>
      </c>
      <c r="D204" s="24">
        <v>10</v>
      </c>
      <c r="E204" s="17">
        <f>VLOOKUP(B204,'SKU Master'!$B$2:$E$31,4,0)</f>
        <v>350</v>
      </c>
      <c r="F204" s="25">
        <f t="shared" si="6"/>
        <v>3500</v>
      </c>
      <c r="G204" s="40" t="str">
        <f t="shared" si="7"/>
        <v>Sat</v>
      </c>
    </row>
    <row r="205" spans="1:7" ht="14.4" x14ac:dyDescent="0.3">
      <c r="A205" s="22">
        <v>44289</v>
      </c>
      <c r="B205" s="23" t="s">
        <v>76</v>
      </c>
      <c r="C205" s="23" t="s">
        <v>96</v>
      </c>
      <c r="D205" s="24">
        <v>8</v>
      </c>
      <c r="E205" s="17">
        <f>VLOOKUP(B205,'SKU Master'!$B$2:$E$31,4,0)</f>
        <v>1575</v>
      </c>
      <c r="F205" s="25">
        <f t="shared" si="6"/>
        <v>12600</v>
      </c>
      <c r="G205" s="40" t="str">
        <f t="shared" si="7"/>
        <v>Sat</v>
      </c>
    </row>
    <row r="206" spans="1:7" ht="14.4" x14ac:dyDescent="0.3">
      <c r="A206" s="22">
        <v>44289</v>
      </c>
      <c r="B206" s="23" t="s">
        <v>78</v>
      </c>
      <c r="C206" s="23" t="s">
        <v>96</v>
      </c>
      <c r="D206" s="24">
        <v>5</v>
      </c>
      <c r="E206" s="17">
        <f>VLOOKUP(B206,'SKU Master'!$B$2:$E$31,4,0)</f>
        <v>1045</v>
      </c>
      <c r="F206" s="25">
        <f t="shared" si="6"/>
        <v>5225</v>
      </c>
      <c r="G206" s="40" t="str">
        <f t="shared" si="7"/>
        <v>Sat</v>
      </c>
    </row>
    <row r="207" spans="1:7" ht="14.4" x14ac:dyDescent="0.3">
      <c r="A207" s="22">
        <v>44289</v>
      </c>
      <c r="B207" s="23" t="s">
        <v>81</v>
      </c>
      <c r="C207" s="23" t="s">
        <v>96</v>
      </c>
      <c r="D207" s="24">
        <v>3</v>
      </c>
      <c r="E207" s="17">
        <f>VLOOKUP(B207,'SKU Master'!$B$2:$E$31,4,0)</f>
        <v>1186</v>
      </c>
      <c r="F207" s="25">
        <f t="shared" si="6"/>
        <v>3558</v>
      </c>
      <c r="G207" s="40" t="str">
        <f t="shared" si="7"/>
        <v>Sat</v>
      </c>
    </row>
    <row r="208" spans="1:7" ht="14.4" x14ac:dyDescent="0.3">
      <c r="A208" s="22">
        <v>44289</v>
      </c>
      <c r="B208" s="23" t="s">
        <v>84</v>
      </c>
      <c r="C208" s="23" t="s">
        <v>96</v>
      </c>
      <c r="D208" s="24">
        <v>4</v>
      </c>
      <c r="E208" s="17">
        <f>VLOOKUP(B208,'SKU Master'!$B$2:$E$31,4,0)</f>
        <v>374</v>
      </c>
      <c r="F208" s="25">
        <f t="shared" si="6"/>
        <v>1496</v>
      </c>
      <c r="G208" s="40" t="str">
        <f t="shared" si="7"/>
        <v>Sat</v>
      </c>
    </row>
    <row r="209" spans="1:7" ht="14.4" x14ac:dyDescent="0.3">
      <c r="A209" s="22">
        <v>44289</v>
      </c>
      <c r="B209" s="23" t="s">
        <v>87</v>
      </c>
      <c r="C209" s="23" t="s">
        <v>96</v>
      </c>
      <c r="D209" s="24">
        <v>2</v>
      </c>
      <c r="E209" s="17">
        <f>VLOOKUP(B209,'SKU Master'!$B$2:$E$31,4,0)</f>
        <v>1500</v>
      </c>
      <c r="F209" s="25">
        <f t="shared" si="6"/>
        <v>3000</v>
      </c>
      <c r="G209" s="40" t="str">
        <f t="shared" si="7"/>
        <v>Sat</v>
      </c>
    </row>
    <row r="210" spans="1:7" ht="14.4" x14ac:dyDescent="0.3">
      <c r="A210" s="22">
        <v>44289</v>
      </c>
      <c r="B210" s="23" t="s">
        <v>90</v>
      </c>
      <c r="C210" s="23" t="s">
        <v>96</v>
      </c>
      <c r="D210" s="24">
        <v>1</v>
      </c>
      <c r="E210" s="17">
        <f>VLOOKUP(B210,'SKU Master'!$B$2:$E$31,4,0)</f>
        <v>1800</v>
      </c>
      <c r="F210" s="25">
        <f t="shared" si="6"/>
        <v>1800</v>
      </c>
      <c r="G210" s="40" t="str">
        <f t="shared" si="7"/>
        <v>Sat</v>
      </c>
    </row>
    <row r="211" spans="1:7" ht="14.4" x14ac:dyDescent="0.3">
      <c r="A211" s="22">
        <v>44289</v>
      </c>
      <c r="B211" s="23" t="s">
        <v>93</v>
      </c>
      <c r="C211" s="23" t="s">
        <v>96</v>
      </c>
      <c r="D211" s="24">
        <v>0</v>
      </c>
      <c r="E211" s="17">
        <f>VLOOKUP(B211,'SKU Master'!$B$2:$E$31,4,0)</f>
        <v>1477</v>
      </c>
      <c r="F211" s="25">
        <f t="shared" si="6"/>
        <v>0</v>
      </c>
      <c r="G211" s="40" t="str">
        <f t="shared" si="7"/>
        <v>Sat</v>
      </c>
    </row>
    <row r="212" spans="1:7" ht="14.4" x14ac:dyDescent="0.3">
      <c r="A212" s="22">
        <v>44289</v>
      </c>
      <c r="B212" s="23" t="s">
        <v>6</v>
      </c>
      <c r="C212" s="23" t="s">
        <v>98</v>
      </c>
      <c r="D212" s="24">
        <v>23</v>
      </c>
      <c r="E212" s="17">
        <f>VLOOKUP(B212,'SKU Master'!$B$2:$E$31,4,0)</f>
        <v>210</v>
      </c>
      <c r="F212" s="25">
        <f t="shared" si="6"/>
        <v>4830</v>
      </c>
      <c r="G212" s="40" t="str">
        <f t="shared" si="7"/>
        <v>Sat</v>
      </c>
    </row>
    <row r="213" spans="1:7" ht="14.4" x14ac:dyDescent="0.3">
      <c r="A213" s="22">
        <v>44289</v>
      </c>
      <c r="B213" s="23" t="s">
        <v>9</v>
      </c>
      <c r="C213" s="23" t="s">
        <v>98</v>
      </c>
      <c r="D213" s="24">
        <v>10</v>
      </c>
      <c r="E213" s="17">
        <f>VLOOKUP(B213,'SKU Master'!$B$2:$E$31,4,0)</f>
        <v>199</v>
      </c>
      <c r="F213" s="25">
        <f t="shared" si="6"/>
        <v>1990</v>
      </c>
      <c r="G213" s="40" t="str">
        <f t="shared" si="7"/>
        <v>Sat</v>
      </c>
    </row>
    <row r="214" spans="1:7" ht="14.4" x14ac:dyDescent="0.3">
      <c r="A214" s="22">
        <v>44289</v>
      </c>
      <c r="B214" s="23" t="s">
        <v>12</v>
      </c>
      <c r="C214" s="23" t="s">
        <v>98</v>
      </c>
      <c r="D214" s="24">
        <v>9</v>
      </c>
      <c r="E214" s="17">
        <f>VLOOKUP(B214,'SKU Master'!$B$2:$E$31,4,0)</f>
        <v>322</v>
      </c>
      <c r="F214" s="25">
        <f t="shared" si="6"/>
        <v>2898</v>
      </c>
      <c r="G214" s="40" t="str">
        <f t="shared" si="7"/>
        <v>Sat</v>
      </c>
    </row>
    <row r="215" spans="1:7" ht="14.4" x14ac:dyDescent="0.3">
      <c r="A215" s="22">
        <v>44289</v>
      </c>
      <c r="B215" s="23" t="s">
        <v>15</v>
      </c>
      <c r="C215" s="23" t="s">
        <v>98</v>
      </c>
      <c r="D215" s="24">
        <v>5</v>
      </c>
      <c r="E215" s="17">
        <f>VLOOKUP(B215,'SKU Master'!$B$2:$E$31,4,0)</f>
        <v>161</v>
      </c>
      <c r="F215" s="25">
        <f t="shared" si="6"/>
        <v>805</v>
      </c>
      <c r="G215" s="40" t="str">
        <f t="shared" si="7"/>
        <v>Sat</v>
      </c>
    </row>
    <row r="216" spans="1:7" ht="14.4" x14ac:dyDescent="0.3">
      <c r="A216" s="22">
        <v>44289</v>
      </c>
      <c r="B216" s="23" t="s">
        <v>17</v>
      </c>
      <c r="C216" s="23" t="s">
        <v>98</v>
      </c>
      <c r="D216" s="24">
        <v>4</v>
      </c>
      <c r="E216" s="17">
        <f>VLOOKUP(B216,'SKU Master'!$B$2:$E$31,4,0)</f>
        <v>109</v>
      </c>
      <c r="F216" s="25">
        <f t="shared" si="6"/>
        <v>436</v>
      </c>
      <c r="G216" s="40" t="str">
        <f t="shared" si="7"/>
        <v>Sat</v>
      </c>
    </row>
    <row r="217" spans="1:7" ht="14.4" x14ac:dyDescent="0.3">
      <c r="A217" s="22">
        <v>44289</v>
      </c>
      <c r="B217" s="23" t="s">
        <v>20</v>
      </c>
      <c r="C217" s="23" t="s">
        <v>98</v>
      </c>
      <c r="D217" s="24">
        <v>4</v>
      </c>
      <c r="E217" s="17">
        <f>VLOOKUP(B217,'SKU Master'!$B$2:$E$31,4,0)</f>
        <v>122</v>
      </c>
      <c r="F217" s="25">
        <f t="shared" si="6"/>
        <v>488</v>
      </c>
      <c r="G217" s="40" t="str">
        <f t="shared" si="7"/>
        <v>Sat</v>
      </c>
    </row>
    <row r="218" spans="1:7" ht="14.4" x14ac:dyDescent="0.3">
      <c r="A218" s="22">
        <v>44289</v>
      </c>
      <c r="B218" s="23" t="s">
        <v>23</v>
      </c>
      <c r="C218" s="23" t="s">
        <v>98</v>
      </c>
      <c r="D218" s="24">
        <v>3</v>
      </c>
      <c r="E218" s="17">
        <f>VLOOKUP(B218,'SKU Master'!$B$2:$E$31,4,0)</f>
        <v>96</v>
      </c>
      <c r="F218" s="25">
        <f t="shared" si="6"/>
        <v>288</v>
      </c>
      <c r="G218" s="40" t="str">
        <f t="shared" si="7"/>
        <v>Sat</v>
      </c>
    </row>
    <row r="219" spans="1:7" ht="14.4" x14ac:dyDescent="0.3">
      <c r="A219" s="22">
        <v>44289</v>
      </c>
      <c r="B219" s="23" t="s">
        <v>26</v>
      </c>
      <c r="C219" s="23" t="s">
        <v>98</v>
      </c>
      <c r="D219" s="24">
        <v>0</v>
      </c>
      <c r="E219" s="17">
        <f>VLOOKUP(B219,'SKU Master'!$B$2:$E$31,4,0)</f>
        <v>73</v>
      </c>
      <c r="F219" s="25">
        <f t="shared" si="6"/>
        <v>0</v>
      </c>
      <c r="G219" s="40" t="str">
        <f t="shared" si="7"/>
        <v>Sat</v>
      </c>
    </row>
    <row r="220" spans="1:7" ht="14.4" x14ac:dyDescent="0.3">
      <c r="A220" s="22">
        <v>44289</v>
      </c>
      <c r="B220" s="23" t="s">
        <v>29</v>
      </c>
      <c r="C220" s="23" t="s">
        <v>98</v>
      </c>
      <c r="D220" s="24">
        <v>0</v>
      </c>
      <c r="E220" s="17">
        <f>VLOOKUP(B220,'SKU Master'!$B$2:$E$31,4,0)</f>
        <v>225</v>
      </c>
      <c r="F220" s="25">
        <f t="shared" si="6"/>
        <v>0</v>
      </c>
      <c r="G220" s="40" t="str">
        <f t="shared" si="7"/>
        <v>Sat</v>
      </c>
    </row>
    <row r="221" spans="1:7" ht="14.4" x14ac:dyDescent="0.3">
      <c r="A221" s="22">
        <v>44289</v>
      </c>
      <c r="B221" s="23" t="s">
        <v>32</v>
      </c>
      <c r="C221" s="23" t="s">
        <v>98</v>
      </c>
      <c r="D221" s="24">
        <v>0</v>
      </c>
      <c r="E221" s="17">
        <f>VLOOKUP(B221,'SKU Master'!$B$2:$E$31,4,0)</f>
        <v>559</v>
      </c>
      <c r="F221" s="25">
        <f t="shared" si="6"/>
        <v>0</v>
      </c>
      <c r="G221" s="40" t="str">
        <f t="shared" si="7"/>
        <v>Sat</v>
      </c>
    </row>
    <row r="222" spans="1:7" ht="14.4" x14ac:dyDescent="0.3">
      <c r="A222" s="22">
        <v>44289</v>
      </c>
      <c r="B222" s="23" t="s">
        <v>36</v>
      </c>
      <c r="C222" s="23" t="s">
        <v>98</v>
      </c>
      <c r="D222" s="24">
        <v>13</v>
      </c>
      <c r="E222" s="17">
        <f>VLOOKUP(B222,'SKU Master'!$B$2:$E$31,4,0)</f>
        <v>3199</v>
      </c>
      <c r="F222" s="25">
        <f t="shared" si="6"/>
        <v>41587</v>
      </c>
      <c r="G222" s="40" t="str">
        <f t="shared" si="7"/>
        <v>Sat</v>
      </c>
    </row>
    <row r="223" spans="1:7" ht="14.4" x14ac:dyDescent="0.3">
      <c r="A223" s="22">
        <v>44289</v>
      </c>
      <c r="B223" s="23" t="s">
        <v>39</v>
      </c>
      <c r="C223" s="23" t="s">
        <v>98</v>
      </c>
      <c r="D223" s="24">
        <v>4</v>
      </c>
      <c r="E223" s="17">
        <f>VLOOKUP(B223,'SKU Master'!$B$2:$E$31,4,0)</f>
        <v>371</v>
      </c>
      <c r="F223" s="25">
        <f t="shared" si="6"/>
        <v>1484</v>
      </c>
      <c r="G223" s="40" t="str">
        <f t="shared" si="7"/>
        <v>Sat</v>
      </c>
    </row>
    <row r="224" spans="1:7" ht="14.4" x14ac:dyDescent="0.3">
      <c r="A224" s="22">
        <v>44289</v>
      </c>
      <c r="B224" s="23" t="s">
        <v>42</v>
      </c>
      <c r="C224" s="23" t="s">
        <v>98</v>
      </c>
      <c r="D224" s="24">
        <v>7</v>
      </c>
      <c r="E224" s="17">
        <f>VLOOKUP(B224,'SKU Master'!$B$2:$E$31,4,0)</f>
        <v>2300</v>
      </c>
      <c r="F224" s="25">
        <f t="shared" si="6"/>
        <v>16100</v>
      </c>
      <c r="G224" s="40" t="str">
        <f t="shared" si="7"/>
        <v>Sat</v>
      </c>
    </row>
    <row r="225" spans="1:7" ht="14.4" x14ac:dyDescent="0.3">
      <c r="A225" s="22">
        <v>44289</v>
      </c>
      <c r="B225" s="23" t="s">
        <v>45</v>
      </c>
      <c r="C225" s="23" t="s">
        <v>98</v>
      </c>
      <c r="D225" s="24">
        <v>3</v>
      </c>
      <c r="E225" s="17">
        <f>VLOOKUP(B225,'SKU Master'!$B$2:$E$31,4,0)</f>
        <v>499</v>
      </c>
      <c r="F225" s="25">
        <f t="shared" si="6"/>
        <v>1497</v>
      </c>
      <c r="G225" s="40" t="str">
        <f t="shared" si="7"/>
        <v>Sat</v>
      </c>
    </row>
    <row r="226" spans="1:7" ht="14.4" x14ac:dyDescent="0.3">
      <c r="A226" s="22">
        <v>44289</v>
      </c>
      <c r="B226" s="23" t="s">
        <v>48</v>
      </c>
      <c r="C226" s="23" t="s">
        <v>98</v>
      </c>
      <c r="D226" s="24">
        <v>0</v>
      </c>
      <c r="E226" s="17">
        <f>VLOOKUP(B226,'SKU Master'!$B$2:$E$31,4,0)</f>
        <v>299</v>
      </c>
      <c r="F226" s="25">
        <f t="shared" si="6"/>
        <v>0</v>
      </c>
      <c r="G226" s="40" t="str">
        <f t="shared" si="7"/>
        <v>Sat</v>
      </c>
    </row>
    <row r="227" spans="1:7" ht="14.4" x14ac:dyDescent="0.3">
      <c r="A227" s="22">
        <v>44289</v>
      </c>
      <c r="B227" s="23" t="s">
        <v>51</v>
      </c>
      <c r="C227" s="23" t="s">
        <v>98</v>
      </c>
      <c r="D227" s="24">
        <v>0</v>
      </c>
      <c r="E227" s="17">
        <f>VLOOKUP(B227,'SKU Master'!$B$2:$E$31,4,0)</f>
        <v>901</v>
      </c>
      <c r="F227" s="25">
        <f t="shared" si="6"/>
        <v>0</v>
      </c>
      <c r="G227" s="40" t="str">
        <f t="shared" si="7"/>
        <v>Sat</v>
      </c>
    </row>
    <row r="228" spans="1:7" ht="14.4" x14ac:dyDescent="0.3">
      <c r="A228" s="22">
        <v>44289</v>
      </c>
      <c r="B228" s="23" t="s">
        <v>54</v>
      </c>
      <c r="C228" s="23" t="s">
        <v>98</v>
      </c>
      <c r="D228" s="24">
        <v>1</v>
      </c>
      <c r="E228" s="17">
        <f>VLOOKUP(B228,'SKU Master'!$B$2:$E$31,4,0)</f>
        <v>929</v>
      </c>
      <c r="F228" s="25">
        <f t="shared" si="6"/>
        <v>929</v>
      </c>
      <c r="G228" s="40" t="str">
        <f t="shared" si="7"/>
        <v>Sat</v>
      </c>
    </row>
    <row r="229" spans="1:7" ht="14.4" x14ac:dyDescent="0.3">
      <c r="A229" s="22">
        <v>44289</v>
      </c>
      <c r="B229" s="23" t="s">
        <v>57</v>
      </c>
      <c r="C229" s="23" t="s">
        <v>98</v>
      </c>
      <c r="D229" s="24">
        <v>0</v>
      </c>
      <c r="E229" s="17">
        <f>VLOOKUP(B229,'SKU Master'!$B$2:$E$31,4,0)</f>
        <v>1030</v>
      </c>
      <c r="F229" s="25">
        <f t="shared" si="6"/>
        <v>0</v>
      </c>
      <c r="G229" s="40" t="str">
        <f t="shared" si="7"/>
        <v>Sat</v>
      </c>
    </row>
    <row r="230" spans="1:7" ht="14.4" x14ac:dyDescent="0.3">
      <c r="A230" s="22">
        <v>44289</v>
      </c>
      <c r="B230" s="23" t="s">
        <v>60</v>
      </c>
      <c r="C230" s="23" t="s">
        <v>98</v>
      </c>
      <c r="D230" s="24">
        <v>0</v>
      </c>
      <c r="E230" s="17">
        <f>VLOOKUP(B230,'SKU Master'!$B$2:$E$31,4,0)</f>
        <v>1222</v>
      </c>
      <c r="F230" s="25">
        <f t="shared" si="6"/>
        <v>0</v>
      </c>
      <c r="G230" s="40" t="str">
        <f t="shared" si="7"/>
        <v>Sat</v>
      </c>
    </row>
    <row r="231" spans="1:7" ht="14.4" x14ac:dyDescent="0.3">
      <c r="A231" s="22">
        <v>44289</v>
      </c>
      <c r="B231" s="23" t="s">
        <v>63</v>
      </c>
      <c r="C231" s="23" t="s">
        <v>98</v>
      </c>
      <c r="D231" s="24">
        <v>0</v>
      </c>
      <c r="E231" s="17">
        <f>VLOOKUP(B231,'SKU Master'!$B$2:$E$31,4,0)</f>
        <v>649</v>
      </c>
      <c r="F231" s="25">
        <f t="shared" si="6"/>
        <v>0</v>
      </c>
      <c r="G231" s="40" t="str">
        <f t="shared" si="7"/>
        <v>Sat</v>
      </c>
    </row>
    <row r="232" spans="1:7" ht="14.4" x14ac:dyDescent="0.3">
      <c r="A232" s="22">
        <v>44289</v>
      </c>
      <c r="B232" s="23" t="s">
        <v>67</v>
      </c>
      <c r="C232" s="23" t="s">
        <v>98</v>
      </c>
      <c r="D232" s="24">
        <v>17</v>
      </c>
      <c r="E232" s="17">
        <f>VLOOKUP(B232,'SKU Master'!$B$2:$E$31,4,0)</f>
        <v>1800</v>
      </c>
      <c r="F232" s="25">
        <f t="shared" si="6"/>
        <v>30600</v>
      </c>
      <c r="G232" s="40" t="str">
        <f t="shared" si="7"/>
        <v>Sat</v>
      </c>
    </row>
    <row r="233" spans="1:7" ht="14.4" x14ac:dyDescent="0.3">
      <c r="A233" s="22">
        <v>44289</v>
      </c>
      <c r="B233" s="23" t="s">
        <v>70</v>
      </c>
      <c r="C233" s="23" t="s">
        <v>98</v>
      </c>
      <c r="D233" s="24">
        <v>11</v>
      </c>
      <c r="E233" s="17">
        <f>VLOOKUP(B233,'SKU Master'!$B$2:$E$31,4,0)</f>
        <v>345</v>
      </c>
      <c r="F233" s="25">
        <f t="shared" si="6"/>
        <v>3795</v>
      </c>
      <c r="G233" s="40" t="str">
        <f t="shared" si="7"/>
        <v>Sat</v>
      </c>
    </row>
    <row r="234" spans="1:7" ht="14.4" x14ac:dyDescent="0.3">
      <c r="A234" s="22">
        <v>44289</v>
      </c>
      <c r="B234" s="23" t="s">
        <v>73</v>
      </c>
      <c r="C234" s="23" t="s">
        <v>98</v>
      </c>
      <c r="D234" s="24">
        <v>7</v>
      </c>
      <c r="E234" s="17">
        <f>VLOOKUP(B234,'SKU Master'!$B$2:$E$31,4,0)</f>
        <v>350</v>
      </c>
      <c r="F234" s="25">
        <f t="shared" si="6"/>
        <v>2450</v>
      </c>
      <c r="G234" s="40" t="str">
        <f t="shared" si="7"/>
        <v>Sat</v>
      </c>
    </row>
    <row r="235" spans="1:7" ht="14.4" x14ac:dyDescent="0.3">
      <c r="A235" s="22">
        <v>44289</v>
      </c>
      <c r="B235" s="23" t="s">
        <v>76</v>
      </c>
      <c r="C235" s="23" t="s">
        <v>98</v>
      </c>
      <c r="D235" s="24">
        <v>6</v>
      </c>
      <c r="E235" s="17">
        <f>VLOOKUP(B235,'SKU Master'!$B$2:$E$31,4,0)</f>
        <v>1575</v>
      </c>
      <c r="F235" s="25">
        <f t="shared" si="6"/>
        <v>9450</v>
      </c>
      <c r="G235" s="40" t="str">
        <f t="shared" si="7"/>
        <v>Sat</v>
      </c>
    </row>
    <row r="236" spans="1:7" ht="14.4" x14ac:dyDescent="0.3">
      <c r="A236" s="22">
        <v>44289</v>
      </c>
      <c r="B236" s="23" t="s">
        <v>78</v>
      </c>
      <c r="C236" s="23" t="s">
        <v>98</v>
      </c>
      <c r="D236" s="24">
        <v>4</v>
      </c>
      <c r="E236" s="17">
        <f>VLOOKUP(B236,'SKU Master'!$B$2:$E$31,4,0)</f>
        <v>1045</v>
      </c>
      <c r="F236" s="25">
        <f t="shared" si="6"/>
        <v>4180</v>
      </c>
      <c r="G236" s="40" t="str">
        <f t="shared" si="7"/>
        <v>Sat</v>
      </c>
    </row>
    <row r="237" spans="1:7" ht="14.4" x14ac:dyDescent="0.3">
      <c r="A237" s="22">
        <v>44289</v>
      </c>
      <c r="B237" s="23" t="s">
        <v>81</v>
      </c>
      <c r="C237" s="23" t="s">
        <v>98</v>
      </c>
      <c r="D237" s="24">
        <v>1</v>
      </c>
      <c r="E237" s="17">
        <f>VLOOKUP(B237,'SKU Master'!$B$2:$E$31,4,0)</f>
        <v>1186</v>
      </c>
      <c r="F237" s="25">
        <f t="shared" si="6"/>
        <v>1186</v>
      </c>
      <c r="G237" s="40" t="str">
        <f t="shared" si="7"/>
        <v>Sat</v>
      </c>
    </row>
    <row r="238" spans="1:7" ht="14.4" x14ac:dyDescent="0.3">
      <c r="A238" s="22">
        <v>44289</v>
      </c>
      <c r="B238" s="23" t="s">
        <v>84</v>
      </c>
      <c r="C238" s="23" t="s">
        <v>98</v>
      </c>
      <c r="D238" s="24">
        <v>0</v>
      </c>
      <c r="E238" s="17">
        <f>VLOOKUP(B238,'SKU Master'!$B$2:$E$31,4,0)</f>
        <v>374</v>
      </c>
      <c r="F238" s="25">
        <f t="shared" si="6"/>
        <v>0</v>
      </c>
      <c r="G238" s="40" t="str">
        <f t="shared" si="7"/>
        <v>Sat</v>
      </c>
    </row>
    <row r="239" spans="1:7" ht="14.4" x14ac:dyDescent="0.3">
      <c r="A239" s="22">
        <v>44289</v>
      </c>
      <c r="B239" s="23" t="s">
        <v>87</v>
      </c>
      <c r="C239" s="23" t="s">
        <v>98</v>
      </c>
      <c r="D239" s="24">
        <v>1</v>
      </c>
      <c r="E239" s="17">
        <f>VLOOKUP(B239,'SKU Master'!$B$2:$E$31,4,0)</f>
        <v>1500</v>
      </c>
      <c r="F239" s="25">
        <f t="shared" si="6"/>
        <v>1500</v>
      </c>
      <c r="G239" s="40" t="str">
        <f t="shared" si="7"/>
        <v>Sat</v>
      </c>
    </row>
    <row r="240" spans="1:7" ht="14.4" x14ac:dyDescent="0.3">
      <c r="A240" s="22">
        <v>44289</v>
      </c>
      <c r="B240" s="23" t="s">
        <v>90</v>
      </c>
      <c r="C240" s="23" t="s">
        <v>98</v>
      </c>
      <c r="D240" s="24">
        <v>0</v>
      </c>
      <c r="E240" s="17">
        <f>VLOOKUP(B240,'SKU Master'!$B$2:$E$31,4,0)</f>
        <v>1800</v>
      </c>
      <c r="F240" s="25">
        <f t="shared" si="6"/>
        <v>0</v>
      </c>
      <c r="G240" s="40" t="str">
        <f t="shared" si="7"/>
        <v>Sat</v>
      </c>
    </row>
    <row r="241" spans="1:7" ht="14.4" x14ac:dyDescent="0.3">
      <c r="A241" s="22">
        <v>44289</v>
      </c>
      <c r="B241" s="23" t="s">
        <v>93</v>
      </c>
      <c r="C241" s="23" t="s">
        <v>98</v>
      </c>
      <c r="D241" s="24">
        <v>0</v>
      </c>
      <c r="E241" s="17">
        <f>VLOOKUP(B241,'SKU Master'!$B$2:$E$31,4,0)</f>
        <v>1477</v>
      </c>
      <c r="F241" s="25">
        <f t="shared" si="6"/>
        <v>0</v>
      </c>
      <c r="G241" s="40" t="str">
        <f t="shared" si="7"/>
        <v>Sat</v>
      </c>
    </row>
    <row r="242" spans="1:7" ht="14.4" x14ac:dyDescent="0.3">
      <c r="A242" s="22">
        <v>44289</v>
      </c>
      <c r="B242" s="23" t="s">
        <v>6</v>
      </c>
      <c r="C242" s="23" t="s">
        <v>97</v>
      </c>
      <c r="D242" s="24">
        <v>4</v>
      </c>
      <c r="E242" s="17">
        <f>VLOOKUP(B242,'SKU Master'!$B$2:$E$31,4,0)</f>
        <v>210</v>
      </c>
      <c r="F242" s="25">
        <f t="shared" si="6"/>
        <v>840</v>
      </c>
      <c r="G242" s="40" t="str">
        <f t="shared" si="7"/>
        <v>Sat</v>
      </c>
    </row>
    <row r="243" spans="1:7" ht="14.4" x14ac:dyDescent="0.3">
      <c r="A243" s="22">
        <v>44289</v>
      </c>
      <c r="B243" s="23" t="s">
        <v>9</v>
      </c>
      <c r="C243" s="23" t="s">
        <v>97</v>
      </c>
      <c r="D243" s="24">
        <v>4</v>
      </c>
      <c r="E243" s="17">
        <f>VLOOKUP(B243,'SKU Master'!$B$2:$E$31,4,0)</f>
        <v>199</v>
      </c>
      <c r="F243" s="25">
        <f t="shared" si="6"/>
        <v>796</v>
      </c>
      <c r="G243" s="40" t="str">
        <f t="shared" si="7"/>
        <v>Sat</v>
      </c>
    </row>
    <row r="244" spans="1:7" ht="14.4" x14ac:dyDescent="0.3">
      <c r="A244" s="22">
        <v>44289</v>
      </c>
      <c r="B244" s="23" t="s">
        <v>12</v>
      </c>
      <c r="C244" s="23" t="s">
        <v>97</v>
      </c>
      <c r="D244" s="24">
        <v>4</v>
      </c>
      <c r="E244" s="17">
        <f>VLOOKUP(B244,'SKU Master'!$B$2:$E$31,4,0)</f>
        <v>322</v>
      </c>
      <c r="F244" s="25">
        <f t="shared" si="6"/>
        <v>1288</v>
      </c>
      <c r="G244" s="40" t="str">
        <f t="shared" si="7"/>
        <v>Sat</v>
      </c>
    </row>
    <row r="245" spans="1:7" ht="14.4" x14ac:dyDescent="0.3">
      <c r="A245" s="22">
        <v>44289</v>
      </c>
      <c r="B245" s="23" t="s">
        <v>15</v>
      </c>
      <c r="C245" s="23" t="s">
        <v>97</v>
      </c>
      <c r="D245" s="24">
        <v>4</v>
      </c>
      <c r="E245" s="17">
        <f>VLOOKUP(B245,'SKU Master'!$B$2:$E$31,4,0)</f>
        <v>161</v>
      </c>
      <c r="F245" s="25">
        <f t="shared" si="6"/>
        <v>644</v>
      </c>
      <c r="G245" s="40" t="str">
        <f t="shared" si="7"/>
        <v>Sat</v>
      </c>
    </row>
    <row r="246" spans="1:7" ht="14.4" x14ac:dyDescent="0.3">
      <c r="A246" s="22">
        <v>44289</v>
      </c>
      <c r="B246" s="23" t="s">
        <v>17</v>
      </c>
      <c r="C246" s="23" t="s">
        <v>97</v>
      </c>
      <c r="D246" s="24">
        <v>3</v>
      </c>
      <c r="E246" s="17">
        <f>VLOOKUP(B246,'SKU Master'!$B$2:$E$31,4,0)</f>
        <v>109</v>
      </c>
      <c r="F246" s="25">
        <f t="shared" si="6"/>
        <v>327</v>
      </c>
      <c r="G246" s="40" t="str">
        <f t="shared" si="7"/>
        <v>Sat</v>
      </c>
    </row>
    <row r="247" spans="1:7" ht="14.4" x14ac:dyDescent="0.3">
      <c r="A247" s="22">
        <v>44289</v>
      </c>
      <c r="B247" s="23" t="s">
        <v>20</v>
      </c>
      <c r="C247" s="23" t="s">
        <v>97</v>
      </c>
      <c r="D247" s="24">
        <v>1</v>
      </c>
      <c r="E247" s="17">
        <f>VLOOKUP(B247,'SKU Master'!$B$2:$E$31,4,0)</f>
        <v>122</v>
      </c>
      <c r="F247" s="25">
        <f t="shared" si="6"/>
        <v>122</v>
      </c>
      <c r="G247" s="40" t="str">
        <f t="shared" si="7"/>
        <v>Sat</v>
      </c>
    </row>
    <row r="248" spans="1:7" ht="14.4" x14ac:dyDescent="0.3">
      <c r="A248" s="22">
        <v>44289</v>
      </c>
      <c r="B248" s="23" t="s">
        <v>23</v>
      </c>
      <c r="C248" s="23" t="s">
        <v>97</v>
      </c>
      <c r="D248" s="24">
        <v>3</v>
      </c>
      <c r="E248" s="17">
        <f>VLOOKUP(B248,'SKU Master'!$B$2:$E$31,4,0)</f>
        <v>96</v>
      </c>
      <c r="F248" s="25">
        <f t="shared" si="6"/>
        <v>288</v>
      </c>
      <c r="G248" s="40" t="str">
        <f t="shared" si="7"/>
        <v>Sat</v>
      </c>
    </row>
    <row r="249" spans="1:7" ht="14.4" x14ac:dyDescent="0.3">
      <c r="A249" s="22">
        <v>44289</v>
      </c>
      <c r="B249" s="23" t="s">
        <v>26</v>
      </c>
      <c r="C249" s="23" t="s">
        <v>97</v>
      </c>
      <c r="D249" s="24">
        <v>0</v>
      </c>
      <c r="E249" s="17">
        <f>VLOOKUP(B249,'SKU Master'!$B$2:$E$31,4,0)</f>
        <v>73</v>
      </c>
      <c r="F249" s="25">
        <f t="shared" si="6"/>
        <v>0</v>
      </c>
      <c r="G249" s="40" t="str">
        <f t="shared" si="7"/>
        <v>Sat</v>
      </c>
    </row>
    <row r="250" spans="1:7" ht="14.4" x14ac:dyDescent="0.3">
      <c r="A250" s="22">
        <v>44289</v>
      </c>
      <c r="B250" s="23" t="s">
        <v>29</v>
      </c>
      <c r="C250" s="23" t="s">
        <v>97</v>
      </c>
      <c r="D250" s="24">
        <v>0</v>
      </c>
      <c r="E250" s="17">
        <f>VLOOKUP(B250,'SKU Master'!$B$2:$E$31,4,0)</f>
        <v>225</v>
      </c>
      <c r="F250" s="25">
        <f t="shared" si="6"/>
        <v>0</v>
      </c>
      <c r="G250" s="40" t="str">
        <f t="shared" si="7"/>
        <v>Sat</v>
      </c>
    </row>
    <row r="251" spans="1:7" ht="14.4" x14ac:dyDescent="0.3">
      <c r="A251" s="22">
        <v>44289</v>
      </c>
      <c r="B251" s="23" t="s">
        <v>32</v>
      </c>
      <c r="C251" s="23" t="s">
        <v>97</v>
      </c>
      <c r="D251" s="24">
        <v>1</v>
      </c>
      <c r="E251" s="17">
        <f>VLOOKUP(B251,'SKU Master'!$B$2:$E$31,4,0)</f>
        <v>559</v>
      </c>
      <c r="F251" s="25">
        <f t="shared" si="6"/>
        <v>559</v>
      </c>
      <c r="G251" s="40" t="str">
        <f t="shared" si="7"/>
        <v>Sat</v>
      </c>
    </row>
    <row r="252" spans="1:7" ht="14.4" x14ac:dyDescent="0.3">
      <c r="A252" s="22">
        <v>44289</v>
      </c>
      <c r="B252" s="23" t="s">
        <v>36</v>
      </c>
      <c r="C252" s="23" t="s">
        <v>97</v>
      </c>
      <c r="D252" s="24">
        <v>23</v>
      </c>
      <c r="E252" s="17">
        <f>VLOOKUP(B252,'SKU Master'!$B$2:$E$31,4,0)</f>
        <v>3199</v>
      </c>
      <c r="F252" s="25">
        <f t="shared" si="6"/>
        <v>73577</v>
      </c>
      <c r="G252" s="40" t="str">
        <f t="shared" si="7"/>
        <v>Sat</v>
      </c>
    </row>
    <row r="253" spans="1:7" ht="14.4" x14ac:dyDescent="0.3">
      <c r="A253" s="22">
        <v>44289</v>
      </c>
      <c r="B253" s="23" t="s">
        <v>39</v>
      </c>
      <c r="C253" s="23" t="s">
        <v>97</v>
      </c>
      <c r="D253" s="24">
        <v>13</v>
      </c>
      <c r="E253" s="17">
        <f>VLOOKUP(B253,'SKU Master'!$B$2:$E$31,4,0)</f>
        <v>371</v>
      </c>
      <c r="F253" s="25">
        <f t="shared" si="6"/>
        <v>4823</v>
      </c>
      <c r="G253" s="40" t="str">
        <f t="shared" si="7"/>
        <v>Sat</v>
      </c>
    </row>
    <row r="254" spans="1:7" ht="14.4" x14ac:dyDescent="0.3">
      <c r="A254" s="22">
        <v>44289</v>
      </c>
      <c r="B254" s="23" t="s">
        <v>42</v>
      </c>
      <c r="C254" s="23" t="s">
        <v>97</v>
      </c>
      <c r="D254" s="24">
        <v>3</v>
      </c>
      <c r="E254" s="17">
        <f>VLOOKUP(B254,'SKU Master'!$B$2:$E$31,4,0)</f>
        <v>2300</v>
      </c>
      <c r="F254" s="25">
        <f t="shared" si="6"/>
        <v>6900</v>
      </c>
      <c r="G254" s="40" t="str">
        <f t="shared" si="7"/>
        <v>Sat</v>
      </c>
    </row>
    <row r="255" spans="1:7" ht="14.4" x14ac:dyDescent="0.3">
      <c r="A255" s="22">
        <v>44289</v>
      </c>
      <c r="B255" s="23" t="s">
        <v>45</v>
      </c>
      <c r="C255" s="23" t="s">
        <v>97</v>
      </c>
      <c r="D255" s="24">
        <v>5</v>
      </c>
      <c r="E255" s="17">
        <f>VLOOKUP(B255,'SKU Master'!$B$2:$E$31,4,0)</f>
        <v>499</v>
      </c>
      <c r="F255" s="25">
        <f t="shared" si="6"/>
        <v>2495</v>
      </c>
      <c r="G255" s="40" t="str">
        <f t="shared" si="7"/>
        <v>Sat</v>
      </c>
    </row>
    <row r="256" spans="1:7" ht="14.4" x14ac:dyDescent="0.3">
      <c r="A256" s="22">
        <v>44289</v>
      </c>
      <c r="B256" s="23" t="s">
        <v>48</v>
      </c>
      <c r="C256" s="23" t="s">
        <v>97</v>
      </c>
      <c r="D256" s="24">
        <v>5</v>
      </c>
      <c r="E256" s="17">
        <f>VLOOKUP(B256,'SKU Master'!$B$2:$E$31,4,0)</f>
        <v>299</v>
      </c>
      <c r="F256" s="25">
        <f t="shared" si="6"/>
        <v>1495</v>
      </c>
      <c r="G256" s="40" t="str">
        <f t="shared" si="7"/>
        <v>Sat</v>
      </c>
    </row>
    <row r="257" spans="1:7" ht="14.4" x14ac:dyDescent="0.3">
      <c r="A257" s="22">
        <v>44289</v>
      </c>
      <c r="B257" s="23" t="s">
        <v>51</v>
      </c>
      <c r="C257" s="23" t="s">
        <v>97</v>
      </c>
      <c r="D257" s="24">
        <v>5</v>
      </c>
      <c r="E257" s="17">
        <f>VLOOKUP(B257,'SKU Master'!$B$2:$E$31,4,0)</f>
        <v>901</v>
      </c>
      <c r="F257" s="25">
        <f t="shared" si="6"/>
        <v>4505</v>
      </c>
      <c r="G257" s="40" t="str">
        <f t="shared" si="7"/>
        <v>Sat</v>
      </c>
    </row>
    <row r="258" spans="1:7" ht="14.4" x14ac:dyDescent="0.3">
      <c r="A258" s="22">
        <v>44289</v>
      </c>
      <c r="B258" s="23" t="s">
        <v>54</v>
      </c>
      <c r="C258" s="23" t="s">
        <v>97</v>
      </c>
      <c r="D258" s="24">
        <v>4</v>
      </c>
      <c r="E258" s="17">
        <f>VLOOKUP(B258,'SKU Master'!$B$2:$E$31,4,0)</f>
        <v>929</v>
      </c>
      <c r="F258" s="25">
        <f t="shared" si="6"/>
        <v>3716</v>
      </c>
      <c r="G258" s="40" t="str">
        <f t="shared" si="7"/>
        <v>Sat</v>
      </c>
    </row>
    <row r="259" spans="1:7" ht="14.4" x14ac:dyDescent="0.3">
      <c r="A259" s="22">
        <v>44289</v>
      </c>
      <c r="B259" s="23" t="s">
        <v>57</v>
      </c>
      <c r="C259" s="23" t="s">
        <v>97</v>
      </c>
      <c r="D259" s="24">
        <v>2</v>
      </c>
      <c r="E259" s="17">
        <f>VLOOKUP(B259,'SKU Master'!$B$2:$E$31,4,0)</f>
        <v>1030</v>
      </c>
      <c r="F259" s="25">
        <f t="shared" ref="F259:F322" si="8">D259*E259</f>
        <v>2060</v>
      </c>
      <c r="G259" s="40" t="str">
        <f t="shared" si="7"/>
        <v>Sat</v>
      </c>
    </row>
    <row r="260" spans="1:7" ht="14.4" x14ac:dyDescent="0.3">
      <c r="A260" s="22">
        <v>44289</v>
      </c>
      <c r="B260" s="23" t="s">
        <v>60</v>
      </c>
      <c r="C260" s="23" t="s">
        <v>97</v>
      </c>
      <c r="D260" s="24">
        <v>1</v>
      </c>
      <c r="E260" s="17">
        <f>VLOOKUP(B260,'SKU Master'!$B$2:$E$31,4,0)</f>
        <v>1222</v>
      </c>
      <c r="F260" s="25">
        <f t="shared" si="8"/>
        <v>1222</v>
      </c>
      <c r="G260" s="40" t="str">
        <f t="shared" ref="G260:G323" si="9">CHOOSE(WEEKDAY(A260),"Sun","Mon","Tue","Wed","Thu","Fri","Sat")</f>
        <v>Sat</v>
      </c>
    </row>
    <row r="261" spans="1:7" ht="14.4" x14ac:dyDescent="0.3">
      <c r="A261" s="22">
        <v>44289</v>
      </c>
      <c r="B261" s="23" t="s">
        <v>63</v>
      </c>
      <c r="C261" s="23" t="s">
        <v>97</v>
      </c>
      <c r="D261" s="24">
        <v>3</v>
      </c>
      <c r="E261" s="17">
        <f>VLOOKUP(B261,'SKU Master'!$B$2:$E$31,4,0)</f>
        <v>649</v>
      </c>
      <c r="F261" s="25">
        <f t="shared" si="8"/>
        <v>1947</v>
      </c>
      <c r="G261" s="40" t="str">
        <f t="shared" si="9"/>
        <v>Sat</v>
      </c>
    </row>
    <row r="262" spans="1:7" ht="14.4" x14ac:dyDescent="0.3">
      <c r="A262" s="22">
        <v>44289</v>
      </c>
      <c r="B262" s="23" t="s">
        <v>67</v>
      </c>
      <c r="C262" s="23" t="s">
        <v>97</v>
      </c>
      <c r="D262" s="24">
        <v>11</v>
      </c>
      <c r="E262" s="17">
        <f>VLOOKUP(B262,'SKU Master'!$B$2:$E$31,4,0)</f>
        <v>1800</v>
      </c>
      <c r="F262" s="25">
        <f t="shared" si="8"/>
        <v>19800</v>
      </c>
      <c r="G262" s="40" t="str">
        <f t="shared" si="9"/>
        <v>Sat</v>
      </c>
    </row>
    <row r="263" spans="1:7" ht="14.4" x14ac:dyDescent="0.3">
      <c r="A263" s="22">
        <v>44289</v>
      </c>
      <c r="B263" s="23" t="s">
        <v>70</v>
      </c>
      <c r="C263" s="23" t="s">
        <v>97</v>
      </c>
      <c r="D263" s="24">
        <v>8</v>
      </c>
      <c r="E263" s="17">
        <f>VLOOKUP(B263,'SKU Master'!$B$2:$E$31,4,0)</f>
        <v>345</v>
      </c>
      <c r="F263" s="25">
        <f t="shared" si="8"/>
        <v>2760</v>
      </c>
      <c r="G263" s="40" t="str">
        <f t="shared" si="9"/>
        <v>Sat</v>
      </c>
    </row>
    <row r="264" spans="1:7" ht="14.4" x14ac:dyDescent="0.3">
      <c r="A264" s="22">
        <v>44289</v>
      </c>
      <c r="B264" s="23" t="s">
        <v>73</v>
      </c>
      <c r="C264" s="23" t="s">
        <v>97</v>
      </c>
      <c r="D264" s="24">
        <v>4</v>
      </c>
      <c r="E264" s="17">
        <f>VLOOKUP(B264,'SKU Master'!$B$2:$E$31,4,0)</f>
        <v>350</v>
      </c>
      <c r="F264" s="25">
        <f t="shared" si="8"/>
        <v>1400</v>
      </c>
      <c r="G264" s="40" t="str">
        <f t="shared" si="9"/>
        <v>Sat</v>
      </c>
    </row>
    <row r="265" spans="1:7" ht="14.4" x14ac:dyDescent="0.3">
      <c r="A265" s="22">
        <v>44289</v>
      </c>
      <c r="B265" s="23" t="s">
        <v>76</v>
      </c>
      <c r="C265" s="23" t="s">
        <v>97</v>
      </c>
      <c r="D265" s="24">
        <v>4</v>
      </c>
      <c r="E265" s="17">
        <f>VLOOKUP(B265,'SKU Master'!$B$2:$E$31,4,0)</f>
        <v>1575</v>
      </c>
      <c r="F265" s="25">
        <f t="shared" si="8"/>
        <v>6300</v>
      </c>
      <c r="G265" s="40" t="str">
        <f t="shared" si="9"/>
        <v>Sat</v>
      </c>
    </row>
    <row r="266" spans="1:7" ht="14.4" x14ac:dyDescent="0.3">
      <c r="A266" s="22">
        <v>44289</v>
      </c>
      <c r="B266" s="23" t="s">
        <v>78</v>
      </c>
      <c r="C266" s="23" t="s">
        <v>97</v>
      </c>
      <c r="D266" s="24">
        <v>2</v>
      </c>
      <c r="E266" s="17">
        <f>VLOOKUP(B266,'SKU Master'!$B$2:$E$31,4,0)</f>
        <v>1045</v>
      </c>
      <c r="F266" s="25">
        <f t="shared" si="8"/>
        <v>2090</v>
      </c>
      <c r="G266" s="40" t="str">
        <f t="shared" si="9"/>
        <v>Sat</v>
      </c>
    </row>
    <row r="267" spans="1:7" ht="14.4" x14ac:dyDescent="0.3">
      <c r="A267" s="22">
        <v>44289</v>
      </c>
      <c r="B267" s="23" t="s">
        <v>81</v>
      </c>
      <c r="C267" s="23" t="s">
        <v>97</v>
      </c>
      <c r="D267" s="24">
        <v>2</v>
      </c>
      <c r="E267" s="17">
        <f>VLOOKUP(B267,'SKU Master'!$B$2:$E$31,4,0)</f>
        <v>1186</v>
      </c>
      <c r="F267" s="25">
        <f t="shared" si="8"/>
        <v>2372</v>
      </c>
      <c r="G267" s="40" t="str">
        <f t="shared" si="9"/>
        <v>Sat</v>
      </c>
    </row>
    <row r="268" spans="1:7" ht="14.4" x14ac:dyDescent="0.3">
      <c r="A268" s="22">
        <v>44289</v>
      </c>
      <c r="B268" s="23" t="s">
        <v>84</v>
      </c>
      <c r="C268" s="23" t="s">
        <v>97</v>
      </c>
      <c r="D268" s="24">
        <v>5</v>
      </c>
      <c r="E268" s="17">
        <f>VLOOKUP(B268,'SKU Master'!$B$2:$E$31,4,0)</f>
        <v>374</v>
      </c>
      <c r="F268" s="25">
        <f t="shared" si="8"/>
        <v>1870</v>
      </c>
      <c r="G268" s="40" t="str">
        <f t="shared" si="9"/>
        <v>Sat</v>
      </c>
    </row>
    <row r="269" spans="1:7" ht="14.4" x14ac:dyDescent="0.3">
      <c r="A269" s="22">
        <v>44289</v>
      </c>
      <c r="B269" s="23" t="s">
        <v>87</v>
      </c>
      <c r="C269" s="23" t="s">
        <v>97</v>
      </c>
      <c r="D269" s="24">
        <v>2</v>
      </c>
      <c r="E269" s="17">
        <f>VLOOKUP(B269,'SKU Master'!$B$2:$E$31,4,0)</f>
        <v>1500</v>
      </c>
      <c r="F269" s="25">
        <f t="shared" si="8"/>
        <v>3000</v>
      </c>
      <c r="G269" s="40" t="str">
        <f t="shared" si="9"/>
        <v>Sat</v>
      </c>
    </row>
    <row r="270" spans="1:7" ht="14.4" x14ac:dyDescent="0.3">
      <c r="A270" s="22">
        <v>44289</v>
      </c>
      <c r="B270" s="23" t="s">
        <v>90</v>
      </c>
      <c r="C270" s="23" t="s">
        <v>97</v>
      </c>
      <c r="D270" s="24">
        <v>2</v>
      </c>
      <c r="E270" s="17">
        <f>VLOOKUP(B270,'SKU Master'!$B$2:$E$31,4,0)</f>
        <v>1800</v>
      </c>
      <c r="F270" s="25">
        <f t="shared" si="8"/>
        <v>3600</v>
      </c>
      <c r="G270" s="40" t="str">
        <f t="shared" si="9"/>
        <v>Sat</v>
      </c>
    </row>
    <row r="271" spans="1:7" ht="14.4" x14ac:dyDescent="0.3">
      <c r="A271" s="22">
        <v>44289</v>
      </c>
      <c r="B271" s="23" t="s">
        <v>93</v>
      </c>
      <c r="C271" s="23" t="s">
        <v>97</v>
      </c>
      <c r="D271" s="24">
        <v>0</v>
      </c>
      <c r="E271" s="17">
        <f>VLOOKUP(B271,'SKU Master'!$B$2:$E$31,4,0)</f>
        <v>1477</v>
      </c>
      <c r="F271" s="25">
        <f t="shared" si="8"/>
        <v>0</v>
      </c>
      <c r="G271" s="40" t="str">
        <f t="shared" si="9"/>
        <v>Sat</v>
      </c>
    </row>
    <row r="272" spans="1:7" ht="14.4" x14ac:dyDescent="0.3">
      <c r="A272" s="22">
        <v>44290</v>
      </c>
      <c r="B272" s="23" t="s">
        <v>6</v>
      </c>
      <c r="C272" s="23" t="s">
        <v>96</v>
      </c>
      <c r="D272" s="24">
        <v>37</v>
      </c>
      <c r="E272" s="17">
        <f>VLOOKUP(B272,'SKU Master'!$B$2:$E$31,4,0)</f>
        <v>210</v>
      </c>
      <c r="F272" s="25">
        <f t="shared" si="8"/>
        <v>7770</v>
      </c>
      <c r="G272" s="40" t="str">
        <f t="shared" si="9"/>
        <v>Sun</v>
      </c>
    </row>
    <row r="273" spans="1:7" ht="14.4" x14ac:dyDescent="0.3">
      <c r="A273" s="22">
        <v>44290</v>
      </c>
      <c r="B273" s="23" t="s">
        <v>9</v>
      </c>
      <c r="C273" s="23" t="s">
        <v>96</v>
      </c>
      <c r="D273" s="24">
        <v>13</v>
      </c>
      <c r="E273" s="17">
        <f>VLOOKUP(B273,'SKU Master'!$B$2:$E$31,4,0)</f>
        <v>199</v>
      </c>
      <c r="F273" s="25">
        <f t="shared" si="8"/>
        <v>2587</v>
      </c>
      <c r="G273" s="40" t="str">
        <f t="shared" si="9"/>
        <v>Sun</v>
      </c>
    </row>
    <row r="274" spans="1:7" ht="14.4" x14ac:dyDescent="0.3">
      <c r="A274" s="22">
        <v>44290</v>
      </c>
      <c r="B274" s="23" t="s">
        <v>12</v>
      </c>
      <c r="C274" s="23" t="s">
        <v>96</v>
      </c>
      <c r="D274" s="24">
        <v>14</v>
      </c>
      <c r="E274" s="17">
        <f>VLOOKUP(B274,'SKU Master'!$B$2:$E$31,4,0)</f>
        <v>322</v>
      </c>
      <c r="F274" s="25">
        <f t="shared" si="8"/>
        <v>4508</v>
      </c>
      <c r="G274" s="40" t="str">
        <f t="shared" si="9"/>
        <v>Sun</v>
      </c>
    </row>
    <row r="275" spans="1:7" ht="14.4" x14ac:dyDescent="0.3">
      <c r="A275" s="22">
        <v>44290</v>
      </c>
      <c r="B275" s="23" t="s">
        <v>15</v>
      </c>
      <c r="C275" s="23" t="s">
        <v>96</v>
      </c>
      <c r="D275" s="24">
        <v>9</v>
      </c>
      <c r="E275" s="17">
        <f>VLOOKUP(B275,'SKU Master'!$B$2:$E$31,4,0)</f>
        <v>161</v>
      </c>
      <c r="F275" s="25">
        <f t="shared" si="8"/>
        <v>1449</v>
      </c>
      <c r="G275" s="40" t="str">
        <f t="shared" si="9"/>
        <v>Sun</v>
      </c>
    </row>
    <row r="276" spans="1:7" ht="14.4" x14ac:dyDescent="0.3">
      <c r="A276" s="22">
        <v>44290</v>
      </c>
      <c r="B276" s="23" t="s">
        <v>17</v>
      </c>
      <c r="C276" s="23" t="s">
        <v>96</v>
      </c>
      <c r="D276" s="24">
        <v>7</v>
      </c>
      <c r="E276" s="17">
        <f>VLOOKUP(B276,'SKU Master'!$B$2:$E$31,4,0)</f>
        <v>109</v>
      </c>
      <c r="F276" s="25">
        <f t="shared" si="8"/>
        <v>763</v>
      </c>
      <c r="G276" s="40" t="str">
        <f t="shared" si="9"/>
        <v>Sun</v>
      </c>
    </row>
    <row r="277" spans="1:7" ht="14.4" x14ac:dyDescent="0.3">
      <c r="A277" s="22">
        <v>44290</v>
      </c>
      <c r="B277" s="23" t="s">
        <v>20</v>
      </c>
      <c r="C277" s="23" t="s">
        <v>96</v>
      </c>
      <c r="D277" s="24">
        <v>3</v>
      </c>
      <c r="E277" s="17">
        <f>VLOOKUP(B277,'SKU Master'!$B$2:$E$31,4,0)</f>
        <v>122</v>
      </c>
      <c r="F277" s="25">
        <f t="shared" si="8"/>
        <v>366</v>
      </c>
      <c r="G277" s="40" t="str">
        <f t="shared" si="9"/>
        <v>Sun</v>
      </c>
    </row>
    <row r="278" spans="1:7" ht="14.4" x14ac:dyDescent="0.3">
      <c r="A278" s="22">
        <v>44290</v>
      </c>
      <c r="B278" s="23" t="s">
        <v>23</v>
      </c>
      <c r="C278" s="23" t="s">
        <v>96</v>
      </c>
      <c r="D278" s="24">
        <v>5</v>
      </c>
      <c r="E278" s="17">
        <f>VLOOKUP(B278,'SKU Master'!$B$2:$E$31,4,0)</f>
        <v>96</v>
      </c>
      <c r="F278" s="25">
        <f t="shared" si="8"/>
        <v>480</v>
      </c>
      <c r="G278" s="40" t="str">
        <f t="shared" si="9"/>
        <v>Sun</v>
      </c>
    </row>
    <row r="279" spans="1:7" ht="14.4" x14ac:dyDescent="0.3">
      <c r="A279" s="22">
        <v>44290</v>
      </c>
      <c r="B279" s="23" t="s">
        <v>26</v>
      </c>
      <c r="C279" s="23" t="s">
        <v>96</v>
      </c>
      <c r="D279" s="24">
        <v>0</v>
      </c>
      <c r="E279" s="17">
        <f>VLOOKUP(B279,'SKU Master'!$B$2:$E$31,4,0)</f>
        <v>73</v>
      </c>
      <c r="F279" s="25">
        <f t="shared" si="8"/>
        <v>0</v>
      </c>
      <c r="G279" s="40" t="str">
        <f t="shared" si="9"/>
        <v>Sun</v>
      </c>
    </row>
    <row r="280" spans="1:7" ht="14.4" x14ac:dyDescent="0.3">
      <c r="A280" s="22">
        <v>44290</v>
      </c>
      <c r="B280" s="23" t="s">
        <v>29</v>
      </c>
      <c r="C280" s="23" t="s">
        <v>96</v>
      </c>
      <c r="D280" s="24">
        <v>2</v>
      </c>
      <c r="E280" s="17">
        <f>VLOOKUP(B280,'SKU Master'!$B$2:$E$31,4,0)</f>
        <v>225</v>
      </c>
      <c r="F280" s="25">
        <f t="shared" si="8"/>
        <v>450</v>
      </c>
      <c r="G280" s="40" t="str">
        <f t="shared" si="9"/>
        <v>Sun</v>
      </c>
    </row>
    <row r="281" spans="1:7" ht="14.4" x14ac:dyDescent="0.3">
      <c r="A281" s="22">
        <v>44290</v>
      </c>
      <c r="B281" s="23" t="s">
        <v>32</v>
      </c>
      <c r="C281" s="23" t="s">
        <v>96</v>
      </c>
      <c r="D281" s="24">
        <v>1</v>
      </c>
      <c r="E281" s="17">
        <f>VLOOKUP(B281,'SKU Master'!$B$2:$E$31,4,0)</f>
        <v>559</v>
      </c>
      <c r="F281" s="25">
        <f t="shared" si="8"/>
        <v>559</v>
      </c>
      <c r="G281" s="40" t="str">
        <f t="shared" si="9"/>
        <v>Sun</v>
      </c>
    </row>
    <row r="282" spans="1:7" ht="14.4" x14ac:dyDescent="0.3">
      <c r="A282" s="22">
        <v>44290</v>
      </c>
      <c r="B282" s="23" t="s">
        <v>36</v>
      </c>
      <c r="C282" s="23" t="s">
        <v>96</v>
      </c>
      <c r="D282" s="24">
        <v>34</v>
      </c>
      <c r="E282" s="17">
        <f>VLOOKUP(B282,'SKU Master'!$B$2:$E$31,4,0)</f>
        <v>3199</v>
      </c>
      <c r="F282" s="25">
        <f t="shared" si="8"/>
        <v>108766</v>
      </c>
      <c r="G282" s="40" t="str">
        <f t="shared" si="9"/>
        <v>Sun</v>
      </c>
    </row>
    <row r="283" spans="1:7" ht="14.4" x14ac:dyDescent="0.3">
      <c r="A283" s="22">
        <v>44290</v>
      </c>
      <c r="B283" s="23" t="s">
        <v>39</v>
      </c>
      <c r="C283" s="23" t="s">
        <v>96</v>
      </c>
      <c r="D283" s="24">
        <v>17</v>
      </c>
      <c r="E283" s="17">
        <f>VLOOKUP(B283,'SKU Master'!$B$2:$E$31,4,0)</f>
        <v>371</v>
      </c>
      <c r="F283" s="25">
        <f t="shared" si="8"/>
        <v>6307</v>
      </c>
      <c r="G283" s="40" t="str">
        <f t="shared" si="9"/>
        <v>Sun</v>
      </c>
    </row>
    <row r="284" spans="1:7" ht="14.4" x14ac:dyDescent="0.3">
      <c r="A284" s="22">
        <v>44290</v>
      </c>
      <c r="B284" s="23" t="s">
        <v>42</v>
      </c>
      <c r="C284" s="23" t="s">
        <v>96</v>
      </c>
      <c r="D284" s="24">
        <v>13</v>
      </c>
      <c r="E284" s="17">
        <f>VLOOKUP(B284,'SKU Master'!$B$2:$E$31,4,0)</f>
        <v>2300</v>
      </c>
      <c r="F284" s="25">
        <f t="shared" si="8"/>
        <v>29900</v>
      </c>
      <c r="G284" s="40" t="str">
        <f t="shared" si="9"/>
        <v>Sun</v>
      </c>
    </row>
    <row r="285" spans="1:7" ht="14.4" x14ac:dyDescent="0.3">
      <c r="A285" s="22">
        <v>44290</v>
      </c>
      <c r="B285" s="23" t="s">
        <v>45</v>
      </c>
      <c r="C285" s="23" t="s">
        <v>96</v>
      </c>
      <c r="D285" s="24">
        <v>10</v>
      </c>
      <c r="E285" s="17">
        <f>VLOOKUP(B285,'SKU Master'!$B$2:$E$31,4,0)</f>
        <v>499</v>
      </c>
      <c r="F285" s="25">
        <f t="shared" si="8"/>
        <v>4990</v>
      </c>
      <c r="G285" s="40" t="str">
        <f t="shared" si="9"/>
        <v>Sun</v>
      </c>
    </row>
    <row r="286" spans="1:7" ht="14.4" x14ac:dyDescent="0.3">
      <c r="A286" s="22">
        <v>44290</v>
      </c>
      <c r="B286" s="23" t="s">
        <v>48</v>
      </c>
      <c r="C286" s="23" t="s">
        <v>96</v>
      </c>
      <c r="D286" s="24">
        <v>6</v>
      </c>
      <c r="E286" s="17">
        <f>VLOOKUP(B286,'SKU Master'!$B$2:$E$31,4,0)</f>
        <v>299</v>
      </c>
      <c r="F286" s="25">
        <f t="shared" si="8"/>
        <v>1794</v>
      </c>
      <c r="G286" s="40" t="str">
        <f t="shared" si="9"/>
        <v>Sun</v>
      </c>
    </row>
    <row r="287" spans="1:7" ht="14.4" x14ac:dyDescent="0.3">
      <c r="A287" s="22">
        <v>44290</v>
      </c>
      <c r="B287" s="23" t="s">
        <v>51</v>
      </c>
      <c r="C287" s="23" t="s">
        <v>96</v>
      </c>
      <c r="D287" s="24">
        <v>3</v>
      </c>
      <c r="E287" s="17">
        <f>VLOOKUP(B287,'SKU Master'!$B$2:$E$31,4,0)</f>
        <v>901</v>
      </c>
      <c r="F287" s="25">
        <f t="shared" si="8"/>
        <v>2703</v>
      </c>
      <c r="G287" s="40" t="str">
        <f t="shared" si="9"/>
        <v>Sun</v>
      </c>
    </row>
    <row r="288" spans="1:7" ht="14.4" x14ac:dyDescent="0.3">
      <c r="A288" s="22">
        <v>44290</v>
      </c>
      <c r="B288" s="23" t="s">
        <v>54</v>
      </c>
      <c r="C288" s="23" t="s">
        <v>96</v>
      </c>
      <c r="D288" s="24">
        <v>2</v>
      </c>
      <c r="E288" s="17">
        <f>VLOOKUP(B288,'SKU Master'!$B$2:$E$31,4,0)</f>
        <v>929</v>
      </c>
      <c r="F288" s="25">
        <f t="shared" si="8"/>
        <v>1858</v>
      </c>
      <c r="G288" s="40" t="str">
        <f t="shared" si="9"/>
        <v>Sun</v>
      </c>
    </row>
    <row r="289" spans="1:7" ht="14.4" x14ac:dyDescent="0.3">
      <c r="A289" s="22">
        <v>44290</v>
      </c>
      <c r="B289" s="23" t="s">
        <v>57</v>
      </c>
      <c r="C289" s="23" t="s">
        <v>96</v>
      </c>
      <c r="D289" s="24">
        <v>2</v>
      </c>
      <c r="E289" s="17">
        <f>VLOOKUP(B289,'SKU Master'!$B$2:$E$31,4,0)</f>
        <v>1030</v>
      </c>
      <c r="F289" s="25">
        <f t="shared" si="8"/>
        <v>2060</v>
      </c>
      <c r="G289" s="40" t="str">
        <f t="shared" si="9"/>
        <v>Sun</v>
      </c>
    </row>
    <row r="290" spans="1:7" ht="14.4" x14ac:dyDescent="0.3">
      <c r="A290" s="22">
        <v>44290</v>
      </c>
      <c r="B290" s="23" t="s">
        <v>60</v>
      </c>
      <c r="C290" s="23" t="s">
        <v>96</v>
      </c>
      <c r="D290" s="24">
        <v>2</v>
      </c>
      <c r="E290" s="17">
        <f>VLOOKUP(B290,'SKU Master'!$B$2:$E$31,4,0)</f>
        <v>1222</v>
      </c>
      <c r="F290" s="25">
        <f t="shared" si="8"/>
        <v>2444</v>
      </c>
      <c r="G290" s="40" t="str">
        <f t="shared" si="9"/>
        <v>Sun</v>
      </c>
    </row>
    <row r="291" spans="1:7" ht="14.4" x14ac:dyDescent="0.3">
      <c r="A291" s="22">
        <v>44290</v>
      </c>
      <c r="B291" s="23" t="s">
        <v>63</v>
      </c>
      <c r="C291" s="23" t="s">
        <v>96</v>
      </c>
      <c r="D291" s="24">
        <v>0</v>
      </c>
      <c r="E291" s="17">
        <f>VLOOKUP(B291,'SKU Master'!$B$2:$E$31,4,0)</f>
        <v>649</v>
      </c>
      <c r="F291" s="25">
        <f t="shared" si="8"/>
        <v>0</v>
      </c>
      <c r="G291" s="40" t="str">
        <f t="shared" si="9"/>
        <v>Sun</v>
      </c>
    </row>
    <row r="292" spans="1:7" ht="14.4" x14ac:dyDescent="0.3">
      <c r="A292" s="22">
        <v>44290</v>
      </c>
      <c r="B292" s="23" t="s">
        <v>67</v>
      </c>
      <c r="C292" s="23" t="s">
        <v>96</v>
      </c>
      <c r="D292" s="24">
        <v>29</v>
      </c>
      <c r="E292" s="17">
        <f>VLOOKUP(B292,'SKU Master'!$B$2:$E$31,4,0)</f>
        <v>1800</v>
      </c>
      <c r="F292" s="25">
        <f t="shared" si="8"/>
        <v>52200</v>
      </c>
      <c r="G292" s="40" t="str">
        <f t="shared" si="9"/>
        <v>Sun</v>
      </c>
    </row>
    <row r="293" spans="1:7" ht="14.4" x14ac:dyDescent="0.3">
      <c r="A293" s="22">
        <v>44290</v>
      </c>
      <c r="B293" s="23" t="s">
        <v>70</v>
      </c>
      <c r="C293" s="23" t="s">
        <v>96</v>
      </c>
      <c r="D293" s="24">
        <v>14</v>
      </c>
      <c r="E293" s="17">
        <f>VLOOKUP(B293,'SKU Master'!$B$2:$E$31,4,0)</f>
        <v>345</v>
      </c>
      <c r="F293" s="25">
        <f t="shared" si="8"/>
        <v>4830</v>
      </c>
      <c r="G293" s="40" t="str">
        <f t="shared" si="9"/>
        <v>Sun</v>
      </c>
    </row>
    <row r="294" spans="1:7" ht="14.4" x14ac:dyDescent="0.3">
      <c r="A294" s="22">
        <v>44290</v>
      </c>
      <c r="B294" s="23" t="s">
        <v>73</v>
      </c>
      <c r="C294" s="23" t="s">
        <v>96</v>
      </c>
      <c r="D294" s="24">
        <v>13</v>
      </c>
      <c r="E294" s="17">
        <f>VLOOKUP(B294,'SKU Master'!$B$2:$E$31,4,0)</f>
        <v>350</v>
      </c>
      <c r="F294" s="25">
        <f t="shared" si="8"/>
        <v>4550</v>
      </c>
      <c r="G294" s="40" t="str">
        <f t="shared" si="9"/>
        <v>Sun</v>
      </c>
    </row>
    <row r="295" spans="1:7" ht="14.4" x14ac:dyDescent="0.3">
      <c r="A295" s="22">
        <v>44290</v>
      </c>
      <c r="B295" s="23" t="s">
        <v>76</v>
      </c>
      <c r="C295" s="23" t="s">
        <v>96</v>
      </c>
      <c r="D295" s="24">
        <v>10</v>
      </c>
      <c r="E295" s="17">
        <f>VLOOKUP(B295,'SKU Master'!$B$2:$E$31,4,0)</f>
        <v>1575</v>
      </c>
      <c r="F295" s="25">
        <f t="shared" si="8"/>
        <v>15750</v>
      </c>
      <c r="G295" s="40" t="str">
        <f t="shared" si="9"/>
        <v>Sun</v>
      </c>
    </row>
    <row r="296" spans="1:7" ht="14.4" x14ac:dyDescent="0.3">
      <c r="A296" s="22">
        <v>44290</v>
      </c>
      <c r="B296" s="23" t="s">
        <v>78</v>
      </c>
      <c r="C296" s="23" t="s">
        <v>96</v>
      </c>
      <c r="D296" s="24">
        <v>5</v>
      </c>
      <c r="E296" s="17">
        <f>VLOOKUP(B296,'SKU Master'!$B$2:$E$31,4,0)</f>
        <v>1045</v>
      </c>
      <c r="F296" s="25">
        <f t="shared" si="8"/>
        <v>5225</v>
      </c>
      <c r="G296" s="40" t="str">
        <f t="shared" si="9"/>
        <v>Sun</v>
      </c>
    </row>
    <row r="297" spans="1:7" ht="14.4" x14ac:dyDescent="0.3">
      <c r="A297" s="22">
        <v>44290</v>
      </c>
      <c r="B297" s="23" t="s">
        <v>81</v>
      </c>
      <c r="C297" s="23" t="s">
        <v>96</v>
      </c>
      <c r="D297" s="24">
        <v>3</v>
      </c>
      <c r="E297" s="17">
        <f>VLOOKUP(B297,'SKU Master'!$B$2:$E$31,4,0)</f>
        <v>1186</v>
      </c>
      <c r="F297" s="25">
        <f t="shared" si="8"/>
        <v>3558</v>
      </c>
      <c r="G297" s="40" t="str">
        <f t="shared" si="9"/>
        <v>Sun</v>
      </c>
    </row>
    <row r="298" spans="1:7" ht="14.4" x14ac:dyDescent="0.3">
      <c r="A298" s="22">
        <v>44290</v>
      </c>
      <c r="B298" s="23" t="s">
        <v>84</v>
      </c>
      <c r="C298" s="23" t="s">
        <v>96</v>
      </c>
      <c r="D298" s="24">
        <v>4</v>
      </c>
      <c r="E298" s="17">
        <f>VLOOKUP(B298,'SKU Master'!$B$2:$E$31,4,0)</f>
        <v>374</v>
      </c>
      <c r="F298" s="25">
        <f t="shared" si="8"/>
        <v>1496</v>
      </c>
      <c r="G298" s="40" t="str">
        <f t="shared" si="9"/>
        <v>Sun</v>
      </c>
    </row>
    <row r="299" spans="1:7" ht="14.4" x14ac:dyDescent="0.3">
      <c r="A299" s="22">
        <v>44290</v>
      </c>
      <c r="B299" s="23" t="s">
        <v>87</v>
      </c>
      <c r="C299" s="23" t="s">
        <v>96</v>
      </c>
      <c r="D299" s="24">
        <v>0</v>
      </c>
      <c r="E299" s="17">
        <f>VLOOKUP(B299,'SKU Master'!$B$2:$E$31,4,0)</f>
        <v>1500</v>
      </c>
      <c r="F299" s="25">
        <f t="shared" si="8"/>
        <v>0</v>
      </c>
      <c r="G299" s="40" t="str">
        <f t="shared" si="9"/>
        <v>Sun</v>
      </c>
    </row>
    <row r="300" spans="1:7" ht="14.4" x14ac:dyDescent="0.3">
      <c r="A300" s="22">
        <v>44290</v>
      </c>
      <c r="B300" s="23" t="s">
        <v>90</v>
      </c>
      <c r="C300" s="23" t="s">
        <v>96</v>
      </c>
      <c r="D300" s="24">
        <v>0</v>
      </c>
      <c r="E300" s="17">
        <f>VLOOKUP(B300,'SKU Master'!$B$2:$E$31,4,0)</f>
        <v>1800</v>
      </c>
      <c r="F300" s="25">
        <f t="shared" si="8"/>
        <v>0</v>
      </c>
      <c r="G300" s="40" t="str">
        <f t="shared" si="9"/>
        <v>Sun</v>
      </c>
    </row>
    <row r="301" spans="1:7" ht="14.4" x14ac:dyDescent="0.3">
      <c r="A301" s="22">
        <v>44290</v>
      </c>
      <c r="B301" s="23" t="s">
        <v>93</v>
      </c>
      <c r="C301" s="23" t="s">
        <v>96</v>
      </c>
      <c r="D301" s="24">
        <v>2</v>
      </c>
      <c r="E301" s="17">
        <f>VLOOKUP(B301,'SKU Master'!$B$2:$E$31,4,0)</f>
        <v>1477</v>
      </c>
      <c r="F301" s="25">
        <f t="shared" si="8"/>
        <v>2954</v>
      </c>
      <c r="G301" s="40" t="str">
        <f t="shared" si="9"/>
        <v>Sun</v>
      </c>
    </row>
    <row r="302" spans="1:7" ht="14.4" x14ac:dyDescent="0.3">
      <c r="A302" s="22">
        <v>44290</v>
      </c>
      <c r="B302" s="23" t="s">
        <v>6</v>
      </c>
      <c r="C302" s="23" t="s">
        <v>98</v>
      </c>
      <c r="D302" s="24">
        <v>19</v>
      </c>
      <c r="E302" s="17">
        <f>VLOOKUP(B302,'SKU Master'!$B$2:$E$31,4,0)</f>
        <v>210</v>
      </c>
      <c r="F302" s="25">
        <f t="shared" si="8"/>
        <v>3990</v>
      </c>
      <c r="G302" s="40" t="str">
        <f t="shared" si="9"/>
        <v>Sun</v>
      </c>
    </row>
    <row r="303" spans="1:7" ht="14.4" x14ac:dyDescent="0.3">
      <c r="A303" s="22">
        <v>44290</v>
      </c>
      <c r="B303" s="23" t="s">
        <v>9</v>
      </c>
      <c r="C303" s="23" t="s">
        <v>98</v>
      </c>
      <c r="D303" s="24">
        <v>10</v>
      </c>
      <c r="E303" s="17">
        <f>VLOOKUP(B303,'SKU Master'!$B$2:$E$31,4,0)</f>
        <v>199</v>
      </c>
      <c r="F303" s="25">
        <f t="shared" si="8"/>
        <v>1990</v>
      </c>
      <c r="G303" s="40" t="str">
        <f t="shared" si="9"/>
        <v>Sun</v>
      </c>
    </row>
    <row r="304" spans="1:7" ht="14.4" x14ac:dyDescent="0.3">
      <c r="A304" s="22">
        <v>44290</v>
      </c>
      <c r="B304" s="23" t="s">
        <v>12</v>
      </c>
      <c r="C304" s="23" t="s">
        <v>98</v>
      </c>
      <c r="D304" s="24">
        <v>9</v>
      </c>
      <c r="E304" s="17">
        <f>VLOOKUP(B304,'SKU Master'!$B$2:$E$31,4,0)</f>
        <v>322</v>
      </c>
      <c r="F304" s="25">
        <f t="shared" si="8"/>
        <v>2898</v>
      </c>
      <c r="G304" s="40" t="str">
        <f t="shared" si="9"/>
        <v>Sun</v>
      </c>
    </row>
    <row r="305" spans="1:7" ht="14.4" x14ac:dyDescent="0.3">
      <c r="A305" s="22">
        <v>44290</v>
      </c>
      <c r="B305" s="23" t="s">
        <v>15</v>
      </c>
      <c r="C305" s="23" t="s">
        <v>98</v>
      </c>
      <c r="D305" s="24">
        <v>6</v>
      </c>
      <c r="E305" s="17">
        <f>VLOOKUP(B305,'SKU Master'!$B$2:$E$31,4,0)</f>
        <v>161</v>
      </c>
      <c r="F305" s="25">
        <f t="shared" si="8"/>
        <v>966</v>
      </c>
      <c r="G305" s="40" t="str">
        <f t="shared" si="9"/>
        <v>Sun</v>
      </c>
    </row>
    <row r="306" spans="1:7" ht="14.4" x14ac:dyDescent="0.3">
      <c r="A306" s="22">
        <v>44290</v>
      </c>
      <c r="B306" s="23" t="s">
        <v>17</v>
      </c>
      <c r="C306" s="23" t="s">
        <v>98</v>
      </c>
      <c r="D306" s="24">
        <v>4</v>
      </c>
      <c r="E306" s="17">
        <f>VLOOKUP(B306,'SKU Master'!$B$2:$E$31,4,0)</f>
        <v>109</v>
      </c>
      <c r="F306" s="25">
        <f t="shared" si="8"/>
        <v>436</v>
      </c>
      <c r="G306" s="40" t="str">
        <f t="shared" si="9"/>
        <v>Sun</v>
      </c>
    </row>
    <row r="307" spans="1:7" ht="14.4" x14ac:dyDescent="0.3">
      <c r="A307" s="22">
        <v>44290</v>
      </c>
      <c r="B307" s="23" t="s">
        <v>20</v>
      </c>
      <c r="C307" s="23" t="s">
        <v>98</v>
      </c>
      <c r="D307" s="24">
        <v>2</v>
      </c>
      <c r="E307" s="17">
        <f>VLOOKUP(B307,'SKU Master'!$B$2:$E$31,4,0)</f>
        <v>122</v>
      </c>
      <c r="F307" s="25">
        <f t="shared" si="8"/>
        <v>244</v>
      </c>
      <c r="G307" s="40" t="str">
        <f t="shared" si="9"/>
        <v>Sun</v>
      </c>
    </row>
    <row r="308" spans="1:7" ht="14.4" x14ac:dyDescent="0.3">
      <c r="A308" s="22">
        <v>44290</v>
      </c>
      <c r="B308" s="23" t="s">
        <v>23</v>
      </c>
      <c r="C308" s="23" t="s">
        <v>98</v>
      </c>
      <c r="D308" s="24">
        <v>3</v>
      </c>
      <c r="E308" s="17">
        <f>VLOOKUP(B308,'SKU Master'!$B$2:$E$31,4,0)</f>
        <v>96</v>
      </c>
      <c r="F308" s="25">
        <f t="shared" si="8"/>
        <v>288</v>
      </c>
      <c r="G308" s="40" t="str">
        <f t="shared" si="9"/>
        <v>Sun</v>
      </c>
    </row>
    <row r="309" spans="1:7" ht="14.4" x14ac:dyDescent="0.3">
      <c r="A309" s="22">
        <v>44290</v>
      </c>
      <c r="B309" s="23" t="s">
        <v>26</v>
      </c>
      <c r="C309" s="23" t="s">
        <v>98</v>
      </c>
      <c r="D309" s="24">
        <v>0</v>
      </c>
      <c r="E309" s="17">
        <f>VLOOKUP(B309,'SKU Master'!$B$2:$E$31,4,0)</f>
        <v>73</v>
      </c>
      <c r="F309" s="25">
        <f t="shared" si="8"/>
        <v>0</v>
      </c>
      <c r="G309" s="40" t="str">
        <f t="shared" si="9"/>
        <v>Sun</v>
      </c>
    </row>
    <row r="310" spans="1:7" ht="14.4" x14ac:dyDescent="0.3">
      <c r="A310" s="22">
        <v>44290</v>
      </c>
      <c r="B310" s="23" t="s">
        <v>29</v>
      </c>
      <c r="C310" s="23" t="s">
        <v>98</v>
      </c>
      <c r="D310" s="24">
        <v>1</v>
      </c>
      <c r="E310" s="17">
        <f>VLOOKUP(B310,'SKU Master'!$B$2:$E$31,4,0)</f>
        <v>225</v>
      </c>
      <c r="F310" s="25">
        <f t="shared" si="8"/>
        <v>225</v>
      </c>
      <c r="G310" s="40" t="str">
        <f t="shared" si="9"/>
        <v>Sun</v>
      </c>
    </row>
    <row r="311" spans="1:7" ht="14.4" x14ac:dyDescent="0.3">
      <c r="A311" s="22">
        <v>44290</v>
      </c>
      <c r="B311" s="23" t="s">
        <v>32</v>
      </c>
      <c r="C311" s="23" t="s">
        <v>98</v>
      </c>
      <c r="D311" s="24">
        <v>0</v>
      </c>
      <c r="E311" s="17">
        <f>VLOOKUP(B311,'SKU Master'!$B$2:$E$31,4,0)</f>
        <v>559</v>
      </c>
      <c r="F311" s="25">
        <f t="shared" si="8"/>
        <v>0</v>
      </c>
      <c r="G311" s="40" t="str">
        <f t="shared" si="9"/>
        <v>Sun</v>
      </c>
    </row>
    <row r="312" spans="1:7" ht="14.4" x14ac:dyDescent="0.3">
      <c r="A312" s="22">
        <v>44290</v>
      </c>
      <c r="B312" s="23" t="s">
        <v>36</v>
      </c>
      <c r="C312" s="23" t="s">
        <v>98</v>
      </c>
      <c r="D312" s="24">
        <v>6</v>
      </c>
      <c r="E312" s="17">
        <f>VLOOKUP(B312,'SKU Master'!$B$2:$E$31,4,0)</f>
        <v>3199</v>
      </c>
      <c r="F312" s="25">
        <f t="shared" si="8"/>
        <v>19194</v>
      </c>
      <c r="G312" s="40" t="str">
        <f t="shared" si="9"/>
        <v>Sun</v>
      </c>
    </row>
    <row r="313" spans="1:7" ht="14.4" x14ac:dyDescent="0.3">
      <c r="A313" s="22">
        <v>44290</v>
      </c>
      <c r="B313" s="23" t="s">
        <v>39</v>
      </c>
      <c r="C313" s="23" t="s">
        <v>98</v>
      </c>
      <c r="D313" s="24">
        <v>2</v>
      </c>
      <c r="E313" s="17">
        <f>VLOOKUP(B313,'SKU Master'!$B$2:$E$31,4,0)</f>
        <v>371</v>
      </c>
      <c r="F313" s="25">
        <f t="shared" si="8"/>
        <v>742</v>
      </c>
      <c r="G313" s="40" t="str">
        <f t="shared" si="9"/>
        <v>Sun</v>
      </c>
    </row>
    <row r="314" spans="1:7" ht="14.4" x14ac:dyDescent="0.3">
      <c r="A314" s="22">
        <v>44290</v>
      </c>
      <c r="B314" s="23" t="s">
        <v>42</v>
      </c>
      <c r="C314" s="23" t="s">
        <v>98</v>
      </c>
      <c r="D314" s="24">
        <v>0</v>
      </c>
      <c r="E314" s="17">
        <f>VLOOKUP(B314,'SKU Master'!$B$2:$E$31,4,0)</f>
        <v>2300</v>
      </c>
      <c r="F314" s="25">
        <f t="shared" si="8"/>
        <v>0</v>
      </c>
      <c r="G314" s="40" t="str">
        <f t="shared" si="9"/>
        <v>Sun</v>
      </c>
    </row>
    <row r="315" spans="1:7" ht="14.4" x14ac:dyDescent="0.3">
      <c r="A315" s="22">
        <v>44290</v>
      </c>
      <c r="B315" s="23" t="s">
        <v>45</v>
      </c>
      <c r="C315" s="23" t="s">
        <v>98</v>
      </c>
      <c r="D315" s="24">
        <v>2</v>
      </c>
      <c r="E315" s="17">
        <f>VLOOKUP(B315,'SKU Master'!$B$2:$E$31,4,0)</f>
        <v>499</v>
      </c>
      <c r="F315" s="25">
        <f t="shared" si="8"/>
        <v>998</v>
      </c>
      <c r="G315" s="40" t="str">
        <f t="shared" si="9"/>
        <v>Sun</v>
      </c>
    </row>
    <row r="316" spans="1:7" ht="14.4" x14ac:dyDescent="0.3">
      <c r="A316" s="22">
        <v>44290</v>
      </c>
      <c r="B316" s="23" t="s">
        <v>48</v>
      </c>
      <c r="C316" s="23" t="s">
        <v>98</v>
      </c>
      <c r="D316" s="24">
        <v>4</v>
      </c>
      <c r="E316" s="17">
        <f>VLOOKUP(B316,'SKU Master'!$B$2:$E$31,4,0)</f>
        <v>299</v>
      </c>
      <c r="F316" s="25">
        <f t="shared" si="8"/>
        <v>1196</v>
      </c>
      <c r="G316" s="40" t="str">
        <f t="shared" si="9"/>
        <v>Sun</v>
      </c>
    </row>
    <row r="317" spans="1:7" ht="14.4" x14ac:dyDescent="0.3">
      <c r="A317" s="22">
        <v>44290</v>
      </c>
      <c r="B317" s="23" t="s">
        <v>51</v>
      </c>
      <c r="C317" s="23" t="s">
        <v>98</v>
      </c>
      <c r="D317" s="24">
        <v>2</v>
      </c>
      <c r="E317" s="17">
        <f>VLOOKUP(B317,'SKU Master'!$B$2:$E$31,4,0)</f>
        <v>901</v>
      </c>
      <c r="F317" s="25">
        <f t="shared" si="8"/>
        <v>1802</v>
      </c>
      <c r="G317" s="40" t="str">
        <f t="shared" si="9"/>
        <v>Sun</v>
      </c>
    </row>
    <row r="318" spans="1:7" ht="14.4" x14ac:dyDescent="0.3">
      <c r="A318" s="22">
        <v>44290</v>
      </c>
      <c r="B318" s="23" t="s">
        <v>54</v>
      </c>
      <c r="C318" s="23" t="s">
        <v>98</v>
      </c>
      <c r="D318" s="24">
        <v>0</v>
      </c>
      <c r="E318" s="17">
        <f>VLOOKUP(B318,'SKU Master'!$B$2:$E$31,4,0)</f>
        <v>929</v>
      </c>
      <c r="F318" s="25">
        <f t="shared" si="8"/>
        <v>0</v>
      </c>
      <c r="G318" s="40" t="str">
        <f t="shared" si="9"/>
        <v>Sun</v>
      </c>
    </row>
    <row r="319" spans="1:7" ht="14.4" x14ac:dyDescent="0.3">
      <c r="A319" s="22">
        <v>44290</v>
      </c>
      <c r="B319" s="23" t="s">
        <v>57</v>
      </c>
      <c r="C319" s="23" t="s">
        <v>98</v>
      </c>
      <c r="D319" s="24">
        <v>0</v>
      </c>
      <c r="E319" s="17">
        <f>VLOOKUP(B319,'SKU Master'!$B$2:$E$31,4,0)</f>
        <v>1030</v>
      </c>
      <c r="F319" s="25">
        <f t="shared" si="8"/>
        <v>0</v>
      </c>
      <c r="G319" s="40" t="str">
        <f t="shared" si="9"/>
        <v>Sun</v>
      </c>
    </row>
    <row r="320" spans="1:7" ht="14.4" x14ac:dyDescent="0.3">
      <c r="A320" s="22">
        <v>44290</v>
      </c>
      <c r="B320" s="23" t="s">
        <v>60</v>
      </c>
      <c r="C320" s="23" t="s">
        <v>98</v>
      </c>
      <c r="D320" s="24">
        <v>1</v>
      </c>
      <c r="E320" s="17">
        <f>VLOOKUP(B320,'SKU Master'!$B$2:$E$31,4,0)</f>
        <v>1222</v>
      </c>
      <c r="F320" s="25">
        <f t="shared" si="8"/>
        <v>1222</v>
      </c>
      <c r="G320" s="40" t="str">
        <f t="shared" si="9"/>
        <v>Sun</v>
      </c>
    </row>
    <row r="321" spans="1:7" ht="14.4" x14ac:dyDescent="0.3">
      <c r="A321" s="22">
        <v>44290</v>
      </c>
      <c r="B321" s="23" t="s">
        <v>63</v>
      </c>
      <c r="C321" s="23" t="s">
        <v>98</v>
      </c>
      <c r="D321" s="24">
        <v>0</v>
      </c>
      <c r="E321" s="17">
        <f>VLOOKUP(B321,'SKU Master'!$B$2:$E$31,4,0)</f>
        <v>649</v>
      </c>
      <c r="F321" s="25">
        <f t="shared" si="8"/>
        <v>0</v>
      </c>
      <c r="G321" s="40" t="str">
        <f t="shared" si="9"/>
        <v>Sun</v>
      </c>
    </row>
    <row r="322" spans="1:7" ht="14.4" x14ac:dyDescent="0.3">
      <c r="A322" s="22">
        <v>44290</v>
      </c>
      <c r="B322" s="23" t="s">
        <v>67</v>
      </c>
      <c r="C322" s="23" t="s">
        <v>98</v>
      </c>
      <c r="D322" s="24">
        <v>18</v>
      </c>
      <c r="E322" s="17">
        <f>VLOOKUP(B322,'SKU Master'!$B$2:$E$31,4,0)</f>
        <v>1800</v>
      </c>
      <c r="F322" s="25">
        <f t="shared" si="8"/>
        <v>32400</v>
      </c>
      <c r="G322" s="40" t="str">
        <f t="shared" si="9"/>
        <v>Sun</v>
      </c>
    </row>
    <row r="323" spans="1:7" ht="14.4" x14ac:dyDescent="0.3">
      <c r="A323" s="22">
        <v>44290</v>
      </c>
      <c r="B323" s="23" t="s">
        <v>70</v>
      </c>
      <c r="C323" s="23" t="s">
        <v>98</v>
      </c>
      <c r="D323" s="24">
        <v>9</v>
      </c>
      <c r="E323" s="17">
        <f>VLOOKUP(B323,'SKU Master'!$B$2:$E$31,4,0)</f>
        <v>345</v>
      </c>
      <c r="F323" s="25">
        <f t="shared" ref="F323:F386" si="10">D323*E323</f>
        <v>3105</v>
      </c>
      <c r="G323" s="40" t="str">
        <f t="shared" si="9"/>
        <v>Sun</v>
      </c>
    </row>
    <row r="324" spans="1:7" ht="14.4" x14ac:dyDescent="0.3">
      <c r="A324" s="22">
        <v>44290</v>
      </c>
      <c r="B324" s="23" t="s">
        <v>73</v>
      </c>
      <c r="C324" s="23" t="s">
        <v>98</v>
      </c>
      <c r="D324" s="24">
        <v>9</v>
      </c>
      <c r="E324" s="17">
        <f>VLOOKUP(B324,'SKU Master'!$B$2:$E$31,4,0)</f>
        <v>350</v>
      </c>
      <c r="F324" s="25">
        <f t="shared" si="10"/>
        <v>3150</v>
      </c>
      <c r="G324" s="40" t="str">
        <f t="shared" ref="G324:G387" si="11">CHOOSE(WEEKDAY(A324),"Sun","Mon","Tue","Wed","Thu","Fri","Sat")</f>
        <v>Sun</v>
      </c>
    </row>
    <row r="325" spans="1:7" ht="14.4" x14ac:dyDescent="0.3">
      <c r="A325" s="22">
        <v>44290</v>
      </c>
      <c r="B325" s="23" t="s">
        <v>76</v>
      </c>
      <c r="C325" s="23" t="s">
        <v>98</v>
      </c>
      <c r="D325" s="24">
        <v>6</v>
      </c>
      <c r="E325" s="17">
        <f>VLOOKUP(B325,'SKU Master'!$B$2:$E$31,4,0)</f>
        <v>1575</v>
      </c>
      <c r="F325" s="25">
        <f t="shared" si="10"/>
        <v>9450</v>
      </c>
      <c r="G325" s="40" t="str">
        <f t="shared" si="11"/>
        <v>Sun</v>
      </c>
    </row>
    <row r="326" spans="1:7" ht="14.4" x14ac:dyDescent="0.3">
      <c r="A326" s="22">
        <v>44290</v>
      </c>
      <c r="B326" s="23" t="s">
        <v>78</v>
      </c>
      <c r="C326" s="23" t="s">
        <v>98</v>
      </c>
      <c r="D326" s="24">
        <v>2</v>
      </c>
      <c r="E326" s="17">
        <f>VLOOKUP(B326,'SKU Master'!$B$2:$E$31,4,0)</f>
        <v>1045</v>
      </c>
      <c r="F326" s="25">
        <f t="shared" si="10"/>
        <v>2090</v>
      </c>
      <c r="G326" s="40" t="str">
        <f t="shared" si="11"/>
        <v>Sun</v>
      </c>
    </row>
    <row r="327" spans="1:7" ht="14.4" x14ac:dyDescent="0.3">
      <c r="A327" s="22">
        <v>44290</v>
      </c>
      <c r="B327" s="23" t="s">
        <v>81</v>
      </c>
      <c r="C327" s="23" t="s">
        <v>98</v>
      </c>
      <c r="D327" s="24">
        <v>1</v>
      </c>
      <c r="E327" s="17">
        <f>VLOOKUP(B327,'SKU Master'!$B$2:$E$31,4,0)</f>
        <v>1186</v>
      </c>
      <c r="F327" s="25">
        <f t="shared" si="10"/>
        <v>1186</v>
      </c>
      <c r="G327" s="40" t="str">
        <f t="shared" si="11"/>
        <v>Sun</v>
      </c>
    </row>
    <row r="328" spans="1:7" ht="14.4" x14ac:dyDescent="0.3">
      <c r="A328" s="22">
        <v>44290</v>
      </c>
      <c r="B328" s="23" t="s">
        <v>84</v>
      </c>
      <c r="C328" s="23" t="s">
        <v>98</v>
      </c>
      <c r="D328" s="24">
        <v>2</v>
      </c>
      <c r="E328" s="17">
        <f>VLOOKUP(B328,'SKU Master'!$B$2:$E$31,4,0)</f>
        <v>374</v>
      </c>
      <c r="F328" s="25">
        <f t="shared" si="10"/>
        <v>748</v>
      </c>
      <c r="G328" s="40" t="str">
        <f t="shared" si="11"/>
        <v>Sun</v>
      </c>
    </row>
    <row r="329" spans="1:7" ht="14.4" x14ac:dyDescent="0.3">
      <c r="A329" s="22">
        <v>44290</v>
      </c>
      <c r="B329" s="23" t="s">
        <v>87</v>
      </c>
      <c r="C329" s="23" t="s">
        <v>98</v>
      </c>
      <c r="D329" s="24">
        <v>0</v>
      </c>
      <c r="E329" s="17">
        <f>VLOOKUP(B329,'SKU Master'!$B$2:$E$31,4,0)</f>
        <v>1500</v>
      </c>
      <c r="F329" s="25">
        <f t="shared" si="10"/>
        <v>0</v>
      </c>
      <c r="G329" s="40" t="str">
        <f t="shared" si="11"/>
        <v>Sun</v>
      </c>
    </row>
    <row r="330" spans="1:7" ht="14.4" x14ac:dyDescent="0.3">
      <c r="A330" s="22">
        <v>44290</v>
      </c>
      <c r="B330" s="23" t="s">
        <v>90</v>
      </c>
      <c r="C330" s="23" t="s">
        <v>98</v>
      </c>
      <c r="D330" s="24">
        <v>0</v>
      </c>
      <c r="E330" s="17">
        <f>VLOOKUP(B330,'SKU Master'!$B$2:$E$31,4,0)</f>
        <v>1800</v>
      </c>
      <c r="F330" s="25">
        <f t="shared" si="10"/>
        <v>0</v>
      </c>
      <c r="G330" s="40" t="str">
        <f t="shared" si="11"/>
        <v>Sun</v>
      </c>
    </row>
    <row r="331" spans="1:7" ht="14.4" x14ac:dyDescent="0.3">
      <c r="A331" s="22">
        <v>44290</v>
      </c>
      <c r="B331" s="23" t="s">
        <v>93</v>
      </c>
      <c r="C331" s="23" t="s">
        <v>98</v>
      </c>
      <c r="D331" s="24">
        <v>1</v>
      </c>
      <c r="E331" s="17">
        <f>VLOOKUP(B331,'SKU Master'!$B$2:$E$31,4,0)</f>
        <v>1477</v>
      </c>
      <c r="F331" s="25">
        <f t="shared" si="10"/>
        <v>1477</v>
      </c>
      <c r="G331" s="40" t="str">
        <f t="shared" si="11"/>
        <v>Sun</v>
      </c>
    </row>
    <row r="332" spans="1:7" ht="14.4" x14ac:dyDescent="0.3">
      <c r="A332" s="22">
        <v>44290</v>
      </c>
      <c r="B332" s="23" t="s">
        <v>6</v>
      </c>
      <c r="C332" s="23" t="s">
        <v>97</v>
      </c>
      <c r="D332" s="24">
        <v>8</v>
      </c>
      <c r="E332" s="17">
        <f>VLOOKUP(B332,'SKU Master'!$B$2:$E$31,4,0)</f>
        <v>210</v>
      </c>
      <c r="F332" s="25">
        <f t="shared" si="10"/>
        <v>1680</v>
      </c>
      <c r="G332" s="40" t="str">
        <f t="shared" si="11"/>
        <v>Sun</v>
      </c>
    </row>
    <row r="333" spans="1:7" ht="14.4" x14ac:dyDescent="0.3">
      <c r="A333" s="22">
        <v>44290</v>
      </c>
      <c r="B333" s="23" t="s">
        <v>9</v>
      </c>
      <c r="C333" s="23" t="s">
        <v>97</v>
      </c>
      <c r="D333" s="24">
        <v>8</v>
      </c>
      <c r="E333" s="17">
        <f>VLOOKUP(B333,'SKU Master'!$B$2:$E$31,4,0)</f>
        <v>199</v>
      </c>
      <c r="F333" s="25">
        <f t="shared" si="10"/>
        <v>1592</v>
      </c>
      <c r="G333" s="40" t="str">
        <f t="shared" si="11"/>
        <v>Sun</v>
      </c>
    </row>
    <row r="334" spans="1:7" ht="14.4" x14ac:dyDescent="0.3">
      <c r="A334" s="22">
        <v>44290</v>
      </c>
      <c r="B334" s="23" t="s">
        <v>12</v>
      </c>
      <c r="C334" s="23" t="s">
        <v>97</v>
      </c>
      <c r="D334" s="24">
        <v>2</v>
      </c>
      <c r="E334" s="17">
        <f>VLOOKUP(B334,'SKU Master'!$B$2:$E$31,4,0)</f>
        <v>322</v>
      </c>
      <c r="F334" s="25">
        <f t="shared" si="10"/>
        <v>644</v>
      </c>
      <c r="G334" s="40" t="str">
        <f t="shared" si="11"/>
        <v>Sun</v>
      </c>
    </row>
    <row r="335" spans="1:7" ht="14.4" x14ac:dyDescent="0.3">
      <c r="A335" s="22">
        <v>44290</v>
      </c>
      <c r="B335" s="23" t="s">
        <v>15</v>
      </c>
      <c r="C335" s="23" t="s">
        <v>97</v>
      </c>
      <c r="D335" s="24">
        <v>5</v>
      </c>
      <c r="E335" s="17">
        <f>VLOOKUP(B335,'SKU Master'!$B$2:$E$31,4,0)</f>
        <v>161</v>
      </c>
      <c r="F335" s="25">
        <f t="shared" si="10"/>
        <v>805</v>
      </c>
      <c r="G335" s="40" t="str">
        <f t="shared" si="11"/>
        <v>Sun</v>
      </c>
    </row>
    <row r="336" spans="1:7" ht="14.4" x14ac:dyDescent="0.3">
      <c r="A336" s="22">
        <v>44290</v>
      </c>
      <c r="B336" s="23" t="s">
        <v>17</v>
      </c>
      <c r="C336" s="23" t="s">
        <v>97</v>
      </c>
      <c r="D336" s="24">
        <v>2</v>
      </c>
      <c r="E336" s="17">
        <f>VLOOKUP(B336,'SKU Master'!$B$2:$E$31,4,0)</f>
        <v>109</v>
      </c>
      <c r="F336" s="25">
        <f t="shared" si="10"/>
        <v>218</v>
      </c>
      <c r="G336" s="40" t="str">
        <f t="shared" si="11"/>
        <v>Sun</v>
      </c>
    </row>
    <row r="337" spans="1:7" ht="14.4" x14ac:dyDescent="0.3">
      <c r="A337" s="22">
        <v>44290</v>
      </c>
      <c r="B337" s="23" t="s">
        <v>20</v>
      </c>
      <c r="C337" s="23" t="s">
        <v>97</v>
      </c>
      <c r="D337" s="24">
        <v>1</v>
      </c>
      <c r="E337" s="17">
        <f>VLOOKUP(B337,'SKU Master'!$B$2:$E$31,4,0)</f>
        <v>122</v>
      </c>
      <c r="F337" s="25">
        <f t="shared" si="10"/>
        <v>122</v>
      </c>
      <c r="G337" s="40" t="str">
        <f t="shared" si="11"/>
        <v>Sun</v>
      </c>
    </row>
    <row r="338" spans="1:7" ht="14.4" x14ac:dyDescent="0.3">
      <c r="A338" s="22">
        <v>44290</v>
      </c>
      <c r="B338" s="23" t="s">
        <v>23</v>
      </c>
      <c r="C338" s="23" t="s">
        <v>97</v>
      </c>
      <c r="D338" s="24">
        <v>2</v>
      </c>
      <c r="E338" s="17">
        <f>VLOOKUP(B338,'SKU Master'!$B$2:$E$31,4,0)</f>
        <v>96</v>
      </c>
      <c r="F338" s="25">
        <f t="shared" si="10"/>
        <v>192</v>
      </c>
      <c r="G338" s="40" t="str">
        <f t="shared" si="11"/>
        <v>Sun</v>
      </c>
    </row>
    <row r="339" spans="1:7" ht="14.4" x14ac:dyDescent="0.3">
      <c r="A339" s="22">
        <v>44290</v>
      </c>
      <c r="B339" s="23" t="s">
        <v>26</v>
      </c>
      <c r="C339" s="23" t="s">
        <v>97</v>
      </c>
      <c r="D339" s="24">
        <v>1</v>
      </c>
      <c r="E339" s="17">
        <f>VLOOKUP(B339,'SKU Master'!$B$2:$E$31,4,0)</f>
        <v>73</v>
      </c>
      <c r="F339" s="25">
        <f t="shared" si="10"/>
        <v>73</v>
      </c>
      <c r="G339" s="40" t="str">
        <f t="shared" si="11"/>
        <v>Sun</v>
      </c>
    </row>
    <row r="340" spans="1:7" ht="14.4" x14ac:dyDescent="0.3">
      <c r="A340" s="22">
        <v>44290</v>
      </c>
      <c r="B340" s="23" t="s">
        <v>29</v>
      </c>
      <c r="C340" s="23" t="s">
        <v>97</v>
      </c>
      <c r="D340" s="24">
        <v>1</v>
      </c>
      <c r="E340" s="17">
        <f>VLOOKUP(B340,'SKU Master'!$B$2:$E$31,4,0)</f>
        <v>225</v>
      </c>
      <c r="F340" s="25">
        <f t="shared" si="10"/>
        <v>225</v>
      </c>
      <c r="G340" s="40" t="str">
        <f t="shared" si="11"/>
        <v>Sun</v>
      </c>
    </row>
    <row r="341" spans="1:7" ht="14.4" x14ac:dyDescent="0.3">
      <c r="A341" s="22">
        <v>44290</v>
      </c>
      <c r="B341" s="23" t="s">
        <v>32</v>
      </c>
      <c r="C341" s="23" t="s">
        <v>97</v>
      </c>
      <c r="D341" s="24">
        <v>1</v>
      </c>
      <c r="E341" s="17">
        <f>VLOOKUP(B341,'SKU Master'!$B$2:$E$31,4,0)</f>
        <v>559</v>
      </c>
      <c r="F341" s="25">
        <f t="shared" si="10"/>
        <v>559</v>
      </c>
      <c r="G341" s="40" t="str">
        <f t="shared" si="11"/>
        <v>Sun</v>
      </c>
    </row>
    <row r="342" spans="1:7" ht="14.4" x14ac:dyDescent="0.3">
      <c r="A342" s="22">
        <v>44290</v>
      </c>
      <c r="B342" s="23" t="s">
        <v>36</v>
      </c>
      <c r="C342" s="23" t="s">
        <v>97</v>
      </c>
      <c r="D342" s="24">
        <v>24</v>
      </c>
      <c r="E342" s="17">
        <f>VLOOKUP(B342,'SKU Master'!$B$2:$E$31,4,0)</f>
        <v>3199</v>
      </c>
      <c r="F342" s="25">
        <f t="shared" si="10"/>
        <v>76776</v>
      </c>
      <c r="G342" s="40" t="str">
        <f t="shared" si="11"/>
        <v>Sun</v>
      </c>
    </row>
    <row r="343" spans="1:7" ht="14.4" x14ac:dyDescent="0.3">
      <c r="A343" s="22">
        <v>44290</v>
      </c>
      <c r="B343" s="23" t="s">
        <v>39</v>
      </c>
      <c r="C343" s="23" t="s">
        <v>97</v>
      </c>
      <c r="D343" s="24">
        <v>14</v>
      </c>
      <c r="E343" s="17">
        <f>VLOOKUP(B343,'SKU Master'!$B$2:$E$31,4,0)</f>
        <v>371</v>
      </c>
      <c r="F343" s="25">
        <f t="shared" si="10"/>
        <v>5194</v>
      </c>
      <c r="G343" s="40" t="str">
        <f t="shared" si="11"/>
        <v>Sun</v>
      </c>
    </row>
    <row r="344" spans="1:7" ht="14.4" x14ac:dyDescent="0.3">
      <c r="A344" s="22">
        <v>44290</v>
      </c>
      <c r="B344" s="23" t="s">
        <v>42</v>
      </c>
      <c r="C344" s="23" t="s">
        <v>97</v>
      </c>
      <c r="D344" s="24">
        <v>10</v>
      </c>
      <c r="E344" s="17">
        <f>VLOOKUP(B344,'SKU Master'!$B$2:$E$31,4,0)</f>
        <v>2300</v>
      </c>
      <c r="F344" s="25">
        <f t="shared" si="10"/>
        <v>23000</v>
      </c>
      <c r="G344" s="40" t="str">
        <f t="shared" si="11"/>
        <v>Sun</v>
      </c>
    </row>
    <row r="345" spans="1:7" ht="14.4" x14ac:dyDescent="0.3">
      <c r="A345" s="22">
        <v>44290</v>
      </c>
      <c r="B345" s="23" t="s">
        <v>45</v>
      </c>
      <c r="C345" s="23" t="s">
        <v>97</v>
      </c>
      <c r="D345" s="24">
        <v>6</v>
      </c>
      <c r="E345" s="17">
        <f>VLOOKUP(B345,'SKU Master'!$B$2:$E$31,4,0)</f>
        <v>499</v>
      </c>
      <c r="F345" s="25">
        <f t="shared" si="10"/>
        <v>2994</v>
      </c>
      <c r="G345" s="40" t="str">
        <f t="shared" si="11"/>
        <v>Sun</v>
      </c>
    </row>
    <row r="346" spans="1:7" ht="14.4" x14ac:dyDescent="0.3">
      <c r="A346" s="22">
        <v>44290</v>
      </c>
      <c r="B346" s="23" t="s">
        <v>48</v>
      </c>
      <c r="C346" s="23" t="s">
        <v>97</v>
      </c>
      <c r="D346" s="24">
        <v>5</v>
      </c>
      <c r="E346" s="17">
        <f>VLOOKUP(B346,'SKU Master'!$B$2:$E$31,4,0)</f>
        <v>299</v>
      </c>
      <c r="F346" s="25">
        <f t="shared" si="10"/>
        <v>1495</v>
      </c>
      <c r="G346" s="40" t="str">
        <f t="shared" si="11"/>
        <v>Sun</v>
      </c>
    </row>
    <row r="347" spans="1:7" ht="14.4" x14ac:dyDescent="0.3">
      <c r="A347" s="22">
        <v>44290</v>
      </c>
      <c r="B347" s="23" t="s">
        <v>51</v>
      </c>
      <c r="C347" s="23" t="s">
        <v>97</v>
      </c>
      <c r="D347" s="24">
        <v>3</v>
      </c>
      <c r="E347" s="17">
        <f>VLOOKUP(B347,'SKU Master'!$B$2:$E$31,4,0)</f>
        <v>901</v>
      </c>
      <c r="F347" s="25">
        <f t="shared" si="10"/>
        <v>2703</v>
      </c>
      <c r="G347" s="40" t="str">
        <f t="shared" si="11"/>
        <v>Sun</v>
      </c>
    </row>
    <row r="348" spans="1:7" ht="14.4" x14ac:dyDescent="0.3">
      <c r="A348" s="22">
        <v>44290</v>
      </c>
      <c r="B348" s="23" t="s">
        <v>54</v>
      </c>
      <c r="C348" s="23" t="s">
        <v>97</v>
      </c>
      <c r="D348" s="24">
        <v>3</v>
      </c>
      <c r="E348" s="17">
        <f>VLOOKUP(B348,'SKU Master'!$B$2:$E$31,4,0)</f>
        <v>929</v>
      </c>
      <c r="F348" s="25">
        <f t="shared" si="10"/>
        <v>2787</v>
      </c>
      <c r="G348" s="40" t="str">
        <f t="shared" si="11"/>
        <v>Sun</v>
      </c>
    </row>
    <row r="349" spans="1:7" ht="14.4" x14ac:dyDescent="0.3">
      <c r="A349" s="22">
        <v>44290</v>
      </c>
      <c r="B349" s="23" t="s">
        <v>57</v>
      </c>
      <c r="C349" s="23" t="s">
        <v>97</v>
      </c>
      <c r="D349" s="24">
        <v>3</v>
      </c>
      <c r="E349" s="17">
        <f>VLOOKUP(B349,'SKU Master'!$B$2:$E$31,4,0)</f>
        <v>1030</v>
      </c>
      <c r="F349" s="25">
        <f t="shared" si="10"/>
        <v>3090</v>
      </c>
      <c r="G349" s="40" t="str">
        <f t="shared" si="11"/>
        <v>Sun</v>
      </c>
    </row>
    <row r="350" spans="1:7" ht="14.4" x14ac:dyDescent="0.3">
      <c r="A350" s="22">
        <v>44290</v>
      </c>
      <c r="B350" s="23" t="s">
        <v>60</v>
      </c>
      <c r="C350" s="23" t="s">
        <v>97</v>
      </c>
      <c r="D350" s="24">
        <v>2</v>
      </c>
      <c r="E350" s="17">
        <f>VLOOKUP(B350,'SKU Master'!$B$2:$E$31,4,0)</f>
        <v>1222</v>
      </c>
      <c r="F350" s="25">
        <f t="shared" si="10"/>
        <v>2444</v>
      </c>
      <c r="G350" s="40" t="str">
        <f t="shared" si="11"/>
        <v>Sun</v>
      </c>
    </row>
    <row r="351" spans="1:7" ht="14.4" x14ac:dyDescent="0.3">
      <c r="A351" s="22">
        <v>44290</v>
      </c>
      <c r="B351" s="23" t="s">
        <v>63</v>
      </c>
      <c r="C351" s="23" t="s">
        <v>97</v>
      </c>
      <c r="D351" s="24">
        <v>0</v>
      </c>
      <c r="E351" s="17">
        <f>VLOOKUP(B351,'SKU Master'!$B$2:$E$31,4,0)</f>
        <v>649</v>
      </c>
      <c r="F351" s="25">
        <f t="shared" si="10"/>
        <v>0</v>
      </c>
      <c r="G351" s="40" t="str">
        <f t="shared" si="11"/>
        <v>Sun</v>
      </c>
    </row>
    <row r="352" spans="1:7" ht="14.4" x14ac:dyDescent="0.3">
      <c r="A352" s="22">
        <v>44290</v>
      </c>
      <c r="B352" s="23" t="s">
        <v>67</v>
      </c>
      <c r="C352" s="23" t="s">
        <v>97</v>
      </c>
      <c r="D352" s="24">
        <v>9</v>
      </c>
      <c r="E352" s="17">
        <f>VLOOKUP(B352,'SKU Master'!$B$2:$E$31,4,0)</f>
        <v>1800</v>
      </c>
      <c r="F352" s="25">
        <f t="shared" si="10"/>
        <v>16200</v>
      </c>
      <c r="G352" s="40" t="str">
        <f t="shared" si="11"/>
        <v>Sun</v>
      </c>
    </row>
    <row r="353" spans="1:7" ht="14.4" x14ac:dyDescent="0.3">
      <c r="A353" s="22">
        <v>44290</v>
      </c>
      <c r="B353" s="23" t="s">
        <v>70</v>
      </c>
      <c r="C353" s="23" t="s">
        <v>97</v>
      </c>
      <c r="D353" s="24">
        <v>9</v>
      </c>
      <c r="E353" s="17">
        <f>VLOOKUP(B353,'SKU Master'!$B$2:$E$31,4,0)</f>
        <v>345</v>
      </c>
      <c r="F353" s="25">
        <f t="shared" si="10"/>
        <v>3105</v>
      </c>
      <c r="G353" s="40" t="str">
        <f t="shared" si="11"/>
        <v>Sun</v>
      </c>
    </row>
    <row r="354" spans="1:7" ht="14.4" x14ac:dyDescent="0.3">
      <c r="A354" s="22">
        <v>44290</v>
      </c>
      <c r="B354" s="23" t="s">
        <v>73</v>
      </c>
      <c r="C354" s="23" t="s">
        <v>97</v>
      </c>
      <c r="D354" s="24">
        <v>2</v>
      </c>
      <c r="E354" s="17">
        <f>VLOOKUP(B354,'SKU Master'!$B$2:$E$31,4,0)</f>
        <v>350</v>
      </c>
      <c r="F354" s="25">
        <f t="shared" si="10"/>
        <v>700</v>
      </c>
      <c r="G354" s="40" t="str">
        <f t="shared" si="11"/>
        <v>Sun</v>
      </c>
    </row>
    <row r="355" spans="1:7" ht="14.4" x14ac:dyDescent="0.3">
      <c r="A355" s="22">
        <v>44290</v>
      </c>
      <c r="B355" s="23" t="s">
        <v>76</v>
      </c>
      <c r="C355" s="23" t="s">
        <v>97</v>
      </c>
      <c r="D355" s="24">
        <v>2</v>
      </c>
      <c r="E355" s="17">
        <f>VLOOKUP(B355,'SKU Master'!$B$2:$E$31,4,0)</f>
        <v>1575</v>
      </c>
      <c r="F355" s="25">
        <f t="shared" si="10"/>
        <v>3150</v>
      </c>
      <c r="G355" s="40" t="str">
        <f t="shared" si="11"/>
        <v>Sun</v>
      </c>
    </row>
    <row r="356" spans="1:7" ht="14.4" x14ac:dyDescent="0.3">
      <c r="A356" s="22">
        <v>44290</v>
      </c>
      <c r="B356" s="23" t="s">
        <v>78</v>
      </c>
      <c r="C356" s="23" t="s">
        <v>97</v>
      </c>
      <c r="D356" s="24">
        <v>6</v>
      </c>
      <c r="E356" s="17">
        <f>VLOOKUP(B356,'SKU Master'!$B$2:$E$31,4,0)</f>
        <v>1045</v>
      </c>
      <c r="F356" s="25">
        <f t="shared" si="10"/>
        <v>6270</v>
      </c>
      <c r="G356" s="40" t="str">
        <f t="shared" si="11"/>
        <v>Sun</v>
      </c>
    </row>
    <row r="357" spans="1:7" ht="14.4" x14ac:dyDescent="0.3">
      <c r="A357" s="22">
        <v>44290</v>
      </c>
      <c r="B357" s="23" t="s">
        <v>81</v>
      </c>
      <c r="C357" s="23" t="s">
        <v>97</v>
      </c>
      <c r="D357" s="24">
        <v>4</v>
      </c>
      <c r="E357" s="17">
        <f>VLOOKUP(B357,'SKU Master'!$B$2:$E$31,4,0)</f>
        <v>1186</v>
      </c>
      <c r="F357" s="25">
        <f t="shared" si="10"/>
        <v>4744</v>
      </c>
      <c r="G357" s="40" t="str">
        <f t="shared" si="11"/>
        <v>Sun</v>
      </c>
    </row>
    <row r="358" spans="1:7" ht="14.4" x14ac:dyDescent="0.3">
      <c r="A358" s="22">
        <v>44290</v>
      </c>
      <c r="B358" s="23" t="s">
        <v>84</v>
      </c>
      <c r="C358" s="23" t="s">
        <v>97</v>
      </c>
      <c r="D358" s="24">
        <v>3</v>
      </c>
      <c r="E358" s="17">
        <f>VLOOKUP(B358,'SKU Master'!$B$2:$E$31,4,0)</f>
        <v>374</v>
      </c>
      <c r="F358" s="25">
        <f t="shared" si="10"/>
        <v>1122</v>
      </c>
      <c r="G358" s="40" t="str">
        <f t="shared" si="11"/>
        <v>Sun</v>
      </c>
    </row>
    <row r="359" spans="1:7" ht="14.4" x14ac:dyDescent="0.3">
      <c r="A359" s="22">
        <v>44290</v>
      </c>
      <c r="B359" s="23" t="s">
        <v>87</v>
      </c>
      <c r="C359" s="23" t="s">
        <v>97</v>
      </c>
      <c r="D359" s="24">
        <v>1</v>
      </c>
      <c r="E359" s="17">
        <f>VLOOKUP(B359,'SKU Master'!$B$2:$E$31,4,0)</f>
        <v>1500</v>
      </c>
      <c r="F359" s="25">
        <f t="shared" si="10"/>
        <v>1500</v>
      </c>
      <c r="G359" s="40" t="str">
        <f t="shared" si="11"/>
        <v>Sun</v>
      </c>
    </row>
    <row r="360" spans="1:7" ht="14.4" x14ac:dyDescent="0.3">
      <c r="A360" s="22">
        <v>44290</v>
      </c>
      <c r="B360" s="23" t="s">
        <v>90</v>
      </c>
      <c r="C360" s="23" t="s">
        <v>97</v>
      </c>
      <c r="D360" s="24">
        <v>0</v>
      </c>
      <c r="E360" s="17">
        <f>VLOOKUP(B360,'SKU Master'!$B$2:$E$31,4,0)</f>
        <v>1800</v>
      </c>
      <c r="F360" s="25">
        <f t="shared" si="10"/>
        <v>0</v>
      </c>
      <c r="G360" s="40" t="str">
        <f t="shared" si="11"/>
        <v>Sun</v>
      </c>
    </row>
    <row r="361" spans="1:7" ht="14.4" x14ac:dyDescent="0.3">
      <c r="A361" s="22">
        <v>44290</v>
      </c>
      <c r="B361" s="23" t="s">
        <v>93</v>
      </c>
      <c r="C361" s="23" t="s">
        <v>97</v>
      </c>
      <c r="D361" s="24">
        <v>2</v>
      </c>
      <c r="E361" s="17">
        <f>VLOOKUP(B361,'SKU Master'!$B$2:$E$31,4,0)</f>
        <v>1477</v>
      </c>
      <c r="F361" s="25">
        <f t="shared" si="10"/>
        <v>2954</v>
      </c>
      <c r="G361" s="40" t="str">
        <f t="shared" si="11"/>
        <v>Sun</v>
      </c>
    </row>
    <row r="362" spans="1:7" ht="14.4" x14ac:dyDescent="0.3">
      <c r="A362" s="22">
        <v>44291</v>
      </c>
      <c r="B362" s="23" t="s">
        <v>6</v>
      </c>
      <c r="C362" s="23" t="s">
        <v>96</v>
      </c>
      <c r="D362" s="24">
        <v>36</v>
      </c>
      <c r="E362" s="17">
        <f>VLOOKUP(B362,'SKU Master'!$B$2:$E$31,4,0)</f>
        <v>210</v>
      </c>
      <c r="F362" s="25">
        <f t="shared" si="10"/>
        <v>7560</v>
      </c>
      <c r="G362" s="40" t="str">
        <f t="shared" si="11"/>
        <v>Mon</v>
      </c>
    </row>
    <row r="363" spans="1:7" ht="14.4" x14ac:dyDescent="0.3">
      <c r="A363" s="22">
        <v>44291</v>
      </c>
      <c r="B363" s="23" t="s">
        <v>9</v>
      </c>
      <c r="C363" s="23" t="s">
        <v>96</v>
      </c>
      <c r="D363" s="24">
        <v>19</v>
      </c>
      <c r="E363" s="17">
        <f>VLOOKUP(B363,'SKU Master'!$B$2:$E$31,4,0)</f>
        <v>199</v>
      </c>
      <c r="F363" s="25">
        <f t="shared" si="10"/>
        <v>3781</v>
      </c>
      <c r="G363" s="40" t="str">
        <f t="shared" si="11"/>
        <v>Mon</v>
      </c>
    </row>
    <row r="364" spans="1:7" ht="14.4" x14ac:dyDescent="0.3">
      <c r="A364" s="22">
        <v>44291</v>
      </c>
      <c r="B364" s="23" t="s">
        <v>12</v>
      </c>
      <c r="C364" s="23" t="s">
        <v>96</v>
      </c>
      <c r="D364" s="24">
        <v>12</v>
      </c>
      <c r="E364" s="17">
        <f>VLOOKUP(B364,'SKU Master'!$B$2:$E$31,4,0)</f>
        <v>322</v>
      </c>
      <c r="F364" s="25">
        <f t="shared" si="10"/>
        <v>3864</v>
      </c>
      <c r="G364" s="40" t="str">
        <f t="shared" si="11"/>
        <v>Mon</v>
      </c>
    </row>
    <row r="365" spans="1:7" ht="14.4" x14ac:dyDescent="0.3">
      <c r="A365" s="22">
        <v>44291</v>
      </c>
      <c r="B365" s="23" t="s">
        <v>15</v>
      </c>
      <c r="C365" s="23" t="s">
        <v>96</v>
      </c>
      <c r="D365" s="24">
        <v>10</v>
      </c>
      <c r="E365" s="17">
        <f>VLOOKUP(B365,'SKU Master'!$B$2:$E$31,4,0)</f>
        <v>161</v>
      </c>
      <c r="F365" s="25">
        <f t="shared" si="10"/>
        <v>1610</v>
      </c>
      <c r="G365" s="40" t="str">
        <f t="shared" si="11"/>
        <v>Mon</v>
      </c>
    </row>
    <row r="366" spans="1:7" ht="14.4" x14ac:dyDescent="0.3">
      <c r="A366" s="22">
        <v>44291</v>
      </c>
      <c r="B366" s="23" t="s">
        <v>17</v>
      </c>
      <c r="C366" s="23" t="s">
        <v>96</v>
      </c>
      <c r="D366" s="24">
        <v>7</v>
      </c>
      <c r="E366" s="17">
        <f>VLOOKUP(B366,'SKU Master'!$B$2:$E$31,4,0)</f>
        <v>109</v>
      </c>
      <c r="F366" s="25">
        <f t="shared" si="10"/>
        <v>763</v>
      </c>
      <c r="G366" s="40" t="str">
        <f t="shared" si="11"/>
        <v>Mon</v>
      </c>
    </row>
    <row r="367" spans="1:7" ht="14.4" x14ac:dyDescent="0.3">
      <c r="A367" s="22">
        <v>44291</v>
      </c>
      <c r="B367" s="23" t="s">
        <v>20</v>
      </c>
      <c r="C367" s="23" t="s">
        <v>96</v>
      </c>
      <c r="D367" s="24">
        <v>4</v>
      </c>
      <c r="E367" s="17">
        <f>VLOOKUP(B367,'SKU Master'!$B$2:$E$31,4,0)</f>
        <v>122</v>
      </c>
      <c r="F367" s="25">
        <f t="shared" si="10"/>
        <v>488</v>
      </c>
      <c r="G367" s="40" t="str">
        <f t="shared" si="11"/>
        <v>Mon</v>
      </c>
    </row>
    <row r="368" spans="1:7" ht="14.4" x14ac:dyDescent="0.3">
      <c r="A368" s="22">
        <v>44291</v>
      </c>
      <c r="B368" s="23" t="s">
        <v>23</v>
      </c>
      <c r="C368" s="23" t="s">
        <v>96</v>
      </c>
      <c r="D368" s="24">
        <v>4</v>
      </c>
      <c r="E368" s="17">
        <f>VLOOKUP(B368,'SKU Master'!$B$2:$E$31,4,0)</f>
        <v>96</v>
      </c>
      <c r="F368" s="25">
        <f t="shared" si="10"/>
        <v>384</v>
      </c>
      <c r="G368" s="40" t="str">
        <f t="shared" si="11"/>
        <v>Mon</v>
      </c>
    </row>
    <row r="369" spans="1:7" ht="14.4" x14ac:dyDescent="0.3">
      <c r="A369" s="22">
        <v>44291</v>
      </c>
      <c r="B369" s="23" t="s">
        <v>26</v>
      </c>
      <c r="C369" s="23" t="s">
        <v>96</v>
      </c>
      <c r="D369" s="24">
        <v>2</v>
      </c>
      <c r="E369" s="17">
        <f>VLOOKUP(B369,'SKU Master'!$B$2:$E$31,4,0)</f>
        <v>73</v>
      </c>
      <c r="F369" s="25">
        <f t="shared" si="10"/>
        <v>146</v>
      </c>
      <c r="G369" s="40" t="str">
        <f t="shared" si="11"/>
        <v>Mon</v>
      </c>
    </row>
    <row r="370" spans="1:7" ht="14.4" x14ac:dyDescent="0.3">
      <c r="A370" s="22">
        <v>44291</v>
      </c>
      <c r="B370" s="23" t="s">
        <v>29</v>
      </c>
      <c r="C370" s="23" t="s">
        <v>96</v>
      </c>
      <c r="D370" s="24">
        <v>0</v>
      </c>
      <c r="E370" s="17">
        <f>VLOOKUP(B370,'SKU Master'!$B$2:$E$31,4,0)</f>
        <v>225</v>
      </c>
      <c r="F370" s="25">
        <f t="shared" si="10"/>
        <v>0</v>
      </c>
      <c r="G370" s="40" t="str">
        <f t="shared" si="11"/>
        <v>Mon</v>
      </c>
    </row>
    <row r="371" spans="1:7" ht="14.4" x14ac:dyDescent="0.3">
      <c r="A371" s="22">
        <v>44291</v>
      </c>
      <c r="B371" s="23" t="s">
        <v>32</v>
      </c>
      <c r="C371" s="23" t="s">
        <v>96</v>
      </c>
      <c r="D371" s="24">
        <v>1</v>
      </c>
      <c r="E371" s="17">
        <f>VLOOKUP(B371,'SKU Master'!$B$2:$E$31,4,0)</f>
        <v>559</v>
      </c>
      <c r="F371" s="25">
        <f t="shared" si="10"/>
        <v>559</v>
      </c>
      <c r="G371" s="40" t="str">
        <f t="shared" si="11"/>
        <v>Mon</v>
      </c>
    </row>
    <row r="372" spans="1:7" ht="14.4" x14ac:dyDescent="0.3">
      <c r="A372" s="22">
        <v>44291</v>
      </c>
      <c r="B372" s="23" t="s">
        <v>36</v>
      </c>
      <c r="C372" s="23" t="s">
        <v>96</v>
      </c>
      <c r="D372" s="24">
        <v>30</v>
      </c>
      <c r="E372" s="17">
        <f>VLOOKUP(B372,'SKU Master'!$B$2:$E$31,4,0)</f>
        <v>3199</v>
      </c>
      <c r="F372" s="25">
        <f t="shared" si="10"/>
        <v>95970</v>
      </c>
      <c r="G372" s="40" t="str">
        <f t="shared" si="11"/>
        <v>Mon</v>
      </c>
    </row>
    <row r="373" spans="1:7" ht="14.4" x14ac:dyDescent="0.3">
      <c r="A373" s="22">
        <v>44291</v>
      </c>
      <c r="B373" s="23" t="s">
        <v>39</v>
      </c>
      <c r="C373" s="23" t="s">
        <v>96</v>
      </c>
      <c r="D373" s="24">
        <v>15</v>
      </c>
      <c r="E373" s="17">
        <f>VLOOKUP(B373,'SKU Master'!$B$2:$E$31,4,0)</f>
        <v>371</v>
      </c>
      <c r="F373" s="25">
        <f t="shared" si="10"/>
        <v>5565</v>
      </c>
      <c r="G373" s="40" t="str">
        <f t="shared" si="11"/>
        <v>Mon</v>
      </c>
    </row>
    <row r="374" spans="1:7" ht="14.4" x14ac:dyDescent="0.3">
      <c r="A374" s="22">
        <v>44291</v>
      </c>
      <c r="B374" s="23" t="s">
        <v>42</v>
      </c>
      <c r="C374" s="23" t="s">
        <v>96</v>
      </c>
      <c r="D374" s="24">
        <v>12</v>
      </c>
      <c r="E374" s="17">
        <f>VLOOKUP(B374,'SKU Master'!$B$2:$E$31,4,0)</f>
        <v>2300</v>
      </c>
      <c r="F374" s="25">
        <f t="shared" si="10"/>
        <v>27600</v>
      </c>
      <c r="G374" s="40" t="str">
        <f t="shared" si="11"/>
        <v>Mon</v>
      </c>
    </row>
    <row r="375" spans="1:7" ht="14.4" x14ac:dyDescent="0.3">
      <c r="A375" s="22">
        <v>44291</v>
      </c>
      <c r="B375" s="23" t="s">
        <v>45</v>
      </c>
      <c r="C375" s="23" t="s">
        <v>96</v>
      </c>
      <c r="D375" s="24">
        <v>12</v>
      </c>
      <c r="E375" s="17">
        <f>VLOOKUP(B375,'SKU Master'!$B$2:$E$31,4,0)</f>
        <v>499</v>
      </c>
      <c r="F375" s="25">
        <f t="shared" si="10"/>
        <v>5988</v>
      </c>
      <c r="G375" s="40" t="str">
        <f t="shared" si="11"/>
        <v>Mon</v>
      </c>
    </row>
    <row r="376" spans="1:7" ht="14.4" x14ac:dyDescent="0.3">
      <c r="A376" s="22">
        <v>44291</v>
      </c>
      <c r="B376" s="23" t="s">
        <v>48</v>
      </c>
      <c r="C376" s="23" t="s">
        <v>96</v>
      </c>
      <c r="D376" s="24">
        <v>7</v>
      </c>
      <c r="E376" s="17">
        <f>VLOOKUP(B376,'SKU Master'!$B$2:$E$31,4,0)</f>
        <v>299</v>
      </c>
      <c r="F376" s="25">
        <f t="shared" si="10"/>
        <v>2093</v>
      </c>
      <c r="G376" s="40" t="str">
        <f t="shared" si="11"/>
        <v>Mon</v>
      </c>
    </row>
    <row r="377" spans="1:7" ht="14.4" x14ac:dyDescent="0.3">
      <c r="A377" s="22">
        <v>44291</v>
      </c>
      <c r="B377" s="23" t="s">
        <v>51</v>
      </c>
      <c r="C377" s="23" t="s">
        <v>96</v>
      </c>
      <c r="D377" s="24">
        <v>3</v>
      </c>
      <c r="E377" s="17">
        <f>VLOOKUP(B377,'SKU Master'!$B$2:$E$31,4,0)</f>
        <v>901</v>
      </c>
      <c r="F377" s="25">
        <f t="shared" si="10"/>
        <v>2703</v>
      </c>
      <c r="G377" s="40" t="str">
        <f t="shared" si="11"/>
        <v>Mon</v>
      </c>
    </row>
    <row r="378" spans="1:7" ht="14.4" x14ac:dyDescent="0.3">
      <c r="A378" s="22">
        <v>44291</v>
      </c>
      <c r="B378" s="23" t="s">
        <v>54</v>
      </c>
      <c r="C378" s="23" t="s">
        <v>96</v>
      </c>
      <c r="D378" s="24">
        <v>5</v>
      </c>
      <c r="E378" s="17">
        <f>VLOOKUP(B378,'SKU Master'!$B$2:$E$31,4,0)</f>
        <v>929</v>
      </c>
      <c r="F378" s="25">
        <f t="shared" si="10"/>
        <v>4645</v>
      </c>
      <c r="G378" s="40" t="str">
        <f t="shared" si="11"/>
        <v>Mon</v>
      </c>
    </row>
    <row r="379" spans="1:7" ht="14.4" x14ac:dyDescent="0.3">
      <c r="A379" s="22">
        <v>44291</v>
      </c>
      <c r="B379" s="23" t="s">
        <v>57</v>
      </c>
      <c r="C379" s="23" t="s">
        <v>96</v>
      </c>
      <c r="D379" s="24">
        <v>1</v>
      </c>
      <c r="E379" s="17">
        <f>VLOOKUP(B379,'SKU Master'!$B$2:$E$31,4,0)</f>
        <v>1030</v>
      </c>
      <c r="F379" s="25">
        <f t="shared" si="10"/>
        <v>1030</v>
      </c>
      <c r="G379" s="40" t="str">
        <f t="shared" si="11"/>
        <v>Mon</v>
      </c>
    </row>
    <row r="380" spans="1:7" ht="14.4" x14ac:dyDescent="0.3">
      <c r="A380" s="22">
        <v>44291</v>
      </c>
      <c r="B380" s="23" t="s">
        <v>60</v>
      </c>
      <c r="C380" s="23" t="s">
        <v>96</v>
      </c>
      <c r="D380" s="24">
        <v>0</v>
      </c>
      <c r="E380" s="17">
        <f>VLOOKUP(B380,'SKU Master'!$B$2:$E$31,4,0)</f>
        <v>1222</v>
      </c>
      <c r="F380" s="25">
        <f t="shared" si="10"/>
        <v>0</v>
      </c>
      <c r="G380" s="40" t="str">
        <f t="shared" si="11"/>
        <v>Mon</v>
      </c>
    </row>
    <row r="381" spans="1:7" ht="14.4" x14ac:dyDescent="0.3">
      <c r="A381" s="22">
        <v>44291</v>
      </c>
      <c r="B381" s="23" t="s">
        <v>63</v>
      </c>
      <c r="C381" s="23" t="s">
        <v>96</v>
      </c>
      <c r="D381" s="24">
        <v>2</v>
      </c>
      <c r="E381" s="17">
        <f>VLOOKUP(B381,'SKU Master'!$B$2:$E$31,4,0)</f>
        <v>649</v>
      </c>
      <c r="F381" s="25">
        <f t="shared" si="10"/>
        <v>1298</v>
      </c>
      <c r="G381" s="40" t="str">
        <f t="shared" si="11"/>
        <v>Mon</v>
      </c>
    </row>
    <row r="382" spans="1:7" ht="14.4" x14ac:dyDescent="0.3">
      <c r="A382" s="22">
        <v>44291</v>
      </c>
      <c r="B382" s="23" t="s">
        <v>67</v>
      </c>
      <c r="C382" s="23" t="s">
        <v>96</v>
      </c>
      <c r="D382" s="24">
        <v>24</v>
      </c>
      <c r="E382" s="17">
        <f>VLOOKUP(B382,'SKU Master'!$B$2:$E$31,4,0)</f>
        <v>1800</v>
      </c>
      <c r="F382" s="25">
        <f t="shared" si="10"/>
        <v>43200</v>
      </c>
      <c r="G382" s="40" t="str">
        <f t="shared" si="11"/>
        <v>Mon</v>
      </c>
    </row>
    <row r="383" spans="1:7" ht="14.4" x14ac:dyDescent="0.3">
      <c r="A383" s="22">
        <v>44291</v>
      </c>
      <c r="B383" s="23" t="s">
        <v>70</v>
      </c>
      <c r="C383" s="23" t="s">
        <v>96</v>
      </c>
      <c r="D383" s="24">
        <v>19</v>
      </c>
      <c r="E383" s="17">
        <f>VLOOKUP(B383,'SKU Master'!$B$2:$E$31,4,0)</f>
        <v>345</v>
      </c>
      <c r="F383" s="25">
        <f t="shared" si="10"/>
        <v>6555</v>
      </c>
      <c r="G383" s="40" t="str">
        <f t="shared" si="11"/>
        <v>Mon</v>
      </c>
    </row>
    <row r="384" spans="1:7" ht="14.4" x14ac:dyDescent="0.3">
      <c r="A384" s="22">
        <v>44291</v>
      </c>
      <c r="B384" s="23" t="s">
        <v>73</v>
      </c>
      <c r="C384" s="23" t="s">
        <v>96</v>
      </c>
      <c r="D384" s="24">
        <v>12</v>
      </c>
      <c r="E384" s="17">
        <f>VLOOKUP(B384,'SKU Master'!$B$2:$E$31,4,0)</f>
        <v>350</v>
      </c>
      <c r="F384" s="25">
        <f t="shared" si="10"/>
        <v>4200</v>
      </c>
      <c r="G384" s="40" t="str">
        <f t="shared" si="11"/>
        <v>Mon</v>
      </c>
    </row>
    <row r="385" spans="1:7" ht="14.4" x14ac:dyDescent="0.3">
      <c r="A385" s="22">
        <v>44291</v>
      </c>
      <c r="B385" s="23" t="s">
        <v>76</v>
      </c>
      <c r="C385" s="23" t="s">
        <v>96</v>
      </c>
      <c r="D385" s="24">
        <v>7</v>
      </c>
      <c r="E385" s="17">
        <f>VLOOKUP(B385,'SKU Master'!$B$2:$E$31,4,0)</f>
        <v>1575</v>
      </c>
      <c r="F385" s="25">
        <f t="shared" si="10"/>
        <v>11025</v>
      </c>
      <c r="G385" s="40" t="str">
        <f t="shared" si="11"/>
        <v>Mon</v>
      </c>
    </row>
    <row r="386" spans="1:7" ht="14.4" x14ac:dyDescent="0.3">
      <c r="A386" s="22">
        <v>44291</v>
      </c>
      <c r="B386" s="23" t="s">
        <v>78</v>
      </c>
      <c r="C386" s="23" t="s">
        <v>96</v>
      </c>
      <c r="D386" s="24">
        <v>4</v>
      </c>
      <c r="E386" s="17">
        <f>VLOOKUP(B386,'SKU Master'!$B$2:$E$31,4,0)</f>
        <v>1045</v>
      </c>
      <c r="F386" s="25">
        <f t="shared" si="10"/>
        <v>4180</v>
      </c>
      <c r="G386" s="40" t="str">
        <f t="shared" si="11"/>
        <v>Mon</v>
      </c>
    </row>
    <row r="387" spans="1:7" ht="14.4" x14ac:dyDescent="0.3">
      <c r="A387" s="22">
        <v>44291</v>
      </c>
      <c r="B387" s="23" t="s">
        <v>81</v>
      </c>
      <c r="C387" s="23" t="s">
        <v>96</v>
      </c>
      <c r="D387" s="24">
        <v>2</v>
      </c>
      <c r="E387" s="17">
        <f>VLOOKUP(B387,'SKU Master'!$B$2:$E$31,4,0)</f>
        <v>1186</v>
      </c>
      <c r="F387" s="25">
        <f t="shared" ref="F387:F450" si="12">D387*E387</f>
        <v>2372</v>
      </c>
      <c r="G387" s="40" t="str">
        <f t="shared" si="11"/>
        <v>Mon</v>
      </c>
    </row>
    <row r="388" spans="1:7" ht="14.4" x14ac:dyDescent="0.3">
      <c r="A388" s="22">
        <v>44291</v>
      </c>
      <c r="B388" s="23" t="s">
        <v>84</v>
      </c>
      <c r="C388" s="23" t="s">
        <v>96</v>
      </c>
      <c r="D388" s="24">
        <v>2</v>
      </c>
      <c r="E388" s="17">
        <f>VLOOKUP(B388,'SKU Master'!$B$2:$E$31,4,0)</f>
        <v>374</v>
      </c>
      <c r="F388" s="25">
        <f t="shared" si="12"/>
        <v>748</v>
      </c>
      <c r="G388" s="40" t="str">
        <f t="shared" ref="G388:G451" si="13">CHOOSE(WEEKDAY(A388),"Sun","Mon","Tue","Wed","Thu","Fri","Sat")</f>
        <v>Mon</v>
      </c>
    </row>
    <row r="389" spans="1:7" ht="14.4" x14ac:dyDescent="0.3">
      <c r="A389" s="22">
        <v>44291</v>
      </c>
      <c r="B389" s="23" t="s">
        <v>87</v>
      </c>
      <c r="C389" s="23" t="s">
        <v>96</v>
      </c>
      <c r="D389" s="24">
        <v>1</v>
      </c>
      <c r="E389" s="17">
        <f>VLOOKUP(B389,'SKU Master'!$B$2:$E$31,4,0)</f>
        <v>1500</v>
      </c>
      <c r="F389" s="25">
        <f t="shared" si="12"/>
        <v>1500</v>
      </c>
      <c r="G389" s="40" t="str">
        <f t="shared" si="13"/>
        <v>Mon</v>
      </c>
    </row>
    <row r="390" spans="1:7" ht="14.4" x14ac:dyDescent="0.3">
      <c r="A390" s="22">
        <v>44291</v>
      </c>
      <c r="B390" s="23" t="s">
        <v>90</v>
      </c>
      <c r="C390" s="23" t="s">
        <v>96</v>
      </c>
      <c r="D390" s="24">
        <v>0</v>
      </c>
      <c r="E390" s="17">
        <f>VLOOKUP(B390,'SKU Master'!$B$2:$E$31,4,0)</f>
        <v>1800</v>
      </c>
      <c r="F390" s="25">
        <f t="shared" si="12"/>
        <v>0</v>
      </c>
      <c r="G390" s="40" t="str">
        <f t="shared" si="13"/>
        <v>Mon</v>
      </c>
    </row>
    <row r="391" spans="1:7" ht="14.4" x14ac:dyDescent="0.3">
      <c r="A391" s="22">
        <v>44291</v>
      </c>
      <c r="B391" s="23" t="s">
        <v>93</v>
      </c>
      <c r="C391" s="23" t="s">
        <v>96</v>
      </c>
      <c r="D391" s="24">
        <v>0</v>
      </c>
      <c r="E391" s="17">
        <f>VLOOKUP(B391,'SKU Master'!$B$2:$E$31,4,0)</f>
        <v>1477</v>
      </c>
      <c r="F391" s="25">
        <f t="shared" si="12"/>
        <v>0</v>
      </c>
      <c r="G391" s="40" t="str">
        <f t="shared" si="13"/>
        <v>Mon</v>
      </c>
    </row>
    <row r="392" spans="1:7" ht="14.4" x14ac:dyDescent="0.3">
      <c r="A392" s="22">
        <v>44291</v>
      </c>
      <c r="B392" s="23" t="s">
        <v>6</v>
      </c>
      <c r="C392" s="23" t="s">
        <v>98</v>
      </c>
      <c r="D392" s="24">
        <v>24</v>
      </c>
      <c r="E392" s="17">
        <f>VLOOKUP(B392,'SKU Master'!$B$2:$E$31,4,0)</f>
        <v>210</v>
      </c>
      <c r="F392" s="25">
        <f t="shared" si="12"/>
        <v>5040</v>
      </c>
      <c r="G392" s="40" t="str">
        <f t="shared" si="13"/>
        <v>Mon</v>
      </c>
    </row>
    <row r="393" spans="1:7" ht="14.4" x14ac:dyDescent="0.3">
      <c r="A393" s="22">
        <v>44291</v>
      </c>
      <c r="B393" s="23" t="s">
        <v>9</v>
      </c>
      <c r="C393" s="23" t="s">
        <v>98</v>
      </c>
      <c r="D393" s="24">
        <v>11</v>
      </c>
      <c r="E393" s="17">
        <f>VLOOKUP(B393,'SKU Master'!$B$2:$E$31,4,0)</f>
        <v>199</v>
      </c>
      <c r="F393" s="25">
        <f t="shared" si="12"/>
        <v>2189</v>
      </c>
      <c r="G393" s="40" t="str">
        <f t="shared" si="13"/>
        <v>Mon</v>
      </c>
    </row>
    <row r="394" spans="1:7" ht="14.4" x14ac:dyDescent="0.3">
      <c r="A394" s="22">
        <v>44291</v>
      </c>
      <c r="B394" s="23" t="s">
        <v>12</v>
      </c>
      <c r="C394" s="23" t="s">
        <v>98</v>
      </c>
      <c r="D394" s="24">
        <v>8</v>
      </c>
      <c r="E394" s="17">
        <f>VLOOKUP(B394,'SKU Master'!$B$2:$E$31,4,0)</f>
        <v>322</v>
      </c>
      <c r="F394" s="25">
        <f t="shared" si="12"/>
        <v>2576</v>
      </c>
      <c r="G394" s="40" t="str">
        <f t="shared" si="13"/>
        <v>Mon</v>
      </c>
    </row>
    <row r="395" spans="1:7" ht="14.4" x14ac:dyDescent="0.3">
      <c r="A395" s="22">
        <v>44291</v>
      </c>
      <c r="B395" s="23" t="s">
        <v>15</v>
      </c>
      <c r="C395" s="23" t="s">
        <v>98</v>
      </c>
      <c r="D395" s="24">
        <v>8</v>
      </c>
      <c r="E395" s="17">
        <f>VLOOKUP(B395,'SKU Master'!$B$2:$E$31,4,0)</f>
        <v>161</v>
      </c>
      <c r="F395" s="25">
        <f t="shared" si="12"/>
        <v>1288</v>
      </c>
      <c r="G395" s="40" t="str">
        <f t="shared" si="13"/>
        <v>Mon</v>
      </c>
    </row>
    <row r="396" spans="1:7" ht="14.4" x14ac:dyDescent="0.3">
      <c r="A396" s="22">
        <v>44291</v>
      </c>
      <c r="B396" s="23" t="s">
        <v>17</v>
      </c>
      <c r="C396" s="23" t="s">
        <v>98</v>
      </c>
      <c r="D396" s="24">
        <v>4</v>
      </c>
      <c r="E396" s="17">
        <f>VLOOKUP(B396,'SKU Master'!$B$2:$E$31,4,0)</f>
        <v>109</v>
      </c>
      <c r="F396" s="25">
        <f t="shared" si="12"/>
        <v>436</v>
      </c>
      <c r="G396" s="40" t="str">
        <f t="shared" si="13"/>
        <v>Mon</v>
      </c>
    </row>
    <row r="397" spans="1:7" ht="14.4" x14ac:dyDescent="0.3">
      <c r="A397" s="22">
        <v>44291</v>
      </c>
      <c r="B397" s="23" t="s">
        <v>20</v>
      </c>
      <c r="C397" s="23" t="s">
        <v>98</v>
      </c>
      <c r="D397" s="24">
        <v>2</v>
      </c>
      <c r="E397" s="17">
        <f>VLOOKUP(B397,'SKU Master'!$B$2:$E$31,4,0)</f>
        <v>122</v>
      </c>
      <c r="F397" s="25">
        <f t="shared" si="12"/>
        <v>244</v>
      </c>
      <c r="G397" s="40" t="str">
        <f t="shared" si="13"/>
        <v>Mon</v>
      </c>
    </row>
    <row r="398" spans="1:7" ht="14.4" x14ac:dyDescent="0.3">
      <c r="A398" s="22">
        <v>44291</v>
      </c>
      <c r="B398" s="23" t="s">
        <v>23</v>
      </c>
      <c r="C398" s="23" t="s">
        <v>98</v>
      </c>
      <c r="D398" s="24">
        <v>3</v>
      </c>
      <c r="E398" s="17">
        <f>VLOOKUP(B398,'SKU Master'!$B$2:$E$31,4,0)</f>
        <v>96</v>
      </c>
      <c r="F398" s="25">
        <f t="shared" si="12"/>
        <v>288</v>
      </c>
      <c r="G398" s="40" t="str">
        <f t="shared" si="13"/>
        <v>Mon</v>
      </c>
    </row>
    <row r="399" spans="1:7" ht="14.4" x14ac:dyDescent="0.3">
      <c r="A399" s="22">
        <v>44291</v>
      </c>
      <c r="B399" s="23" t="s">
        <v>26</v>
      </c>
      <c r="C399" s="23" t="s">
        <v>98</v>
      </c>
      <c r="D399" s="24">
        <v>1</v>
      </c>
      <c r="E399" s="17">
        <f>VLOOKUP(B399,'SKU Master'!$B$2:$E$31,4,0)</f>
        <v>73</v>
      </c>
      <c r="F399" s="25">
        <f t="shared" si="12"/>
        <v>73</v>
      </c>
      <c r="G399" s="40" t="str">
        <f t="shared" si="13"/>
        <v>Mon</v>
      </c>
    </row>
    <row r="400" spans="1:7" ht="14.4" x14ac:dyDescent="0.3">
      <c r="A400" s="22">
        <v>44291</v>
      </c>
      <c r="B400" s="23" t="s">
        <v>29</v>
      </c>
      <c r="C400" s="23" t="s">
        <v>98</v>
      </c>
      <c r="D400" s="24">
        <v>0</v>
      </c>
      <c r="E400" s="17">
        <f>VLOOKUP(B400,'SKU Master'!$B$2:$E$31,4,0)</f>
        <v>225</v>
      </c>
      <c r="F400" s="25">
        <f t="shared" si="12"/>
        <v>0</v>
      </c>
      <c r="G400" s="40" t="str">
        <f t="shared" si="13"/>
        <v>Mon</v>
      </c>
    </row>
    <row r="401" spans="1:7" ht="14.4" x14ac:dyDescent="0.3">
      <c r="A401" s="22">
        <v>44291</v>
      </c>
      <c r="B401" s="23" t="s">
        <v>32</v>
      </c>
      <c r="C401" s="23" t="s">
        <v>98</v>
      </c>
      <c r="D401" s="24">
        <v>1</v>
      </c>
      <c r="E401" s="17">
        <f>VLOOKUP(B401,'SKU Master'!$B$2:$E$31,4,0)</f>
        <v>559</v>
      </c>
      <c r="F401" s="25">
        <f t="shared" si="12"/>
        <v>559</v>
      </c>
      <c r="G401" s="40" t="str">
        <f t="shared" si="13"/>
        <v>Mon</v>
      </c>
    </row>
    <row r="402" spans="1:7" ht="14.4" x14ac:dyDescent="0.3">
      <c r="A402" s="22">
        <v>44291</v>
      </c>
      <c r="B402" s="23" t="s">
        <v>36</v>
      </c>
      <c r="C402" s="23" t="s">
        <v>98</v>
      </c>
      <c r="D402" s="24">
        <v>21</v>
      </c>
      <c r="E402" s="17">
        <f>VLOOKUP(B402,'SKU Master'!$B$2:$E$31,4,0)</f>
        <v>3199</v>
      </c>
      <c r="F402" s="25">
        <f t="shared" si="12"/>
        <v>67179</v>
      </c>
      <c r="G402" s="40" t="str">
        <f t="shared" si="13"/>
        <v>Mon</v>
      </c>
    </row>
    <row r="403" spans="1:7" ht="14.4" x14ac:dyDescent="0.3">
      <c r="A403" s="22">
        <v>44291</v>
      </c>
      <c r="B403" s="23" t="s">
        <v>39</v>
      </c>
      <c r="C403" s="23" t="s">
        <v>98</v>
      </c>
      <c r="D403" s="24">
        <v>7</v>
      </c>
      <c r="E403" s="17">
        <f>VLOOKUP(B403,'SKU Master'!$B$2:$E$31,4,0)</f>
        <v>371</v>
      </c>
      <c r="F403" s="25">
        <f t="shared" si="12"/>
        <v>2597</v>
      </c>
      <c r="G403" s="40" t="str">
        <f t="shared" si="13"/>
        <v>Mon</v>
      </c>
    </row>
    <row r="404" spans="1:7" ht="14.4" x14ac:dyDescent="0.3">
      <c r="A404" s="22">
        <v>44291</v>
      </c>
      <c r="B404" s="23" t="s">
        <v>42</v>
      </c>
      <c r="C404" s="23" t="s">
        <v>98</v>
      </c>
      <c r="D404" s="24">
        <v>0</v>
      </c>
      <c r="E404" s="17">
        <f>VLOOKUP(B404,'SKU Master'!$B$2:$E$31,4,0)</f>
        <v>2300</v>
      </c>
      <c r="F404" s="25">
        <f t="shared" si="12"/>
        <v>0</v>
      </c>
      <c r="G404" s="40" t="str">
        <f t="shared" si="13"/>
        <v>Mon</v>
      </c>
    </row>
    <row r="405" spans="1:7" ht="14.4" x14ac:dyDescent="0.3">
      <c r="A405" s="22">
        <v>44291</v>
      </c>
      <c r="B405" s="23" t="s">
        <v>45</v>
      </c>
      <c r="C405" s="23" t="s">
        <v>98</v>
      </c>
      <c r="D405" s="24">
        <v>1</v>
      </c>
      <c r="E405" s="17">
        <f>VLOOKUP(B405,'SKU Master'!$B$2:$E$31,4,0)</f>
        <v>499</v>
      </c>
      <c r="F405" s="25">
        <f t="shared" si="12"/>
        <v>499</v>
      </c>
      <c r="G405" s="40" t="str">
        <f t="shared" si="13"/>
        <v>Mon</v>
      </c>
    </row>
    <row r="406" spans="1:7" ht="14.4" x14ac:dyDescent="0.3">
      <c r="A406" s="22">
        <v>44291</v>
      </c>
      <c r="B406" s="23" t="s">
        <v>48</v>
      </c>
      <c r="C406" s="23" t="s">
        <v>98</v>
      </c>
      <c r="D406" s="24">
        <v>3</v>
      </c>
      <c r="E406" s="17">
        <f>VLOOKUP(B406,'SKU Master'!$B$2:$E$31,4,0)</f>
        <v>299</v>
      </c>
      <c r="F406" s="25">
        <f t="shared" si="12"/>
        <v>897</v>
      </c>
      <c r="G406" s="40" t="str">
        <f t="shared" si="13"/>
        <v>Mon</v>
      </c>
    </row>
    <row r="407" spans="1:7" ht="14.4" x14ac:dyDescent="0.3">
      <c r="A407" s="22">
        <v>44291</v>
      </c>
      <c r="B407" s="23" t="s">
        <v>51</v>
      </c>
      <c r="C407" s="23" t="s">
        <v>98</v>
      </c>
      <c r="D407" s="24">
        <v>1</v>
      </c>
      <c r="E407" s="17">
        <f>VLOOKUP(B407,'SKU Master'!$B$2:$E$31,4,0)</f>
        <v>901</v>
      </c>
      <c r="F407" s="25">
        <f t="shared" si="12"/>
        <v>901</v>
      </c>
      <c r="G407" s="40" t="str">
        <f t="shared" si="13"/>
        <v>Mon</v>
      </c>
    </row>
    <row r="408" spans="1:7" ht="14.4" x14ac:dyDescent="0.3">
      <c r="A408" s="22">
        <v>44291</v>
      </c>
      <c r="B408" s="23" t="s">
        <v>54</v>
      </c>
      <c r="C408" s="23" t="s">
        <v>98</v>
      </c>
      <c r="D408" s="24">
        <v>1</v>
      </c>
      <c r="E408" s="17">
        <f>VLOOKUP(B408,'SKU Master'!$B$2:$E$31,4,0)</f>
        <v>929</v>
      </c>
      <c r="F408" s="25">
        <f t="shared" si="12"/>
        <v>929</v>
      </c>
      <c r="G408" s="40" t="str">
        <f t="shared" si="13"/>
        <v>Mon</v>
      </c>
    </row>
    <row r="409" spans="1:7" ht="14.4" x14ac:dyDescent="0.3">
      <c r="A409" s="22">
        <v>44291</v>
      </c>
      <c r="B409" s="23" t="s">
        <v>57</v>
      </c>
      <c r="C409" s="23" t="s">
        <v>98</v>
      </c>
      <c r="D409" s="24">
        <v>0</v>
      </c>
      <c r="E409" s="17">
        <f>VLOOKUP(B409,'SKU Master'!$B$2:$E$31,4,0)</f>
        <v>1030</v>
      </c>
      <c r="F409" s="25">
        <f t="shared" si="12"/>
        <v>0</v>
      </c>
      <c r="G409" s="40" t="str">
        <f t="shared" si="13"/>
        <v>Mon</v>
      </c>
    </row>
    <row r="410" spans="1:7" ht="14.4" x14ac:dyDescent="0.3">
      <c r="A410" s="22">
        <v>44291</v>
      </c>
      <c r="B410" s="23" t="s">
        <v>60</v>
      </c>
      <c r="C410" s="23" t="s">
        <v>98</v>
      </c>
      <c r="D410" s="24">
        <v>0</v>
      </c>
      <c r="E410" s="17">
        <f>VLOOKUP(B410,'SKU Master'!$B$2:$E$31,4,0)</f>
        <v>1222</v>
      </c>
      <c r="F410" s="25">
        <f t="shared" si="12"/>
        <v>0</v>
      </c>
      <c r="G410" s="40" t="str">
        <f t="shared" si="13"/>
        <v>Mon</v>
      </c>
    </row>
    <row r="411" spans="1:7" ht="14.4" x14ac:dyDescent="0.3">
      <c r="A411" s="22">
        <v>44291</v>
      </c>
      <c r="B411" s="23" t="s">
        <v>63</v>
      </c>
      <c r="C411" s="23" t="s">
        <v>98</v>
      </c>
      <c r="D411" s="24">
        <v>1</v>
      </c>
      <c r="E411" s="17">
        <f>VLOOKUP(B411,'SKU Master'!$B$2:$E$31,4,0)</f>
        <v>649</v>
      </c>
      <c r="F411" s="25">
        <f t="shared" si="12"/>
        <v>649</v>
      </c>
      <c r="G411" s="40" t="str">
        <f t="shared" si="13"/>
        <v>Mon</v>
      </c>
    </row>
    <row r="412" spans="1:7" ht="14.4" x14ac:dyDescent="0.3">
      <c r="A412" s="22">
        <v>44291</v>
      </c>
      <c r="B412" s="23" t="s">
        <v>67</v>
      </c>
      <c r="C412" s="23" t="s">
        <v>98</v>
      </c>
      <c r="D412" s="24">
        <v>18</v>
      </c>
      <c r="E412" s="17">
        <f>VLOOKUP(B412,'SKU Master'!$B$2:$E$31,4,0)</f>
        <v>1800</v>
      </c>
      <c r="F412" s="25">
        <f t="shared" si="12"/>
        <v>32400</v>
      </c>
      <c r="G412" s="40" t="str">
        <f t="shared" si="13"/>
        <v>Mon</v>
      </c>
    </row>
    <row r="413" spans="1:7" ht="14.4" x14ac:dyDescent="0.3">
      <c r="A413" s="22">
        <v>44291</v>
      </c>
      <c r="B413" s="23" t="s">
        <v>70</v>
      </c>
      <c r="C413" s="23" t="s">
        <v>98</v>
      </c>
      <c r="D413" s="24">
        <v>14</v>
      </c>
      <c r="E413" s="17">
        <f>VLOOKUP(B413,'SKU Master'!$B$2:$E$31,4,0)</f>
        <v>345</v>
      </c>
      <c r="F413" s="25">
        <f t="shared" si="12"/>
        <v>4830</v>
      </c>
      <c r="G413" s="40" t="str">
        <f t="shared" si="13"/>
        <v>Mon</v>
      </c>
    </row>
    <row r="414" spans="1:7" ht="14.4" x14ac:dyDescent="0.3">
      <c r="A414" s="22">
        <v>44291</v>
      </c>
      <c r="B414" s="23" t="s">
        <v>73</v>
      </c>
      <c r="C414" s="23" t="s">
        <v>98</v>
      </c>
      <c r="D414" s="24">
        <v>7</v>
      </c>
      <c r="E414" s="17">
        <f>VLOOKUP(B414,'SKU Master'!$B$2:$E$31,4,0)</f>
        <v>350</v>
      </c>
      <c r="F414" s="25">
        <f t="shared" si="12"/>
        <v>2450</v>
      </c>
      <c r="G414" s="40" t="str">
        <f t="shared" si="13"/>
        <v>Mon</v>
      </c>
    </row>
    <row r="415" spans="1:7" ht="14.4" x14ac:dyDescent="0.3">
      <c r="A415" s="22">
        <v>44291</v>
      </c>
      <c r="B415" s="23" t="s">
        <v>76</v>
      </c>
      <c r="C415" s="23" t="s">
        <v>98</v>
      </c>
      <c r="D415" s="24">
        <v>5</v>
      </c>
      <c r="E415" s="17">
        <f>VLOOKUP(B415,'SKU Master'!$B$2:$E$31,4,0)</f>
        <v>1575</v>
      </c>
      <c r="F415" s="25">
        <f t="shared" si="12"/>
        <v>7875</v>
      </c>
      <c r="G415" s="40" t="str">
        <f t="shared" si="13"/>
        <v>Mon</v>
      </c>
    </row>
    <row r="416" spans="1:7" ht="14.4" x14ac:dyDescent="0.3">
      <c r="A416" s="22">
        <v>44291</v>
      </c>
      <c r="B416" s="23" t="s">
        <v>78</v>
      </c>
      <c r="C416" s="23" t="s">
        <v>98</v>
      </c>
      <c r="D416" s="24">
        <v>3</v>
      </c>
      <c r="E416" s="17">
        <f>VLOOKUP(B416,'SKU Master'!$B$2:$E$31,4,0)</f>
        <v>1045</v>
      </c>
      <c r="F416" s="25">
        <f t="shared" si="12"/>
        <v>3135</v>
      </c>
      <c r="G416" s="40" t="str">
        <f t="shared" si="13"/>
        <v>Mon</v>
      </c>
    </row>
    <row r="417" spans="1:7" ht="14.4" x14ac:dyDescent="0.3">
      <c r="A417" s="22">
        <v>44291</v>
      </c>
      <c r="B417" s="23" t="s">
        <v>81</v>
      </c>
      <c r="C417" s="23" t="s">
        <v>98</v>
      </c>
      <c r="D417" s="24">
        <v>0</v>
      </c>
      <c r="E417" s="17">
        <f>VLOOKUP(B417,'SKU Master'!$B$2:$E$31,4,0)</f>
        <v>1186</v>
      </c>
      <c r="F417" s="25">
        <f t="shared" si="12"/>
        <v>0</v>
      </c>
      <c r="G417" s="40" t="str">
        <f t="shared" si="13"/>
        <v>Mon</v>
      </c>
    </row>
    <row r="418" spans="1:7" ht="14.4" x14ac:dyDescent="0.3">
      <c r="A418" s="22">
        <v>44291</v>
      </c>
      <c r="B418" s="23" t="s">
        <v>84</v>
      </c>
      <c r="C418" s="23" t="s">
        <v>98</v>
      </c>
      <c r="D418" s="24">
        <v>0</v>
      </c>
      <c r="E418" s="17">
        <f>VLOOKUP(B418,'SKU Master'!$B$2:$E$31,4,0)</f>
        <v>374</v>
      </c>
      <c r="F418" s="25">
        <f t="shared" si="12"/>
        <v>0</v>
      </c>
      <c r="G418" s="40" t="str">
        <f t="shared" si="13"/>
        <v>Mon</v>
      </c>
    </row>
    <row r="419" spans="1:7" ht="14.4" x14ac:dyDescent="0.3">
      <c r="A419" s="22">
        <v>44291</v>
      </c>
      <c r="B419" s="23" t="s">
        <v>87</v>
      </c>
      <c r="C419" s="23" t="s">
        <v>98</v>
      </c>
      <c r="D419" s="24">
        <v>0</v>
      </c>
      <c r="E419" s="17">
        <f>VLOOKUP(B419,'SKU Master'!$B$2:$E$31,4,0)</f>
        <v>1500</v>
      </c>
      <c r="F419" s="25">
        <f t="shared" si="12"/>
        <v>0</v>
      </c>
      <c r="G419" s="40" t="str">
        <f t="shared" si="13"/>
        <v>Mon</v>
      </c>
    </row>
    <row r="420" spans="1:7" ht="14.4" x14ac:dyDescent="0.3">
      <c r="A420" s="22">
        <v>44291</v>
      </c>
      <c r="B420" s="23" t="s">
        <v>90</v>
      </c>
      <c r="C420" s="23" t="s">
        <v>98</v>
      </c>
      <c r="D420" s="24">
        <v>0</v>
      </c>
      <c r="E420" s="17">
        <f>VLOOKUP(B420,'SKU Master'!$B$2:$E$31,4,0)</f>
        <v>1800</v>
      </c>
      <c r="F420" s="25">
        <f t="shared" si="12"/>
        <v>0</v>
      </c>
      <c r="G420" s="40" t="str">
        <f t="shared" si="13"/>
        <v>Mon</v>
      </c>
    </row>
    <row r="421" spans="1:7" ht="14.4" x14ac:dyDescent="0.3">
      <c r="A421" s="22">
        <v>44291</v>
      </c>
      <c r="B421" s="23" t="s">
        <v>93</v>
      </c>
      <c r="C421" s="23" t="s">
        <v>98</v>
      </c>
      <c r="D421" s="24">
        <v>0</v>
      </c>
      <c r="E421" s="17">
        <f>VLOOKUP(B421,'SKU Master'!$B$2:$E$31,4,0)</f>
        <v>1477</v>
      </c>
      <c r="F421" s="25">
        <f t="shared" si="12"/>
        <v>0</v>
      </c>
      <c r="G421" s="40" t="str">
        <f t="shared" si="13"/>
        <v>Mon</v>
      </c>
    </row>
    <row r="422" spans="1:7" ht="14.4" x14ac:dyDescent="0.3">
      <c r="A422" s="22">
        <v>44291</v>
      </c>
      <c r="B422" s="23" t="s">
        <v>6</v>
      </c>
      <c r="C422" s="23" t="s">
        <v>97</v>
      </c>
      <c r="D422" s="24">
        <v>2</v>
      </c>
      <c r="E422" s="17">
        <f>VLOOKUP(B422,'SKU Master'!$B$2:$E$31,4,0)</f>
        <v>210</v>
      </c>
      <c r="F422" s="25">
        <f t="shared" si="12"/>
        <v>420</v>
      </c>
      <c r="G422" s="40" t="str">
        <f t="shared" si="13"/>
        <v>Mon</v>
      </c>
    </row>
    <row r="423" spans="1:7" ht="14.4" x14ac:dyDescent="0.3">
      <c r="A423" s="22">
        <v>44291</v>
      </c>
      <c r="B423" s="23" t="s">
        <v>9</v>
      </c>
      <c r="C423" s="23" t="s">
        <v>97</v>
      </c>
      <c r="D423" s="24">
        <v>5</v>
      </c>
      <c r="E423" s="17">
        <f>VLOOKUP(B423,'SKU Master'!$B$2:$E$31,4,0)</f>
        <v>199</v>
      </c>
      <c r="F423" s="25">
        <f t="shared" si="12"/>
        <v>995</v>
      </c>
      <c r="G423" s="40" t="str">
        <f t="shared" si="13"/>
        <v>Mon</v>
      </c>
    </row>
    <row r="424" spans="1:7" ht="14.4" x14ac:dyDescent="0.3">
      <c r="A424" s="22">
        <v>44291</v>
      </c>
      <c r="B424" s="23" t="s">
        <v>12</v>
      </c>
      <c r="C424" s="23" t="s">
        <v>97</v>
      </c>
      <c r="D424" s="24">
        <v>4</v>
      </c>
      <c r="E424" s="17">
        <f>VLOOKUP(B424,'SKU Master'!$B$2:$E$31,4,0)</f>
        <v>322</v>
      </c>
      <c r="F424" s="25">
        <f t="shared" si="12"/>
        <v>1288</v>
      </c>
      <c r="G424" s="40" t="str">
        <f t="shared" si="13"/>
        <v>Mon</v>
      </c>
    </row>
    <row r="425" spans="1:7" ht="14.4" x14ac:dyDescent="0.3">
      <c r="A425" s="22">
        <v>44291</v>
      </c>
      <c r="B425" s="23" t="s">
        <v>15</v>
      </c>
      <c r="C425" s="23" t="s">
        <v>97</v>
      </c>
      <c r="D425" s="24">
        <v>2</v>
      </c>
      <c r="E425" s="17">
        <f>VLOOKUP(B425,'SKU Master'!$B$2:$E$31,4,0)</f>
        <v>161</v>
      </c>
      <c r="F425" s="25">
        <f t="shared" si="12"/>
        <v>322</v>
      </c>
      <c r="G425" s="40" t="str">
        <f t="shared" si="13"/>
        <v>Mon</v>
      </c>
    </row>
    <row r="426" spans="1:7" ht="14.4" x14ac:dyDescent="0.3">
      <c r="A426" s="22">
        <v>44291</v>
      </c>
      <c r="B426" s="23" t="s">
        <v>17</v>
      </c>
      <c r="C426" s="23" t="s">
        <v>97</v>
      </c>
      <c r="D426" s="24">
        <v>2</v>
      </c>
      <c r="E426" s="17">
        <f>VLOOKUP(B426,'SKU Master'!$B$2:$E$31,4,0)</f>
        <v>109</v>
      </c>
      <c r="F426" s="25">
        <f t="shared" si="12"/>
        <v>218</v>
      </c>
      <c r="G426" s="40" t="str">
        <f t="shared" si="13"/>
        <v>Mon</v>
      </c>
    </row>
    <row r="427" spans="1:7" ht="14.4" x14ac:dyDescent="0.3">
      <c r="A427" s="22">
        <v>44291</v>
      </c>
      <c r="B427" s="23" t="s">
        <v>20</v>
      </c>
      <c r="C427" s="23" t="s">
        <v>97</v>
      </c>
      <c r="D427" s="24">
        <v>2</v>
      </c>
      <c r="E427" s="17">
        <f>VLOOKUP(B427,'SKU Master'!$B$2:$E$31,4,0)</f>
        <v>122</v>
      </c>
      <c r="F427" s="25">
        <f t="shared" si="12"/>
        <v>244</v>
      </c>
      <c r="G427" s="40" t="str">
        <f t="shared" si="13"/>
        <v>Mon</v>
      </c>
    </row>
    <row r="428" spans="1:7" ht="14.4" x14ac:dyDescent="0.3">
      <c r="A428" s="22">
        <v>44291</v>
      </c>
      <c r="B428" s="23" t="s">
        <v>23</v>
      </c>
      <c r="C428" s="23" t="s">
        <v>97</v>
      </c>
      <c r="D428" s="24">
        <v>2</v>
      </c>
      <c r="E428" s="17">
        <f>VLOOKUP(B428,'SKU Master'!$B$2:$E$31,4,0)</f>
        <v>96</v>
      </c>
      <c r="F428" s="25">
        <f t="shared" si="12"/>
        <v>192</v>
      </c>
      <c r="G428" s="40" t="str">
        <f t="shared" si="13"/>
        <v>Mon</v>
      </c>
    </row>
    <row r="429" spans="1:7" ht="14.4" x14ac:dyDescent="0.3">
      <c r="A429" s="22">
        <v>44291</v>
      </c>
      <c r="B429" s="23" t="s">
        <v>26</v>
      </c>
      <c r="C429" s="23" t="s">
        <v>97</v>
      </c>
      <c r="D429" s="24">
        <v>2</v>
      </c>
      <c r="E429" s="17">
        <f>VLOOKUP(B429,'SKU Master'!$B$2:$E$31,4,0)</f>
        <v>73</v>
      </c>
      <c r="F429" s="25">
        <f t="shared" si="12"/>
        <v>146</v>
      </c>
      <c r="G429" s="40" t="str">
        <f t="shared" si="13"/>
        <v>Mon</v>
      </c>
    </row>
    <row r="430" spans="1:7" ht="14.4" x14ac:dyDescent="0.3">
      <c r="A430" s="22">
        <v>44291</v>
      </c>
      <c r="B430" s="23" t="s">
        <v>29</v>
      </c>
      <c r="C430" s="23" t="s">
        <v>97</v>
      </c>
      <c r="D430" s="24">
        <v>1</v>
      </c>
      <c r="E430" s="17">
        <f>VLOOKUP(B430,'SKU Master'!$B$2:$E$31,4,0)</f>
        <v>225</v>
      </c>
      <c r="F430" s="25">
        <f t="shared" si="12"/>
        <v>225</v>
      </c>
      <c r="G430" s="40" t="str">
        <f t="shared" si="13"/>
        <v>Mon</v>
      </c>
    </row>
    <row r="431" spans="1:7" ht="14.4" x14ac:dyDescent="0.3">
      <c r="A431" s="22">
        <v>44291</v>
      </c>
      <c r="B431" s="23" t="s">
        <v>32</v>
      </c>
      <c r="C431" s="23" t="s">
        <v>97</v>
      </c>
      <c r="D431" s="24">
        <v>1</v>
      </c>
      <c r="E431" s="17">
        <f>VLOOKUP(B431,'SKU Master'!$B$2:$E$31,4,0)</f>
        <v>559</v>
      </c>
      <c r="F431" s="25">
        <f t="shared" si="12"/>
        <v>559</v>
      </c>
      <c r="G431" s="40" t="str">
        <f t="shared" si="13"/>
        <v>Mon</v>
      </c>
    </row>
    <row r="432" spans="1:7" ht="14.4" x14ac:dyDescent="0.3">
      <c r="A432" s="22">
        <v>44291</v>
      </c>
      <c r="B432" s="23" t="s">
        <v>36</v>
      </c>
      <c r="C432" s="23" t="s">
        <v>97</v>
      </c>
      <c r="D432" s="24">
        <v>14</v>
      </c>
      <c r="E432" s="17">
        <f>VLOOKUP(B432,'SKU Master'!$B$2:$E$31,4,0)</f>
        <v>3199</v>
      </c>
      <c r="F432" s="25">
        <f t="shared" si="12"/>
        <v>44786</v>
      </c>
      <c r="G432" s="40" t="str">
        <f t="shared" si="13"/>
        <v>Mon</v>
      </c>
    </row>
    <row r="433" spans="1:7" ht="14.4" x14ac:dyDescent="0.3">
      <c r="A433" s="22">
        <v>44291</v>
      </c>
      <c r="B433" s="23" t="s">
        <v>39</v>
      </c>
      <c r="C433" s="23" t="s">
        <v>97</v>
      </c>
      <c r="D433" s="24">
        <v>6</v>
      </c>
      <c r="E433" s="17">
        <f>VLOOKUP(B433,'SKU Master'!$B$2:$E$31,4,0)</f>
        <v>371</v>
      </c>
      <c r="F433" s="25">
        <f t="shared" si="12"/>
        <v>2226</v>
      </c>
      <c r="G433" s="40" t="str">
        <f t="shared" si="13"/>
        <v>Mon</v>
      </c>
    </row>
    <row r="434" spans="1:7" ht="14.4" x14ac:dyDescent="0.3">
      <c r="A434" s="22">
        <v>44291</v>
      </c>
      <c r="B434" s="23" t="s">
        <v>42</v>
      </c>
      <c r="C434" s="23" t="s">
        <v>97</v>
      </c>
      <c r="D434" s="24">
        <v>9</v>
      </c>
      <c r="E434" s="17">
        <f>VLOOKUP(B434,'SKU Master'!$B$2:$E$31,4,0)</f>
        <v>2300</v>
      </c>
      <c r="F434" s="25">
        <f t="shared" si="12"/>
        <v>20700</v>
      </c>
      <c r="G434" s="40" t="str">
        <f t="shared" si="13"/>
        <v>Mon</v>
      </c>
    </row>
    <row r="435" spans="1:7" ht="14.4" x14ac:dyDescent="0.3">
      <c r="A435" s="22">
        <v>44291</v>
      </c>
      <c r="B435" s="23" t="s">
        <v>45</v>
      </c>
      <c r="C435" s="23" t="s">
        <v>97</v>
      </c>
      <c r="D435" s="24">
        <v>7</v>
      </c>
      <c r="E435" s="17">
        <f>VLOOKUP(B435,'SKU Master'!$B$2:$E$31,4,0)</f>
        <v>499</v>
      </c>
      <c r="F435" s="25">
        <f t="shared" si="12"/>
        <v>3493</v>
      </c>
      <c r="G435" s="40" t="str">
        <f t="shared" si="13"/>
        <v>Mon</v>
      </c>
    </row>
    <row r="436" spans="1:7" ht="14.4" x14ac:dyDescent="0.3">
      <c r="A436" s="22">
        <v>44291</v>
      </c>
      <c r="B436" s="23" t="s">
        <v>48</v>
      </c>
      <c r="C436" s="23" t="s">
        <v>97</v>
      </c>
      <c r="D436" s="24">
        <v>3</v>
      </c>
      <c r="E436" s="17">
        <f>VLOOKUP(B436,'SKU Master'!$B$2:$E$31,4,0)</f>
        <v>299</v>
      </c>
      <c r="F436" s="25">
        <f t="shared" si="12"/>
        <v>897</v>
      </c>
      <c r="G436" s="40" t="str">
        <f t="shared" si="13"/>
        <v>Mon</v>
      </c>
    </row>
    <row r="437" spans="1:7" ht="14.4" x14ac:dyDescent="0.3">
      <c r="A437" s="22">
        <v>44291</v>
      </c>
      <c r="B437" s="23" t="s">
        <v>51</v>
      </c>
      <c r="C437" s="23" t="s">
        <v>97</v>
      </c>
      <c r="D437" s="24">
        <v>3</v>
      </c>
      <c r="E437" s="17">
        <f>VLOOKUP(B437,'SKU Master'!$B$2:$E$31,4,0)</f>
        <v>901</v>
      </c>
      <c r="F437" s="25">
        <f t="shared" si="12"/>
        <v>2703</v>
      </c>
      <c r="G437" s="40" t="str">
        <f t="shared" si="13"/>
        <v>Mon</v>
      </c>
    </row>
    <row r="438" spans="1:7" ht="14.4" x14ac:dyDescent="0.3">
      <c r="A438" s="22">
        <v>44291</v>
      </c>
      <c r="B438" s="23" t="s">
        <v>54</v>
      </c>
      <c r="C438" s="23" t="s">
        <v>97</v>
      </c>
      <c r="D438" s="24">
        <v>3</v>
      </c>
      <c r="E438" s="17">
        <f>VLOOKUP(B438,'SKU Master'!$B$2:$E$31,4,0)</f>
        <v>929</v>
      </c>
      <c r="F438" s="25">
        <f t="shared" si="12"/>
        <v>2787</v>
      </c>
      <c r="G438" s="40" t="str">
        <f t="shared" si="13"/>
        <v>Mon</v>
      </c>
    </row>
    <row r="439" spans="1:7" ht="14.4" x14ac:dyDescent="0.3">
      <c r="A439" s="22">
        <v>44291</v>
      </c>
      <c r="B439" s="23" t="s">
        <v>57</v>
      </c>
      <c r="C439" s="23" t="s">
        <v>97</v>
      </c>
      <c r="D439" s="24">
        <v>1</v>
      </c>
      <c r="E439" s="17">
        <f>VLOOKUP(B439,'SKU Master'!$B$2:$E$31,4,0)</f>
        <v>1030</v>
      </c>
      <c r="F439" s="25">
        <f t="shared" si="12"/>
        <v>1030</v>
      </c>
      <c r="G439" s="40" t="str">
        <f t="shared" si="13"/>
        <v>Mon</v>
      </c>
    </row>
    <row r="440" spans="1:7" ht="14.4" x14ac:dyDescent="0.3">
      <c r="A440" s="22">
        <v>44291</v>
      </c>
      <c r="B440" s="23" t="s">
        <v>60</v>
      </c>
      <c r="C440" s="23" t="s">
        <v>97</v>
      </c>
      <c r="D440" s="24">
        <v>1</v>
      </c>
      <c r="E440" s="17">
        <f>VLOOKUP(B440,'SKU Master'!$B$2:$E$31,4,0)</f>
        <v>1222</v>
      </c>
      <c r="F440" s="25">
        <f t="shared" si="12"/>
        <v>1222</v>
      </c>
      <c r="G440" s="40" t="str">
        <f t="shared" si="13"/>
        <v>Mon</v>
      </c>
    </row>
    <row r="441" spans="1:7" ht="14.4" x14ac:dyDescent="0.3">
      <c r="A441" s="22">
        <v>44291</v>
      </c>
      <c r="B441" s="23" t="s">
        <v>63</v>
      </c>
      <c r="C441" s="23" t="s">
        <v>97</v>
      </c>
      <c r="D441" s="24">
        <v>1</v>
      </c>
      <c r="E441" s="17">
        <f>VLOOKUP(B441,'SKU Master'!$B$2:$E$31,4,0)</f>
        <v>649</v>
      </c>
      <c r="F441" s="25">
        <f t="shared" si="12"/>
        <v>649</v>
      </c>
      <c r="G441" s="40" t="str">
        <f t="shared" si="13"/>
        <v>Mon</v>
      </c>
    </row>
    <row r="442" spans="1:7" ht="14.4" x14ac:dyDescent="0.3">
      <c r="A442" s="22">
        <v>44291</v>
      </c>
      <c r="B442" s="23" t="s">
        <v>67</v>
      </c>
      <c r="C442" s="23" t="s">
        <v>97</v>
      </c>
      <c r="D442" s="24">
        <v>13</v>
      </c>
      <c r="E442" s="17">
        <f>VLOOKUP(B442,'SKU Master'!$B$2:$E$31,4,0)</f>
        <v>1800</v>
      </c>
      <c r="F442" s="25">
        <f t="shared" si="12"/>
        <v>23400</v>
      </c>
      <c r="G442" s="40" t="str">
        <f t="shared" si="13"/>
        <v>Mon</v>
      </c>
    </row>
    <row r="443" spans="1:7" ht="14.4" x14ac:dyDescent="0.3">
      <c r="A443" s="22">
        <v>44291</v>
      </c>
      <c r="B443" s="23" t="s">
        <v>70</v>
      </c>
      <c r="C443" s="23" t="s">
        <v>97</v>
      </c>
      <c r="D443" s="24">
        <v>2</v>
      </c>
      <c r="E443" s="17">
        <f>VLOOKUP(B443,'SKU Master'!$B$2:$E$31,4,0)</f>
        <v>345</v>
      </c>
      <c r="F443" s="25">
        <f t="shared" si="12"/>
        <v>690</v>
      </c>
      <c r="G443" s="40" t="str">
        <f t="shared" si="13"/>
        <v>Mon</v>
      </c>
    </row>
    <row r="444" spans="1:7" ht="14.4" x14ac:dyDescent="0.3">
      <c r="A444" s="22">
        <v>44291</v>
      </c>
      <c r="B444" s="23" t="s">
        <v>73</v>
      </c>
      <c r="C444" s="23" t="s">
        <v>97</v>
      </c>
      <c r="D444" s="24">
        <v>1</v>
      </c>
      <c r="E444" s="17">
        <f>VLOOKUP(B444,'SKU Master'!$B$2:$E$31,4,0)</f>
        <v>350</v>
      </c>
      <c r="F444" s="25">
        <f t="shared" si="12"/>
        <v>350</v>
      </c>
      <c r="G444" s="40" t="str">
        <f t="shared" si="13"/>
        <v>Mon</v>
      </c>
    </row>
    <row r="445" spans="1:7" ht="14.4" x14ac:dyDescent="0.3">
      <c r="A445" s="22">
        <v>44291</v>
      </c>
      <c r="B445" s="23" t="s">
        <v>76</v>
      </c>
      <c r="C445" s="23" t="s">
        <v>97</v>
      </c>
      <c r="D445" s="24">
        <v>4</v>
      </c>
      <c r="E445" s="17">
        <f>VLOOKUP(B445,'SKU Master'!$B$2:$E$31,4,0)</f>
        <v>1575</v>
      </c>
      <c r="F445" s="25">
        <f t="shared" si="12"/>
        <v>6300</v>
      </c>
      <c r="G445" s="40" t="str">
        <f t="shared" si="13"/>
        <v>Mon</v>
      </c>
    </row>
    <row r="446" spans="1:7" ht="14.4" x14ac:dyDescent="0.3">
      <c r="A446" s="22">
        <v>44291</v>
      </c>
      <c r="B446" s="23" t="s">
        <v>78</v>
      </c>
      <c r="C446" s="23" t="s">
        <v>97</v>
      </c>
      <c r="D446" s="24">
        <v>3</v>
      </c>
      <c r="E446" s="17">
        <f>VLOOKUP(B446,'SKU Master'!$B$2:$E$31,4,0)</f>
        <v>1045</v>
      </c>
      <c r="F446" s="25">
        <f t="shared" si="12"/>
        <v>3135</v>
      </c>
      <c r="G446" s="40" t="str">
        <f t="shared" si="13"/>
        <v>Mon</v>
      </c>
    </row>
    <row r="447" spans="1:7" ht="14.4" x14ac:dyDescent="0.3">
      <c r="A447" s="22">
        <v>44291</v>
      </c>
      <c r="B447" s="23" t="s">
        <v>81</v>
      </c>
      <c r="C447" s="23" t="s">
        <v>97</v>
      </c>
      <c r="D447" s="24">
        <v>3</v>
      </c>
      <c r="E447" s="17">
        <f>VLOOKUP(B447,'SKU Master'!$B$2:$E$31,4,0)</f>
        <v>1186</v>
      </c>
      <c r="F447" s="25">
        <f t="shared" si="12"/>
        <v>3558</v>
      </c>
      <c r="G447" s="40" t="str">
        <f t="shared" si="13"/>
        <v>Mon</v>
      </c>
    </row>
    <row r="448" spans="1:7" ht="14.4" x14ac:dyDescent="0.3">
      <c r="A448" s="22">
        <v>44291</v>
      </c>
      <c r="B448" s="23" t="s">
        <v>84</v>
      </c>
      <c r="C448" s="23" t="s">
        <v>97</v>
      </c>
      <c r="D448" s="24">
        <v>3</v>
      </c>
      <c r="E448" s="17">
        <f>VLOOKUP(B448,'SKU Master'!$B$2:$E$31,4,0)</f>
        <v>374</v>
      </c>
      <c r="F448" s="25">
        <f t="shared" si="12"/>
        <v>1122</v>
      </c>
      <c r="G448" s="40" t="str">
        <f t="shared" si="13"/>
        <v>Mon</v>
      </c>
    </row>
    <row r="449" spans="1:7" ht="14.4" x14ac:dyDescent="0.3">
      <c r="A449" s="22">
        <v>44291</v>
      </c>
      <c r="B449" s="23" t="s">
        <v>87</v>
      </c>
      <c r="C449" s="23" t="s">
        <v>97</v>
      </c>
      <c r="D449" s="24">
        <v>1</v>
      </c>
      <c r="E449" s="17">
        <f>VLOOKUP(B449,'SKU Master'!$B$2:$E$31,4,0)</f>
        <v>1500</v>
      </c>
      <c r="F449" s="25">
        <f t="shared" si="12"/>
        <v>1500</v>
      </c>
      <c r="G449" s="40" t="str">
        <f t="shared" si="13"/>
        <v>Mon</v>
      </c>
    </row>
    <row r="450" spans="1:7" ht="14.4" x14ac:dyDescent="0.3">
      <c r="A450" s="22">
        <v>44291</v>
      </c>
      <c r="B450" s="23" t="s">
        <v>90</v>
      </c>
      <c r="C450" s="23" t="s">
        <v>97</v>
      </c>
      <c r="D450" s="24">
        <v>2</v>
      </c>
      <c r="E450" s="17">
        <f>VLOOKUP(B450,'SKU Master'!$B$2:$E$31,4,0)</f>
        <v>1800</v>
      </c>
      <c r="F450" s="25">
        <f t="shared" si="12"/>
        <v>3600</v>
      </c>
      <c r="G450" s="40" t="str">
        <f t="shared" si="13"/>
        <v>Mon</v>
      </c>
    </row>
    <row r="451" spans="1:7" ht="14.4" x14ac:dyDescent="0.3">
      <c r="A451" s="22">
        <v>44291</v>
      </c>
      <c r="B451" s="23" t="s">
        <v>93</v>
      </c>
      <c r="C451" s="23" t="s">
        <v>97</v>
      </c>
      <c r="D451" s="24">
        <v>0</v>
      </c>
      <c r="E451" s="17">
        <f>VLOOKUP(B451,'SKU Master'!$B$2:$E$31,4,0)</f>
        <v>1477</v>
      </c>
      <c r="F451" s="25">
        <f t="shared" ref="F451:F514" si="14">D451*E451</f>
        <v>0</v>
      </c>
      <c r="G451" s="40" t="str">
        <f t="shared" si="13"/>
        <v>Mon</v>
      </c>
    </row>
    <row r="452" spans="1:7" ht="14.4" x14ac:dyDescent="0.3">
      <c r="A452" s="22">
        <v>44292</v>
      </c>
      <c r="B452" s="23" t="s">
        <v>6</v>
      </c>
      <c r="C452" s="23" t="s">
        <v>96</v>
      </c>
      <c r="D452" s="24">
        <v>35</v>
      </c>
      <c r="E452" s="17">
        <f>VLOOKUP(B452,'SKU Master'!$B$2:$E$31,4,0)</f>
        <v>210</v>
      </c>
      <c r="F452" s="25">
        <f t="shared" si="14"/>
        <v>7350</v>
      </c>
      <c r="G452" s="40" t="str">
        <f t="shared" ref="G452:G515" si="15">CHOOSE(WEEKDAY(A452),"Sun","Mon","Tue","Wed","Thu","Fri","Sat")</f>
        <v>Tue</v>
      </c>
    </row>
    <row r="453" spans="1:7" ht="14.4" x14ac:dyDescent="0.3">
      <c r="A453" s="22">
        <v>44292</v>
      </c>
      <c r="B453" s="23" t="s">
        <v>9</v>
      </c>
      <c r="C453" s="23" t="s">
        <v>96</v>
      </c>
      <c r="D453" s="24">
        <v>17</v>
      </c>
      <c r="E453" s="17">
        <f>VLOOKUP(B453,'SKU Master'!$B$2:$E$31,4,0)</f>
        <v>199</v>
      </c>
      <c r="F453" s="25">
        <f t="shared" si="14"/>
        <v>3383</v>
      </c>
      <c r="G453" s="40" t="str">
        <f t="shared" si="15"/>
        <v>Tue</v>
      </c>
    </row>
    <row r="454" spans="1:7" ht="14.4" x14ac:dyDescent="0.3">
      <c r="A454" s="22">
        <v>44292</v>
      </c>
      <c r="B454" s="23" t="s">
        <v>12</v>
      </c>
      <c r="C454" s="23" t="s">
        <v>96</v>
      </c>
      <c r="D454" s="24">
        <v>12</v>
      </c>
      <c r="E454" s="17">
        <f>VLOOKUP(B454,'SKU Master'!$B$2:$E$31,4,0)</f>
        <v>322</v>
      </c>
      <c r="F454" s="25">
        <f t="shared" si="14"/>
        <v>3864</v>
      </c>
      <c r="G454" s="40" t="str">
        <f t="shared" si="15"/>
        <v>Tue</v>
      </c>
    </row>
    <row r="455" spans="1:7" ht="14.4" x14ac:dyDescent="0.3">
      <c r="A455" s="22">
        <v>44292</v>
      </c>
      <c r="B455" s="23" t="s">
        <v>15</v>
      </c>
      <c r="C455" s="23" t="s">
        <v>96</v>
      </c>
      <c r="D455" s="24">
        <v>7</v>
      </c>
      <c r="E455" s="17">
        <f>VLOOKUP(B455,'SKU Master'!$B$2:$E$31,4,0)</f>
        <v>161</v>
      </c>
      <c r="F455" s="25">
        <f t="shared" si="14"/>
        <v>1127</v>
      </c>
      <c r="G455" s="40" t="str">
        <f t="shared" si="15"/>
        <v>Tue</v>
      </c>
    </row>
    <row r="456" spans="1:7" ht="14.4" x14ac:dyDescent="0.3">
      <c r="A456" s="22">
        <v>44292</v>
      </c>
      <c r="B456" s="23" t="s">
        <v>17</v>
      </c>
      <c r="C456" s="23" t="s">
        <v>96</v>
      </c>
      <c r="D456" s="24">
        <v>4</v>
      </c>
      <c r="E456" s="17">
        <f>VLOOKUP(B456,'SKU Master'!$B$2:$E$31,4,0)</f>
        <v>109</v>
      </c>
      <c r="F456" s="25">
        <f t="shared" si="14"/>
        <v>436</v>
      </c>
      <c r="G456" s="40" t="str">
        <f t="shared" si="15"/>
        <v>Tue</v>
      </c>
    </row>
    <row r="457" spans="1:7" ht="14.4" x14ac:dyDescent="0.3">
      <c r="A457" s="22">
        <v>44292</v>
      </c>
      <c r="B457" s="23" t="s">
        <v>20</v>
      </c>
      <c r="C457" s="23" t="s">
        <v>96</v>
      </c>
      <c r="D457" s="24">
        <v>6</v>
      </c>
      <c r="E457" s="17">
        <f>VLOOKUP(B457,'SKU Master'!$B$2:$E$31,4,0)</f>
        <v>122</v>
      </c>
      <c r="F457" s="25">
        <f t="shared" si="14"/>
        <v>732</v>
      </c>
      <c r="G457" s="40" t="str">
        <f t="shared" si="15"/>
        <v>Tue</v>
      </c>
    </row>
    <row r="458" spans="1:7" ht="14.4" x14ac:dyDescent="0.3">
      <c r="A458" s="22">
        <v>44292</v>
      </c>
      <c r="B458" s="23" t="s">
        <v>23</v>
      </c>
      <c r="C458" s="23" t="s">
        <v>96</v>
      </c>
      <c r="D458" s="24">
        <v>3</v>
      </c>
      <c r="E458" s="17">
        <f>VLOOKUP(B458,'SKU Master'!$B$2:$E$31,4,0)</f>
        <v>96</v>
      </c>
      <c r="F458" s="25">
        <f t="shared" si="14"/>
        <v>288</v>
      </c>
      <c r="G458" s="40" t="str">
        <f t="shared" si="15"/>
        <v>Tue</v>
      </c>
    </row>
    <row r="459" spans="1:7" ht="14.4" x14ac:dyDescent="0.3">
      <c r="A459" s="22">
        <v>44292</v>
      </c>
      <c r="B459" s="23" t="s">
        <v>26</v>
      </c>
      <c r="C459" s="23" t="s">
        <v>96</v>
      </c>
      <c r="D459" s="24">
        <v>2</v>
      </c>
      <c r="E459" s="17">
        <f>VLOOKUP(B459,'SKU Master'!$B$2:$E$31,4,0)</f>
        <v>73</v>
      </c>
      <c r="F459" s="25">
        <f t="shared" si="14"/>
        <v>146</v>
      </c>
      <c r="G459" s="40" t="str">
        <f t="shared" si="15"/>
        <v>Tue</v>
      </c>
    </row>
    <row r="460" spans="1:7" ht="14.4" x14ac:dyDescent="0.3">
      <c r="A460" s="22">
        <v>44292</v>
      </c>
      <c r="B460" s="23" t="s">
        <v>29</v>
      </c>
      <c r="C460" s="23" t="s">
        <v>96</v>
      </c>
      <c r="D460" s="24">
        <v>1</v>
      </c>
      <c r="E460" s="17">
        <f>VLOOKUP(B460,'SKU Master'!$B$2:$E$31,4,0)</f>
        <v>225</v>
      </c>
      <c r="F460" s="25">
        <f t="shared" si="14"/>
        <v>225</v>
      </c>
      <c r="G460" s="40" t="str">
        <f t="shared" si="15"/>
        <v>Tue</v>
      </c>
    </row>
    <row r="461" spans="1:7" ht="14.4" x14ac:dyDescent="0.3">
      <c r="A461" s="22">
        <v>44292</v>
      </c>
      <c r="B461" s="23" t="s">
        <v>32</v>
      </c>
      <c r="C461" s="23" t="s">
        <v>96</v>
      </c>
      <c r="D461" s="24">
        <v>1</v>
      </c>
      <c r="E461" s="17">
        <f>VLOOKUP(B461,'SKU Master'!$B$2:$E$31,4,0)</f>
        <v>559</v>
      </c>
      <c r="F461" s="25">
        <f t="shared" si="14"/>
        <v>559</v>
      </c>
      <c r="G461" s="40" t="str">
        <f t="shared" si="15"/>
        <v>Tue</v>
      </c>
    </row>
    <row r="462" spans="1:7" ht="14.4" x14ac:dyDescent="0.3">
      <c r="A462" s="22">
        <v>44292</v>
      </c>
      <c r="B462" s="23" t="s">
        <v>36</v>
      </c>
      <c r="C462" s="23" t="s">
        <v>96</v>
      </c>
      <c r="D462" s="24">
        <v>30</v>
      </c>
      <c r="E462" s="17">
        <f>VLOOKUP(B462,'SKU Master'!$B$2:$E$31,4,0)</f>
        <v>3199</v>
      </c>
      <c r="F462" s="25">
        <f t="shared" si="14"/>
        <v>95970</v>
      </c>
      <c r="G462" s="40" t="str">
        <f t="shared" si="15"/>
        <v>Tue</v>
      </c>
    </row>
    <row r="463" spans="1:7" ht="14.4" x14ac:dyDescent="0.3">
      <c r="A463" s="22">
        <v>44292</v>
      </c>
      <c r="B463" s="23" t="s">
        <v>39</v>
      </c>
      <c r="C463" s="23" t="s">
        <v>96</v>
      </c>
      <c r="D463" s="24">
        <v>16</v>
      </c>
      <c r="E463" s="17">
        <f>VLOOKUP(B463,'SKU Master'!$B$2:$E$31,4,0)</f>
        <v>371</v>
      </c>
      <c r="F463" s="25">
        <f t="shared" si="14"/>
        <v>5936</v>
      </c>
      <c r="G463" s="40" t="str">
        <f t="shared" si="15"/>
        <v>Tue</v>
      </c>
    </row>
    <row r="464" spans="1:7" ht="14.4" x14ac:dyDescent="0.3">
      <c r="A464" s="22">
        <v>44292</v>
      </c>
      <c r="B464" s="23" t="s">
        <v>42</v>
      </c>
      <c r="C464" s="23" t="s">
        <v>96</v>
      </c>
      <c r="D464" s="24">
        <v>10</v>
      </c>
      <c r="E464" s="17">
        <f>VLOOKUP(B464,'SKU Master'!$B$2:$E$31,4,0)</f>
        <v>2300</v>
      </c>
      <c r="F464" s="25">
        <f t="shared" si="14"/>
        <v>23000</v>
      </c>
      <c r="G464" s="40" t="str">
        <f t="shared" si="15"/>
        <v>Tue</v>
      </c>
    </row>
    <row r="465" spans="1:7" ht="14.4" x14ac:dyDescent="0.3">
      <c r="A465" s="22">
        <v>44292</v>
      </c>
      <c r="B465" s="23" t="s">
        <v>45</v>
      </c>
      <c r="C465" s="23" t="s">
        <v>96</v>
      </c>
      <c r="D465" s="24">
        <v>7</v>
      </c>
      <c r="E465" s="17">
        <f>VLOOKUP(B465,'SKU Master'!$B$2:$E$31,4,0)</f>
        <v>499</v>
      </c>
      <c r="F465" s="25">
        <f t="shared" si="14"/>
        <v>3493</v>
      </c>
      <c r="G465" s="40" t="str">
        <f t="shared" si="15"/>
        <v>Tue</v>
      </c>
    </row>
    <row r="466" spans="1:7" ht="14.4" x14ac:dyDescent="0.3">
      <c r="A466" s="22">
        <v>44292</v>
      </c>
      <c r="B466" s="23" t="s">
        <v>48</v>
      </c>
      <c r="C466" s="23" t="s">
        <v>96</v>
      </c>
      <c r="D466" s="24">
        <v>6</v>
      </c>
      <c r="E466" s="17">
        <f>VLOOKUP(B466,'SKU Master'!$B$2:$E$31,4,0)</f>
        <v>299</v>
      </c>
      <c r="F466" s="25">
        <f t="shared" si="14"/>
        <v>1794</v>
      </c>
      <c r="G466" s="40" t="str">
        <f t="shared" si="15"/>
        <v>Tue</v>
      </c>
    </row>
    <row r="467" spans="1:7" ht="14.4" x14ac:dyDescent="0.3">
      <c r="A467" s="22">
        <v>44292</v>
      </c>
      <c r="B467" s="23" t="s">
        <v>51</v>
      </c>
      <c r="C467" s="23" t="s">
        <v>96</v>
      </c>
      <c r="D467" s="24">
        <v>3</v>
      </c>
      <c r="E467" s="17">
        <f>VLOOKUP(B467,'SKU Master'!$B$2:$E$31,4,0)</f>
        <v>901</v>
      </c>
      <c r="F467" s="25">
        <f t="shared" si="14"/>
        <v>2703</v>
      </c>
      <c r="G467" s="40" t="str">
        <f t="shared" si="15"/>
        <v>Tue</v>
      </c>
    </row>
    <row r="468" spans="1:7" ht="14.4" x14ac:dyDescent="0.3">
      <c r="A468" s="22">
        <v>44292</v>
      </c>
      <c r="B468" s="23" t="s">
        <v>54</v>
      </c>
      <c r="C468" s="23" t="s">
        <v>96</v>
      </c>
      <c r="D468" s="24">
        <v>4</v>
      </c>
      <c r="E468" s="17">
        <f>VLOOKUP(B468,'SKU Master'!$B$2:$E$31,4,0)</f>
        <v>929</v>
      </c>
      <c r="F468" s="25">
        <f t="shared" si="14"/>
        <v>3716</v>
      </c>
      <c r="G468" s="40" t="str">
        <f t="shared" si="15"/>
        <v>Tue</v>
      </c>
    </row>
    <row r="469" spans="1:7" ht="14.4" x14ac:dyDescent="0.3">
      <c r="A469" s="22">
        <v>44292</v>
      </c>
      <c r="B469" s="23" t="s">
        <v>57</v>
      </c>
      <c r="C469" s="23" t="s">
        <v>96</v>
      </c>
      <c r="D469" s="24">
        <v>0</v>
      </c>
      <c r="E469" s="17">
        <f>VLOOKUP(B469,'SKU Master'!$B$2:$E$31,4,0)</f>
        <v>1030</v>
      </c>
      <c r="F469" s="25">
        <f t="shared" si="14"/>
        <v>0</v>
      </c>
      <c r="G469" s="40" t="str">
        <f t="shared" si="15"/>
        <v>Tue</v>
      </c>
    </row>
    <row r="470" spans="1:7" ht="14.4" x14ac:dyDescent="0.3">
      <c r="A470" s="22">
        <v>44292</v>
      </c>
      <c r="B470" s="23" t="s">
        <v>60</v>
      </c>
      <c r="C470" s="23" t="s">
        <v>96</v>
      </c>
      <c r="D470" s="24">
        <v>0</v>
      </c>
      <c r="E470" s="17">
        <f>VLOOKUP(B470,'SKU Master'!$B$2:$E$31,4,0)</f>
        <v>1222</v>
      </c>
      <c r="F470" s="25">
        <f t="shared" si="14"/>
        <v>0</v>
      </c>
      <c r="G470" s="40" t="str">
        <f t="shared" si="15"/>
        <v>Tue</v>
      </c>
    </row>
    <row r="471" spans="1:7" ht="14.4" x14ac:dyDescent="0.3">
      <c r="A471" s="22">
        <v>44292</v>
      </c>
      <c r="B471" s="23" t="s">
        <v>63</v>
      </c>
      <c r="C471" s="23" t="s">
        <v>96</v>
      </c>
      <c r="D471" s="24">
        <v>2</v>
      </c>
      <c r="E471" s="17">
        <f>VLOOKUP(B471,'SKU Master'!$B$2:$E$31,4,0)</f>
        <v>649</v>
      </c>
      <c r="F471" s="25">
        <f t="shared" si="14"/>
        <v>1298</v>
      </c>
      <c r="G471" s="40" t="str">
        <f t="shared" si="15"/>
        <v>Tue</v>
      </c>
    </row>
    <row r="472" spans="1:7" ht="14.4" x14ac:dyDescent="0.3">
      <c r="A472" s="22">
        <v>44292</v>
      </c>
      <c r="B472" s="23" t="s">
        <v>67</v>
      </c>
      <c r="C472" s="23" t="s">
        <v>96</v>
      </c>
      <c r="D472" s="24">
        <v>33</v>
      </c>
      <c r="E472" s="17">
        <f>VLOOKUP(B472,'SKU Master'!$B$2:$E$31,4,0)</f>
        <v>1800</v>
      </c>
      <c r="F472" s="25">
        <f t="shared" si="14"/>
        <v>59400</v>
      </c>
      <c r="G472" s="40" t="str">
        <f t="shared" si="15"/>
        <v>Tue</v>
      </c>
    </row>
    <row r="473" spans="1:7" ht="14.4" x14ac:dyDescent="0.3">
      <c r="A473" s="22">
        <v>44292</v>
      </c>
      <c r="B473" s="23" t="s">
        <v>70</v>
      </c>
      <c r="C473" s="23" t="s">
        <v>96</v>
      </c>
      <c r="D473" s="24">
        <v>19</v>
      </c>
      <c r="E473" s="17">
        <f>VLOOKUP(B473,'SKU Master'!$B$2:$E$31,4,0)</f>
        <v>345</v>
      </c>
      <c r="F473" s="25">
        <f t="shared" si="14"/>
        <v>6555</v>
      </c>
      <c r="G473" s="40" t="str">
        <f t="shared" si="15"/>
        <v>Tue</v>
      </c>
    </row>
    <row r="474" spans="1:7" ht="14.4" x14ac:dyDescent="0.3">
      <c r="A474" s="22">
        <v>44292</v>
      </c>
      <c r="B474" s="23" t="s">
        <v>73</v>
      </c>
      <c r="C474" s="23" t="s">
        <v>96</v>
      </c>
      <c r="D474" s="24">
        <v>9</v>
      </c>
      <c r="E474" s="17">
        <f>VLOOKUP(B474,'SKU Master'!$B$2:$E$31,4,0)</f>
        <v>350</v>
      </c>
      <c r="F474" s="25">
        <f t="shared" si="14"/>
        <v>3150</v>
      </c>
      <c r="G474" s="40" t="str">
        <f t="shared" si="15"/>
        <v>Tue</v>
      </c>
    </row>
    <row r="475" spans="1:7" ht="14.4" x14ac:dyDescent="0.3">
      <c r="A475" s="22">
        <v>44292</v>
      </c>
      <c r="B475" s="23" t="s">
        <v>76</v>
      </c>
      <c r="C475" s="23" t="s">
        <v>96</v>
      </c>
      <c r="D475" s="24">
        <v>8</v>
      </c>
      <c r="E475" s="17">
        <f>VLOOKUP(B475,'SKU Master'!$B$2:$E$31,4,0)</f>
        <v>1575</v>
      </c>
      <c r="F475" s="25">
        <f t="shared" si="14"/>
        <v>12600</v>
      </c>
      <c r="G475" s="40" t="str">
        <f t="shared" si="15"/>
        <v>Tue</v>
      </c>
    </row>
    <row r="476" spans="1:7" ht="14.4" x14ac:dyDescent="0.3">
      <c r="A476" s="22">
        <v>44292</v>
      </c>
      <c r="B476" s="23" t="s">
        <v>78</v>
      </c>
      <c r="C476" s="23" t="s">
        <v>96</v>
      </c>
      <c r="D476" s="24">
        <v>5</v>
      </c>
      <c r="E476" s="17">
        <f>VLOOKUP(B476,'SKU Master'!$B$2:$E$31,4,0)</f>
        <v>1045</v>
      </c>
      <c r="F476" s="25">
        <f t="shared" si="14"/>
        <v>5225</v>
      </c>
      <c r="G476" s="40" t="str">
        <f t="shared" si="15"/>
        <v>Tue</v>
      </c>
    </row>
    <row r="477" spans="1:7" ht="14.4" x14ac:dyDescent="0.3">
      <c r="A477" s="22">
        <v>44292</v>
      </c>
      <c r="B477" s="23" t="s">
        <v>81</v>
      </c>
      <c r="C477" s="23" t="s">
        <v>96</v>
      </c>
      <c r="D477" s="24">
        <v>2</v>
      </c>
      <c r="E477" s="17">
        <f>VLOOKUP(B477,'SKU Master'!$B$2:$E$31,4,0)</f>
        <v>1186</v>
      </c>
      <c r="F477" s="25">
        <f t="shared" si="14"/>
        <v>2372</v>
      </c>
      <c r="G477" s="40" t="str">
        <f t="shared" si="15"/>
        <v>Tue</v>
      </c>
    </row>
    <row r="478" spans="1:7" ht="14.4" x14ac:dyDescent="0.3">
      <c r="A478" s="22">
        <v>44292</v>
      </c>
      <c r="B478" s="23" t="s">
        <v>84</v>
      </c>
      <c r="C478" s="23" t="s">
        <v>96</v>
      </c>
      <c r="D478" s="24">
        <v>3</v>
      </c>
      <c r="E478" s="17">
        <f>VLOOKUP(B478,'SKU Master'!$B$2:$E$31,4,0)</f>
        <v>374</v>
      </c>
      <c r="F478" s="25">
        <f t="shared" si="14"/>
        <v>1122</v>
      </c>
      <c r="G478" s="40" t="str">
        <f t="shared" si="15"/>
        <v>Tue</v>
      </c>
    </row>
    <row r="479" spans="1:7" ht="14.4" x14ac:dyDescent="0.3">
      <c r="A479" s="22">
        <v>44292</v>
      </c>
      <c r="B479" s="23" t="s">
        <v>87</v>
      </c>
      <c r="C479" s="23" t="s">
        <v>96</v>
      </c>
      <c r="D479" s="24">
        <v>0</v>
      </c>
      <c r="E479" s="17">
        <f>VLOOKUP(B479,'SKU Master'!$B$2:$E$31,4,0)</f>
        <v>1500</v>
      </c>
      <c r="F479" s="25">
        <f t="shared" si="14"/>
        <v>0</v>
      </c>
      <c r="G479" s="40" t="str">
        <f t="shared" si="15"/>
        <v>Tue</v>
      </c>
    </row>
    <row r="480" spans="1:7" ht="14.4" x14ac:dyDescent="0.3">
      <c r="A480" s="22">
        <v>44292</v>
      </c>
      <c r="B480" s="23" t="s">
        <v>90</v>
      </c>
      <c r="C480" s="23" t="s">
        <v>96</v>
      </c>
      <c r="D480" s="24">
        <v>1</v>
      </c>
      <c r="E480" s="17">
        <f>VLOOKUP(B480,'SKU Master'!$B$2:$E$31,4,0)</f>
        <v>1800</v>
      </c>
      <c r="F480" s="25">
        <f t="shared" si="14"/>
        <v>1800</v>
      </c>
      <c r="G480" s="40" t="str">
        <f t="shared" si="15"/>
        <v>Tue</v>
      </c>
    </row>
    <row r="481" spans="1:7" ht="14.4" x14ac:dyDescent="0.3">
      <c r="A481" s="22">
        <v>44292</v>
      </c>
      <c r="B481" s="23" t="s">
        <v>93</v>
      </c>
      <c r="C481" s="23" t="s">
        <v>96</v>
      </c>
      <c r="D481" s="24">
        <v>0</v>
      </c>
      <c r="E481" s="17">
        <f>VLOOKUP(B481,'SKU Master'!$B$2:$E$31,4,0)</f>
        <v>1477</v>
      </c>
      <c r="F481" s="25">
        <f t="shared" si="14"/>
        <v>0</v>
      </c>
      <c r="G481" s="40" t="str">
        <f t="shared" si="15"/>
        <v>Tue</v>
      </c>
    </row>
    <row r="482" spans="1:7" ht="14.4" x14ac:dyDescent="0.3">
      <c r="A482" s="22">
        <v>44292</v>
      </c>
      <c r="B482" s="23" t="s">
        <v>6</v>
      </c>
      <c r="C482" s="23" t="s">
        <v>98</v>
      </c>
      <c r="D482" s="24">
        <v>22</v>
      </c>
      <c r="E482" s="17">
        <f>VLOOKUP(B482,'SKU Master'!$B$2:$E$31,4,0)</f>
        <v>210</v>
      </c>
      <c r="F482" s="25">
        <f t="shared" si="14"/>
        <v>4620</v>
      </c>
      <c r="G482" s="40" t="str">
        <f t="shared" si="15"/>
        <v>Tue</v>
      </c>
    </row>
    <row r="483" spans="1:7" ht="14.4" x14ac:dyDescent="0.3">
      <c r="A483" s="22">
        <v>44292</v>
      </c>
      <c r="B483" s="23" t="s">
        <v>9</v>
      </c>
      <c r="C483" s="23" t="s">
        <v>98</v>
      </c>
      <c r="D483" s="24">
        <v>9</v>
      </c>
      <c r="E483" s="17">
        <f>VLOOKUP(B483,'SKU Master'!$B$2:$E$31,4,0)</f>
        <v>199</v>
      </c>
      <c r="F483" s="25">
        <f t="shared" si="14"/>
        <v>1791</v>
      </c>
      <c r="G483" s="40" t="str">
        <f t="shared" si="15"/>
        <v>Tue</v>
      </c>
    </row>
    <row r="484" spans="1:7" ht="14.4" x14ac:dyDescent="0.3">
      <c r="A484" s="22">
        <v>44292</v>
      </c>
      <c r="B484" s="23" t="s">
        <v>12</v>
      </c>
      <c r="C484" s="23" t="s">
        <v>98</v>
      </c>
      <c r="D484" s="24">
        <v>9</v>
      </c>
      <c r="E484" s="17">
        <f>VLOOKUP(B484,'SKU Master'!$B$2:$E$31,4,0)</f>
        <v>322</v>
      </c>
      <c r="F484" s="25">
        <f t="shared" si="14"/>
        <v>2898</v>
      </c>
      <c r="G484" s="40" t="str">
        <f t="shared" si="15"/>
        <v>Tue</v>
      </c>
    </row>
    <row r="485" spans="1:7" ht="14.4" x14ac:dyDescent="0.3">
      <c r="A485" s="22">
        <v>44292</v>
      </c>
      <c r="B485" s="23" t="s">
        <v>15</v>
      </c>
      <c r="C485" s="23" t="s">
        <v>98</v>
      </c>
      <c r="D485" s="24">
        <v>7</v>
      </c>
      <c r="E485" s="17">
        <f>VLOOKUP(B485,'SKU Master'!$B$2:$E$31,4,0)</f>
        <v>161</v>
      </c>
      <c r="F485" s="25">
        <f t="shared" si="14"/>
        <v>1127</v>
      </c>
      <c r="G485" s="40" t="str">
        <f t="shared" si="15"/>
        <v>Tue</v>
      </c>
    </row>
    <row r="486" spans="1:7" ht="14.4" x14ac:dyDescent="0.3">
      <c r="A486" s="22">
        <v>44292</v>
      </c>
      <c r="B486" s="23" t="s">
        <v>17</v>
      </c>
      <c r="C486" s="23" t="s">
        <v>98</v>
      </c>
      <c r="D486" s="24">
        <v>4</v>
      </c>
      <c r="E486" s="17">
        <f>VLOOKUP(B486,'SKU Master'!$B$2:$E$31,4,0)</f>
        <v>109</v>
      </c>
      <c r="F486" s="25">
        <f t="shared" si="14"/>
        <v>436</v>
      </c>
      <c r="G486" s="40" t="str">
        <f t="shared" si="15"/>
        <v>Tue</v>
      </c>
    </row>
    <row r="487" spans="1:7" ht="14.4" x14ac:dyDescent="0.3">
      <c r="A487" s="22">
        <v>44292</v>
      </c>
      <c r="B487" s="23" t="s">
        <v>20</v>
      </c>
      <c r="C487" s="23" t="s">
        <v>98</v>
      </c>
      <c r="D487" s="24">
        <v>3</v>
      </c>
      <c r="E487" s="17">
        <f>VLOOKUP(B487,'SKU Master'!$B$2:$E$31,4,0)</f>
        <v>122</v>
      </c>
      <c r="F487" s="25">
        <f t="shared" si="14"/>
        <v>366</v>
      </c>
      <c r="G487" s="40" t="str">
        <f t="shared" si="15"/>
        <v>Tue</v>
      </c>
    </row>
    <row r="488" spans="1:7" ht="14.4" x14ac:dyDescent="0.3">
      <c r="A488" s="22">
        <v>44292</v>
      </c>
      <c r="B488" s="23" t="s">
        <v>23</v>
      </c>
      <c r="C488" s="23" t="s">
        <v>98</v>
      </c>
      <c r="D488" s="24">
        <v>2</v>
      </c>
      <c r="E488" s="17">
        <f>VLOOKUP(B488,'SKU Master'!$B$2:$E$31,4,0)</f>
        <v>96</v>
      </c>
      <c r="F488" s="25">
        <f t="shared" si="14"/>
        <v>192</v>
      </c>
      <c r="G488" s="40" t="str">
        <f t="shared" si="15"/>
        <v>Tue</v>
      </c>
    </row>
    <row r="489" spans="1:7" ht="14.4" x14ac:dyDescent="0.3">
      <c r="A489" s="22">
        <v>44292</v>
      </c>
      <c r="B489" s="23" t="s">
        <v>26</v>
      </c>
      <c r="C489" s="23" t="s">
        <v>98</v>
      </c>
      <c r="D489" s="24">
        <v>1</v>
      </c>
      <c r="E489" s="17">
        <f>VLOOKUP(B489,'SKU Master'!$B$2:$E$31,4,0)</f>
        <v>73</v>
      </c>
      <c r="F489" s="25">
        <f t="shared" si="14"/>
        <v>73</v>
      </c>
      <c r="G489" s="40" t="str">
        <f t="shared" si="15"/>
        <v>Tue</v>
      </c>
    </row>
    <row r="490" spans="1:7" ht="14.4" x14ac:dyDescent="0.3">
      <c r="A490" s="22">
        <v>44292</v>
      </c>
      <c r="B490" s="23" t="s">
        <v>29</v>
      </c>
      <c r="C490" s="23" t="s">
        <v>98</v>
      </c>
      <c r="D490" s="24">
        <v>0</v>
      </c>
      <c r="E490" s="17">
        <f>VLOOKUP(B490,'SKU Master'!$B$2:$E$31,4,0)</f>
        <v>225</v>
      </c>
      <c r="F490" s="25">
        <f t="shared" si="14"/>
        <v>0</v>
      </c>
      <c r="G490" s="40" t="str">
        <f t="shared" si="15"/>
        <v>Tue</v>
      </c>
    </row>
    <row r="491" spans="1:7" ht="14.4" x14ac:dyDescent="0.3">
      <c r="A491" s="22">
        <v>44292</v>
      </c>
      <c r="B491" s="23" t="s">
        <v>32</v>
      </c>
      <c r="C491" s="23" t="s">
        <v>98</v>
      </c>
      <c r="D491" s="24">
        <v>1</v>
      </c>
      <c r="E491" s="17">
        <f>VLOOKUP(B491,'SKU Master'!$B$2:$E$31,4,0)</f>
        <v>559</v>
      </c>
      <c r="F491" s="25">
        <f t="shared" si="14"/>
        <v>559</v>
      </c>
      <c r="G491" s="40" t="str">
        <f t="shared" si="15"/>
        <v>Tue</v>
      </c>
    </row>
    <row r="492" spans="1:7" ht="14.4" x14ac:dyDescent="0.3">
      <c r="A492" s="22">
        <v>44292</v>
      </c>
      <c r="B492" s="23" t="s">
        <v>36</v>
      </c>
      <c r="C492" s="23" t="s">
        <v>98</v>
      </c>
      <c r="D492" s="24">
        <v>18</v>
      </c>
      <c r="E492" s="17">
        <f>VLOOKUP(B492,'SKU Master'!$B$2:$E$31,4,0)</f>
        <v>3199</v>
      </c>
      <c r="F492" s="25">
        <f t="shared" si="14"/>
        <v>57582</v>
      </c>
      <c r="G492" s="40" t="str">
        <f t="shared" si="15"/>
        <v>Tue</v>
      </c>
    </row>
    <row r="493" spans="1:7" ht="14.4" x14ac:dyDescent="0.3">
      <c r="A493" s="22">
        <v>44292</v>
      </c>
      <c r="B493" s="23" t="s">
        <v>39</v>
      </c>
      <c r="C493" s="23" t="s">
        <v>98</v>
      </c>
      <c r="D493" s="24">
        <v>3</v>
      </c>
      <c r="E493" s="17">
        <f>VLOOKUP(B493,'SKU Master'!$B$2:$E$31,4,0)</f>
        <v>371</v>
      </c>
      <c r="F493" s="25">
        <f t="shared" si="14"/>
        <v>1113</v>
      </c>
      <c r="G493" s="40" t="str">
        <f t="shared" si="15"/>
        <v>Tue</v>
      </c>
    </row>
    <row r="494" spans="1:7" ht="14.4" x14ac:dyDescent="0.3">
      <c r="A494" s="22">
        <v>44292</v>
      </c>
      <c r="B494" s="23" t="s">
        <v>42</v>
      </c>
      <c r="C494" s="23" t="s">
        <v>98</v>
      </c>
      <c r="D494" s="24">
        <v>6</v>
      </c>
      <c r="E494" s="17">
        <f>VLOOKUP(B494,'SKU Master'!$B$2:$E$31,4,0)</f>
        <v>2300</v>
      </c>
      <c r="F494" s="25">
        <f t="shared" si="14"/>
        <v>13800</v>
      </c>
      <c r="G494" s="40" t="str">
        <f t="shared" si="15"/>
        <v>Tue</v>
      </c>
    </row>
    <row r="495" spans="1:7" ht="14.4" x14ac:dyDescent="0.3">
      <c r="A495" s="22">
        <v>44292</v>
      </c>
      <c r="B495" s="23" t="s">
        <v>45</v>
      </c>
      <c r="C495" s="23" t="s">
        <v>98</v>
      </c>
      <c r="D495" s="24">
        <v>7</v>
      </c>
      <c r="E495" s="17">
        <f>VLOOKUP(B495,'SKU Master'!$B$2:$E$31,4,0)</f>
        <v>499</v>
      </c>
      <c r="F495" s="25">
        <f t="shared" si="14"/>
        <v>3493</v>
      </c>
      <c r="G495" s="40" t="str">
        <f t="shared" si="15"/>
        <v>Tue</v>
      </c>
    </row>
    <row r="496" spans="1:7" ht="14.4" x14ac:dyDescent="0.3">
      <c r="A496" s="22">
        <v>44292</v>
      </c>
      <c r="B496" s="23" t="s">
        <v>48</v>
      </c>
      <c r="C496" s="23" t="s">
        <v>98</v>
      </c>
      <c r="D496" s="24">
        <v>7</v>
      </c>
      <c r="E496" s="17">
        <f>VLOOKUP(B496,'SKU Master'!$B$2:$E$31,4,0)</f>
        <v>299</v>
      </c>
      <c r="F496" s="25">
        <f t="shared" si="14"/>
        <v>2093</v>
      </c>
      <c r="G496" s="40" t="str">
        <f t="shared" si="15"/>
        <v>Tue</v>
      </c>
    </row>
    <row r="497" spans="1:7" ht="14.4" x14ac:dyDescent="0.3">
      <c r="A497" s="22">
        <v>44292</v>
      </c>
      <c r="B497" s="23" t="s">
        <v>51</v>
      </c>
      <c r="C497" s="23" t="s">
        <v>98</v>
      </c>
      <c r="D497" s="24">
        <v>1</v>
      </c>
      <c r="E497" s="17">
        <f>VLOOKUP(B497,'SKU Master'!$B$2:$E$31,4,0)</f>
        <v>901</v>
      </c>
      <c r="F497" s="25">
        <f t="shared" si="14"/>
        <v>901</v>
      </c>
      <c r="G497" s="40" t="str">
        <f t="shared" si="15"/>
        <v>Tue</v>
      </c>
    </row>
    <row r="498" spans="1:7" ht="14.4" x14ac:dyDescent="0.3">
      <c r="A498" s="22">
        <v>44292</v>
      </c>
      <c r="B498" s="23" t="s">
        <v>54</v>
      </c>
      <c r="C498" s="23" t="s">
        <v>98</v>
      </c>
      <c r="D498" s="24">
        <v>3</v>
      </c>
      <c r="E498" s="17">
        <f>VLOOKUP(B498,'SKU Master'!$B$2:$E$31,4,0)</f>
        <v>929</v>
      </c>
      <c r="F498" s="25">
        <f t="shared" si="14"/>
        <v>2787</v>
      </c>
      <c r="G498" s="40" t="str">
        <f t="shared" si="15"/>
        <v>Tue</v>
      </c>
    </row>
    <row r="499" spans="1:7" ht="14.4" x14ac:dyDescent="0.3">
      <c r="A499" s="22">
        <v>44292</v>
      </c>
      <c r="B499" s="23" t="s">
        <v>57</v>
      </c>
      <c r="C499" s="23" t="s">
        <v>98</v>
      </c>
      <c r="D499" s="24">
        <v>0</v>
      </c>
      <c r="E499" s="17">
        <f>VLOOKUP(B499,'SKU Master'!$B$2:$E$31,4,0)</f>
        <v>1030</v>
      </c>
      <c r="F499" s="25">
        <f t="shared" si="14"/>
        <v>0</v>
      </c>
      <c r="G499" s="40" t="str">
        <f t="shared" si="15"/>
        <v>Tue</v>
      </c>
    </row>
    <row r="500" spans="1:7" ht="14.4" x14ac:dyDescent="0.3">
      <c r="A500" s="22">
        <v>44292</v>
      </c>
      <c r="B500" s="23" t="s">
        <v>60</v>
      </c>
      <c r="C500" s="23" t="s">
        <v>98</v>
      </c>
      <c r="D500" s="24">
        <v>0</v>
      </c>
      <c r="E500" s="17">
        <f>VLOOKUP(B500,'SKU Master'!$B$2:$E$31,4,0)</f>
        <v>1222</v>
      </c>
      <c r="F500" s="25">
        <f t="shared" si="14"/>
        <v>0</v>
      </c>
      <c r="G500" s="40" t="str">
        <f t="shared" si="15"/>
        <v>Tue</v>
      </c>
    </row>
    <row r="501" spans="1:7" ht="14.4" x14ac:dyDescent="0.3">
      <c r="A501" s="22">
        <v>44292</v>
      </c>
      <c r="B501" s="23" t="s">
        <v>63</v>
      </c>
      <c r="C501" s="23" t="s">
        <v>98</v>
      </c>
      <c r="D501" s="24">
        <v>1</v>
      </c>
      <c r="E501" s="17">
        <f>VLOOKUP(B501,'SKU Master'!$B$2:$E$31,4,0)</f>
        <v>649</v>
      </c>
      <c r="F501" s="25">
        <f t="shared" si="14"/>
        <v>649</v>
      </c>
      <c r="G501" s="40" t="str">
        <f t="shared" si="15"/>
        <v>Tue</v>
      </c>
    </row>
    <row r="502" spans="1:7" ht="14.4" x14ac:dyDescent="0.3">
      <c r="A502" s="22">
        <v>44292</v>
      </c>
      <c r="B502" s="23" t="s">
        <v>67</v>
      </c>
      <c r="C502" s="23" t="s">
        <v>98</v>
      </c>
      <c r="D502" s="24">
        <v>20</v>
      </c>
      <c r="E502" s="17">
        <f>VLOOKUP(B502,'SKU Master'!$B$2:$E$31,4,0)</f>
        <v>1800</v>
      </c>
      <c r="F502" s="25">
        <f t="shared" si="14"/>
        <v>36000</v>
      </c>
      <c r="G502" s="40" t="str">
        <f t="shared" si="15"/>
        <v>Tue</v>
      </c>
    </row>
    <row r="503" spans="1:7" ht="14.4" x14ac:dyDescent="0.3">
      <c r="A503" s="22">
        <v>44292</v>
      </c>
      <c r="B503" s="23" t="s">
        <v>70</v>
      </c>
      <c r="C503" s="23" t="s">
        <v>98</v>
      </c>
      <c r="D503" s="24">
        <v>10</v>
      </c>
      <c r="E503" s="17">
        <f>VLOOKUP(B503,'SKU Master'!$B$2:$E$31,4,0)</f>
        <v>345</v>
      </c>
      <c r="F503" s="25">
        <f t="shared" si="14"/>
        <v>3450</v>
      </c>
      <c r="G503" s="40" t="str">
        <f t="shared" si="15"/>
        <v>Tue</v>
      </c>
    </row>
    <row r="504" spans="1:7" ht="14.4" x14ac:dyDescent="0.3">
      <c r="A504" s="22">
        <v>44292</v>
      </c>
      <c r="B504" s="23" t="s">
        <v>73</v>
      </c>
      <c r="C504" s="23" t="s">
        <v>98</v>
      </c>
      <c r="D504" s="24">
        <v>7</v>
      </c>
      <c r="E504" s="17">
        <f>VLOOKUP(B504,'SKU Master'!$B$2:$E$31,4,0)</f>
        <v>350</v>
      </c>
      <c r="F504" s="25">
        <f t="shared" si="14"/>
        <v>2450</v>
      </c>
      <c r="G504" s="40" t="str">
        <f t="shared" si="15"/>
        <v>Tue</v>
      </c>
    </row>
    <row r="505" spans="1:7" ht="14.4" x14ac:dyDescent="0.3">
      <c r="A505" s="22">
        <v>44292</v>
      </c>
      <c r="B505" s="23" t="s">
        <v>76</v>
      </c>
      <c r="C505" s="23" t="s">
        <v>98</v>
      </c>
      <c r="D505" s="24">
        <v>6</v>
      </c>
      <c r="E505" s="17">
        <f>VLOOKUP(B505,'SKU Master'!$B$2:$E$31,4,0)</f>
        <v>1575</v>
      </c>
      <c r="F505" s="25">
        <f t="shared" si="14"/>
        <v>9450</v>
      </c>
      <c r="G505" s="40" t="str">
        <f t="shared" si="15"/>
        <v>Tue</v>
      </c>
    </row>
    <row r="506" spans="1:7" ht="14.4" x14ac:dyDescent="0.3">
      <c r="A506" s="22">
        <v>44292</v>
      </c>
      <c r="B506" s="23" t="s">
        <v>78</v>
      </c>
      <c r="C506" s="23" t="s">
        <v>98</v>
      </c>
      <c r="D506" s="24">
        <v>2</v>
      </c>
      <c r="E506" s="17">
        <f>VLOOKUP(B506,'SKU Master'!$B$2:$E$31,4,0)</f>
        <v>1045</v>
      </c>
      <c r="F506" s="25">
        <f t="shared" si="14"/>
        <v>2090</v>
      </c>
      <c r="G506" s="40" t="str">
        <f t="shared" si="15"/>
        <v>Tue</v>
      </c>
    </row>
    <row r="507" spans="1:7" ht="14.4" x14ac:dyDescent="0.3">
      <c r="A507" s="22">
        <v>44292</v>
      </c>
      <c r="B507" s="23" t="s">
        <v>81</v>
      </c>
      <c r="C507" s="23" t="s">
        <v>98</v>
      </c>
      <c r="D507" s="24">
        <v>1</v>
      </c>
      <c r="E507" s="17">
        <f>VLOOKUP(B507,'SKU Master'!$B$2:$E$31,4,0)</f>
        <v>1186</v>
      </c>
      <c r="F507" s="25">
        <f t="shared" si="14"/>
        <v>1186</v>
      </c>
      <c r="G507" s="40" t="str">
        <f t="shared" si="15"/>
        <v>Tue</v>
      </c>
    </row>
    <row r="508" spans="1:7" ht="14.4" x14ac:dyDescent="0.3">
      <c r="A508" s="22">
        <v>44292</v>
      </c>
      <c r="B508" s="23" t="s">
        <v>84</v>
      </c>
      <c r="C508" s="23" t="s">
        <v>98</v>
      </c>
      <c r="D508" s="24">
        <v>0</v>
      </c>
      <c r="E508" s="17">
        <f>VLOOKUP(B508,'SKU Master'!$B$2:$E$31,4,0)</f>
        <v>374</v>
      </c>
      <c r="F508" s="25">
        <f t="shared" si="14"/>
        <v>0</v>
      </c>
      <c r="G508" s="40" t="str">
        <f t="shared" si="15"/>
        <v>Tue</v>
      </c>
    </row>
    <row r="509" spans="1:7" ht="14.4" x14ac:dyDescent="0.3">
      <c r="A509" s="22">
        <v>44292</v>
      </c>
      <c r="B509" s="23" t="s">
        <v>87</v>
      </c>
      <c r="C509" s="23" t="s">
        <v>98</v>
      </c>
      <c r="D509" s="24">
        <v>0</v>
      </c>
      <c r="E509" s="17">
        <f>VLOOKUP(B509,'SKU Master'!$B$2:$E$31,4,0)</f>
        <v>1500</v>
      </c>
      <c r="F509" s="25">
        <f t="shared" si="14"/>
        <v>0</v>
      </c>
      <c r="G509" s="40" t="str">
        <f t="shared" si="15"/>
        <v>Tue</v>
      </c>
    </row>
    <row r="510" spans="1:7" ht="14.4" x14ac:dyDescent="0.3">
      <c r="A510" s="22">
        <v>44292</v>
      </c>
      <c r="B510" s="23" t="s">
        <v>90</v>
      </c>
      <c r="C510" s="23" t="s">
        <v>98</v>
      </c>
      <c r="D510" s="24">
        <v>0</v>
      </c>
      <c r="E510" s="17">
        <f>VLOOKUP(B510,'SKU Master'!$B$2:$E$31,4,0)</f>
        <v>1800</v>
      </c>
      <c r="F510" s="25">
        <f t="shared" si="14"/>
        <v>0</v>
      </c>
      <c r="G510" s="40" t="str">
        <f t="shared" si="15"/>
        <v>Tue</v>
      </c>
    </row>
    <row r="511" spans="1:7" ht="14.4" x14ac:dyDescent="0.3">
      <c r="A511" s="22">
        <v>44292</v>
      </c>
      <c r="B511" s="23" t="s">
        <v>93</v>
      </c>
      <c r="C511" s="23" t="s">
        <v>98</v>
      </c>
      <c r="D511" s="24">
        <v>0</v>
      </c>
      <c r="E511" s="17">
        <f>VLOOKUP(B511,'SKU Master'!$B$2:$E$31,4,0)</f>
        <v>1477</v>
      </c>
      <c r="F511" s="25">
        <f t="shared" si="14"/>
        <v>0</v>
      </c>
      <c r="G511" s="40" t="str">
        <f t="shared" si="15"/>
        <v>Tue</v>
      </c>
    </row>
    <row r="512" spans="1:7" ht="14.4" x14ac:dyDescent="0.3">
      <c r="A512" s="22">
        <v>44292</v>
      </c>
      <c r="B512" s="23" t="s">
        <v>6</v>
      </c>
      <c r="C512" s="23" t="s">
        <v>97</v>
      </c>
      <c r="D512" s="24">
        <v>6</v>
      </c>
      <c r="E512" s="17">
        <f>VLOOKUP(B512,'SKU Master'!$B$2:$E$31,4,0)</f>
        <v>210</v>
      </c>
      <c r="F512" s="25">
        <f t="shared" si="14"/>
        <v>1260</v>
      </c>
      <c r="G512" s="40" t="str">
        <f t="shared" si="15"/>
        <v>Tue</v>
      </c>
    </row>
    <row r="513" spans="1:7" ht="14.4" x14ac:dyDescent="0.3">
      <c r="A513" s="22">
        <v>44292</v>
      </c>
      <c r="B513" s="23" t="s">
        <v>9</v>
      </c>
      <c r="C513" s="23" t="s">
        <v>97</v>
      </c>
      <c r="D513" s="24">
        <v>5</v>
      </c>
      <c r="E513" s="17">
        <f>VLOOKUP(B513,'SKU Master'!$B$2:$E$31,4,0)</f>
        <v>199</v>
      </c>
      <c r="F513" s="25">
        <f t="shared" si="14"/>
        <v>995</v>
      </c>
      <c r="G513" s="40" t="str">
        <f t="shared" si="15"/>
        <v>Tue</v>
      </c>
    </row>
    <row r="514" spans="1:7" ht="14.4" x14ac:dyDescent="0.3">
      <c r="A514" s="22">
        <v>44292</v>
      </c>
      <c r="B514" s="23" t="s">
        <v>12</v>
      </c>
      <c r="C514" s="23" t="s">
        <v>97</v>
      </c>
      <c r="D514" s="24">
        <v>3</v>
      </c>
      <c r="E514" s="17">
        <f>VLOOKUP(B514,'SKU Master'!$B$2:$E$31,4,0)</f>
        <v>322</v>
      </c>
      <c r="F514" s="25">
        <f t="shared" si="14"/>
        <v>966</v>
      </c>
      <c r="G514" s="40" t="str">
        <f t="shared" si="15"/>
        <v>Tue</v>
      </c>
    </row>
    <row r="515" spans="1:7" ht="14.4" x14ac:dyDescent="0.3">
      <c r="A515" s="22">
        <v>44292</v>
      </c>
      <c r="B515" s="23" t="s">
        <v>15</v>
      </c>
      <c r="C515" s="23" t="s">
        <v>97</v>
      </c>
      <c r="D515" s="24">
        <v>5</v>
      </c>
      <c r="E515" s="17">
        <f>VLOOKUP(B515,'SKU Master'!$B$2:$E$31,4,0)</f>
        <v>161</v>
      </c>
      <c r="F515" s="25">
        <f t="shared" ref="F515:F578" si="16">D515*E515</f>
        <v>805</v>
      </c>
      <c r="G515" s="40" t="str">
        <f t="shared" si="15"/>
        <v>Tue</v>
      </c>
    </row>
    <row r="516" spans="1:7" ht="14.4" x14ac:dyDescent="0.3">
      <c r="A516" s="22">
        <v>44292</v>
      </c>
      <c r="B516" s="23" t="s">
        <v>17</v>
      </c>
      <c r="C516" s="23" t="s">
        <v>97</v>
      </c>
      <c r="D516" s="24">
        <v>4</v>
      </c>
      <c r="E516" s="17">
        <f>VLOOKUP(B516,'SKU Master'!$B$2:$E$31,4,0)</f>
        <v>109</v>
      </c>
      <c r="F516" s="25">
        <f t="shared" si="16"/>
        <v>436</v>
      </c>
      <c r="G516" s="40" t="str">
        <f t="shared" ref="G516:G579" si="17">CHOOSE(WEEKDAY(A516),"Sun","Mon","Tue","Wed","Thu","Fri","Sat")</f>
        <v>Tue</v>
      </c>
    </row>
    <row r="517" spans="1:7" ht="14.4" x14ac:dyDescent="0.3">
      <c r="A517" s="22">
        <v>44292</v>
      </c>
      <c r="B517" s="23" t="s">
        <v>20</v>
      </c>
      <c r="C517" s="23" t="s">
        <v>97</v>
      </c>
      <c r="D517" s="24">
        <v>1</v>
      </c>
      <c r="E517" s="17">
        <f>VLOOKUP(B517,'SKU Master'!$B$2:$E$31,4,0)</f>
        <v>122</v>
      </c>
      <c r="F517" s="25">
        <f t="shared" si="16"/>
        <v>122</v>
      </c>
      <c r="G517" s="40" t="str">
        <f t="shared" si="17"/>
        <v>Tue</v>
      </c>
    </row>
    <row r="518" spans="1:7" ht="14.4" x14ac:dyDescent="0.3">
      <c r="A518" s="22">
        <v>44292</v>
      </c>
      <c r="B518" s="23" t="s">
        <v>23</v>
      </c>
      <c r="C518" s="23" t="s">
        <v>97</v>
      </c>
      <c r="D518" s="24">
        <v>1</v>
      </c>
      <c r="E518" s="17">
        <f>VLOOKUP(B518,'SKU Master'!$B$2:$E$31,4,0)</f>
        <v>96</v>
      </c>
      <c r="F518" s="25">
        <f t="shared" si="16"/>
        <v>96</v>
      </c>
      <c r="G518" s="40" t="str">
        <f t="shared" si="17"/>
        <v>Tue</v>
      </c>
    </row>
    <row r="519" spans="1:7" ht="14.4" x14ac:dyDescent="0.3">
      <c r="A519" s="22">
        <v>44292</v>
      </c>
      <c r="B519" s="23" t="s">
        <v>26</v>
      </c>
      <c r="C519" s="23" t="s">
        <v>97</v>
      </c>
      <c r="D519" s="24">
        <v>2</v>
      </c>
      <c r="E519" s="17">
        <f>VLOOKUP(B519,'SKU Master'!$B$2:$E$31,4,0)</f>
        <v>73</v>
      </c>
      <c r="F519" s="25">
        <f t="shared" si="16"/>
        <v>146</v>
      </c>
      <c r="G519" s="40" t="str">
        <f t="shared" si="17"/>
        <v>Tue</v>
      </c>
    </row>
    <row r="520" spans="1:7" ht="14.4" x14ac:dyDescent="0.3">
      <c r="A520" s="22">
        <v>44292</v>
      </c>
      <c r="B520" s="23" t="s">
        <v>29</v>
      </c>
      <c r="C520" s="23" t="s">
        <v>97</v>
      </c>
      <c r="D520" s="24">
        <v>1</v>
      </c>
      <c r="E520" s="17">
        <f>VLOOKUP(B520,'SKU Master'!$B$2:$E$31,4,0)</f>
        <v>225</v>
      </c>
      <c r="F520" s="25">
        <f t="shared" si="16"/>
        <v>225</v>
      </c>
      <c r="G520" s="40" t="str">
        <f t="shared" si="17"/>
        <v>Tue</v>
      </c>
    </row>
    <row r="521" spans="1:7" ht="14.4" x14ac:dyDescent="0.3">
      <c r="A521" s="22">
        <v>44292</v>
      </c>
      <c r="B521" s="23" t="s">
        <v>32</v>
      </c>
      <c r="C521" s="23" t="s">
        <v>97</v>
      </c>
      <c r="D521" s="24">
        <v>1</v>
      </c>
      <c r="E521" s="17">
        <f>VLOOKUP(B521,'SKU Master'!$B$2:$E$31,4,0)</f>
        <v>559</v>
      </c>
      <c r="F521" s="25">
        <f t="shared" si="16"/>
        <v>559</v>
      </c>
      <c r="G521" s="40" t="str">
        <f t="shared" si="17"/>
        <v>Tue</v>
      </c>
    </row>
    <row r="522" spans="1:7" ht="14.4" x14ac:dyDescent="0.3">
      <c r="A522" s="22">
        <v>44292</v>
      </c>
      <c r="B522" s="23" t="s">
        <v>36</v>
      </c>
      <c r="C522" s="23" t="s">
        <v>97</v>
      </c>
      <c r="D522" s="24">
        <v>8</v>
      </c>
      <c r="E522" s="17">
        <f>VLOOKUP(B522,'SKU Master'!$B$2:$E$31,4,0)</f>
        <v>3199</v>
      </c>
      <c r="F522" s="25">
        <f t="shared" si="16"/>
        <v>25592</v>
      </c>
      <c r="G522" s="40" t="str">
        <f t="shared" si="17"/>
        <v>Tue</v>
      </c>
    </row>
    <row r="523" spans="1:7" ht="14.4" x14ac:dyDescent="0.3">
      <c r="A523" s="22">
        <v>44292</v>
      </c>
      <c r="B523" s="23" t="s">
        <v>39</v>
      </c>
      <c r="C523" s="23" t="s">
        <v>97</v>
      </c>
      <c r="D523" s="24">
        <v>11</v>
      </c>
      <c r="E523" s="17">
        <f>VLOOKUP(B523,'SKU Master'!$B$2:$E$31,4,0)</f>
        <v>371</v>
      </c>
      <c r="F523" s="25">
        <f t="shared" si="16"/>
        <v>4081</v>
      </c>
      <c r="G523" s="40" t="str">
        <f t="shared" si="17"/>
        <v>Tue</v>
      </c>
    </row>
    <row r="524" spans="1:7" ht="14.4" x14ac:dyDescent="0.3">
      <c r="A524" s="22">
        <v>44292</v>
      </c>
      <c r="B524" s="23" t="s">
        <v>42</v>
      </c>
      <c r="C524" s="23" t="s">
        <v>97</v>
      </c>
      <c r="D524" s="24">
        <v>7</v>
      </c>
      <c r="E524" s="17">
        <f>VLOOKUP(B524,'SKU Master'!$B$2:$E$31,4,0)</f>
        <v>2300</v>
      </c>
      <c r="F524" s="25">
        <f t="shared" si="16"/>
        <v>16100</v>
      </c>
      <c r="G524" s="40" t="str">
        <f t="shared" si="17"/>
        <v>Tue</v>
      </c>
    </row>
    <row r="525" spans="1:7" ht="14.4" x14ac:dyDescent="0.3">
      <c r="A525" s="22">
        <v>44292</v>
      </c>
      <c r="B525" s="23" t="s">
        <v>45</v>
      </c>
      <c r="C525" s="23" t="s">
        <v>97</v>
      </c>
      <c r="D525" s="24">
        <v>1</v>
      </c>
      <c r="E525" s="17">
        <f>VLOOKUP(B525,'SKU Master'!$B$2:$E$31,4,0)</f>
        <v>499</v>
      </c>
      <c r="F525" s="25">
        <f t="shared" si="16"/>
        <v>499</v>
      </c>
      <c r="G525" s="40" t="str">
        <f t="shared" si="17"/>
        <v>Tue</v>
      </c>
    </row>
    <row r="526" spans="1:7" ht="14.4" x14ac:dyDescent="0.3">
      <c r="A526" s="22">
        <v>44292</v>
      </c>
      <c r="B526" s="23" t="s">
        <v>48</v>
      </c>
      <c r="C526" s="23" t="s">
        <v>97</v>
      </c>
      <c r="D526" s="24">
        <v>2</v>
      </c>
      <c r="E526" s="17">
        <f>VLOOKUP(B526,'SKU Master'!$B$2:$E$31,4,0)</f>
        <v>299</v>
      </c>
      <c r="F526" s="25">
        <f t="shared" si="16"/>
        <v>598</v>
      </c>
      <c r="G526" s="40" t="str">
        <f t="shared" si="17"/>
        <v>Tue</v>
      </c>
    </row>
    <row r="527" spans="1:7" ht="14.4" x14ac:dyDescent="0.3">
      <c r="A527" s="22">
        <v>44292</v>
      </c>
      <c r="B527" s="23" t="s">
        <v>51</v>
      </c>
      <c r="C527" s="23" t="s">
        <v>97</v>
      </c>
      <c r="D527" s="24">
        <v>5</v>
      </c>
      <c r="E527" s="17">
        <f>VLOOKUP(B527,'SKU Master'!$B$2:$E$31,4,0)</f>
        <v>901</v>
      </c>
      <c r="F527" s="25">
        <f t="shared" si="16"/>
        <v>4505</v>
      </c>
      <c r="G527" s="40" t="str">
        <f t="shared" si="17"/>
        <v>Tue</v>
      </c>
    </row>
    <row r="528" spans="1:7" ht="14.4" x14ac:dyDescent="0.3">
      <c r="A528" s="22">
        <v>44292</v>
      </c>
      <c r="B528" s="23" t="s">
        <v>54</v>
      </c>
      <c r="C528" s="23" t="s">
        <v>97</v>
      </c>
      <c r="D528" s="24">
        <v>1</v>
      </c>
      <c r="E528" s="17">
        <f>VLOOKUP(B528,'SKU Master'!$B$2:$E$31,4,0)</f>
        <v>929</v>
      </c>
      <c r="F528" s="25">
        <f t="shared" si="16"/>
        <v>929</v>
      </c>
      <c r="G528" s="40" t="str">
        <f t="shared" si="17"/>
        <v>Tue</v>
      </c>
    </row>
    <row r="529" spans="1:7" ht="14.4" x14ac:dyDescent="0.3">
      <c r="A529" s="22">
        <v>44292</v>
      </c>
      <c r="B529" s="23" t="s">
        <v>57</v>
      </c>
      <c r="C529" s="23" t="s">
        <v>97</v>
      </c>
      <c r="D529" s="24">
        <v>0</v>
      </c>
      <c r="E529" s="17">
        <f>VLOOKUP(B529,'SKU Master'!$B$2:$E$31,4,0)</f>
        <v>1030</v>
      </c>
      <c r="F529" s="25">
        <f t="shared" si="16"/>
        <v>0</v>
      </c>
      <c r="G529" s="40" t="str">
        <f t="shared" si="17"/>
        <v>Tue</v>
      </c>
    </row>
    <row r="530" spans="1:7" ht="14.4" x14ac:dyDescent="0.3">
      <c r="A530" s="22">
        <v>44292</v>
      </c>
      <c r="B530" s="23" t="s">
        <v>60</v>
      </c>
      <c r="C530" s="23" t="s">
        <v>97</v>
      </c>
      <c r="D530" s="24">
        <v>1</v>
      </c>
      <c r="E530" s="17">
        <f>VLOOKUP(B530,'SKU Master'!$B$2:$E$31,4,0)</f>
        <v>1222</v>
      </c>
      <c r="F530" s="25">
        <f t="shared" si="16"/>
        <v>1222</v>
      </c>
      <c r="G530" s="40" t="str">
        <f t="shared" si="17"/>
        <v>Tue</v>
      </c>
    </row>
    <row r="531" spans="1:7" ht="14.4" x14ac:dyDescent="0.3">
      <c r="A531" s="22">
        <v>44292</v>
      </c>
      <c r="B531" s="23" t="s">
        <v>63</v>
      </c>
      <c r="C531" s="23" t="s">
        <v>97</v>
      </c>
      <c r="D531" s="24">
        <v>2</v>
      </c>
      <c r="E531" s="17">
        <f>VLOOKUP(B531,'SKU Master'!$B$2:$E$31,4,0)</f>
        <v>649</v>
      </c>
      <c r="F531" s="25">
        <f t="shared" si="16"/>
        <v>1298</v>
      </c>
      <c r="G531" s="40" t="str">
        <f t="shared" si="17"/>
        <v>Tue</v>
      </c>
    </row>
    <row r="532" spans="1:7" ht="14.4" x14ac:dyDescent="0.3">
      <c r="A532" s="22">
        <v>44292</v>
      </c>
      <c r="B532" s="23" t="s">
        <v>67</v>
      </c>
      <c r="C532" s="23" t="s">
        <v>97</v>
      </c>
      <c r="D532" s="24">
        <v>11</v>
      </c>
      <c r="E532" s="17">
        <f>VLOOKUP(B532,'SKU Master'!$B$2:$E$31,4,0)</f>
        <v>1800</v>
      </c>
      <c r="F532" s="25">
        <f t="shared" si="16"/>
        <v>19800</v>
      </c>
      <c r="G532" s="40" t="str">
        <f t="shared" si="17"/>
        <v>Tue</v>
      </c>
    </row>
    <row r="533" spans="1:7" ht="14.4" x14ac:dyDescent="0.3">
      <c r="A533" s="22">
        <v>44292</v>
      </c>
      <c r="B533" s="23" t="s">
        <v>70</v>
      </c>
      <c r="C533" s="23" t="s">
        <v>97</v>
      </c>
      <c r="D533" s="24">
        <v>5</v>
      </c>
      <c r="E533" s="17">
        <f>VLOOKUP(B533,'SKU Master'!$B$2:$E$31,4,0)</f>
        <v>345</v>
      </c>
      <c r="F533" s="25">
        <f t="shared" si="16"/>
        <v>1725</v>
      </c>
      <c r="G533" s="40" t="str">
        <f t="shared" si="17"/>
        <v>Tue</v>
      </c>
    </row>
    <row r="534" spans="1:7" ht="14.4" x14ac:dyDescent="0.3">
      <c r="A534" s="22">
        <v>44292</v>
      </c>
      <c r="B534" s="23" t="s">
        <v>73</v>
      </c>
      <c r="C534" s="23" t="s">
        <v>97</v>
      </c>
      <c r="D534" s="24">
        <v>5</v>
      </c>
      <c r="E534" s="17">
        <f>VLOOKUP(B534,'SKU Master'!$B$2:$E$31,4,0)</f>
        <v>350</v>
      </c>
      <c r="F534" s="25">
        <f t="shared" si="16"/>
        <v>1750</v>
      </c>
      <c r="G534" s="40" t="str">
        <f t="shared" si="17"/>
        <v>Tue</v>
      </c>
    </row>
    <row r="535" spans="1:7" ht="14.4" x14ac:dyDescent="0.3">
      <c r="A535" s="22">
        <v>44292</v>
      </c>
      <c r="B535" s="23" t="s">
        <v>76</v>
      </c>
      <c r="C535" s="23" t="s">
        <v>97</v>
      </c>
      <c r="D535" s="24">
        <v>5</v>
      </c>
      <c r="E535" s="17">
        <f>VLOOKUP(B535,'SKU Master'!$B$2:$E$31,4,0)</f>
        <v>1575</v>
      </c>
      <c r="F535" s="25">
        <f t="shared" si="16"/>
        <v>7875</v>
      </c>
      <c r="G535" s="40" t="str">
        <f t="shared" si="17"/>
        <v>Tue</v>
      </c>
    </row>
    <row r="536" spans="1:7" ht="14.4" x14ac:dyDescent="0.3">
      <c r="A536" s="22">
        <v>44292</v>
      </c>
      <c r="B536" s="23" t="s">
        <v>78</v>
      </c>
      <c r="C536" s="23" t="s">
        <v>97</v>
      </c>
      <c r="D536" s="24">
        <v>6</v>
      </c>
      <c r="E536" s="17">
        <f>VLOOKUP(B536,'SKU Master'!$B$2:$E$31,4,0)</f>
        <v>1045</v>
      </c>
      <c r="F536" s="25">
        <f t="shared" si="16"/>
        <v>6270</v>
      </c>
      <c r="G536" s="40" t="str">
        <f t="shared" si="17"/>
        <v>Tue</v>
      </c>
    </row>
    <row r="537" spans="1:7" ht="14.4" x14ac:dyDescent="0.3">
      <c r="A537" s="22">
        <v>44292</v>
      </c>
      <c r="B537" s="23" t="s">
        <v>81</v>
      </c>
      <c r="C537" s="23" t="s">
        <v>97</v>
      </c>
      <c r="D537" s="24">
        <v>2</v>
      </c>
      <c r="E537" s="17">
        <f>VLOOKUP(B537,'SKU Master'!$B$2:$E$31,4,0)</f>
        <v>1186</v>
      </c>
      <c r="F537" s="25">
        <f t="shared" si="16"/>
        <v>2372</v>
      </c>
      <c r="G537" s="40" t="str">
        <f t="shared" si="17"/>
        <v>Tue</v>
      </c>
    </row>
    <row r="538" spans="1:7" ht="14.4" x14ac:dyDescent="0.3">
      <c r="A538" s="22">
        <v>44292</v>
      </c>
      <c r="B538" s="23" t="s">
        <v>84</v>
      </c>
      <c r="C538" s="23" t="s">
        <v>97</v>
      </c>
      <c r="D538" s="24">
        <v>4</v>
      </c>
      <c r="E538" s="17">
        <f>VLOOKUP(B538,'SKU Master'!$B$2:$E$31,4,0)</f>
        <v>374</v>
      </c>
      <c r="F538" s="25">
        <f t="shared" si="16"/>
        <v>1496</v>
      </c>
      <c r="G538" s="40" t="str">
        <f t="shared" si="17"/>
        <v>Tue</v>
      </c>
    </row>
    <row r="539" spans="1:7" ht="14.4" x14ac:dyDescent="0.3">
      <c r="A539" s="22">
        <v>44292</v>
      </c>
      <c r="B539" s="23" t="s">
        <v>87</v>
      </c>
      <c r="C539" s="23" t="s">
        <v>97</v>
      </c>
      <c r="D539" s="24">
        <v>2</v>
      </c>
      <c r="E539" s="17">
        <f>VLOOKUP(B539,'SKU Master'!$B$2:$E$31,4,0)</f>
        <v>1500</v>
      </c>
      <c r="F539" s="25">
        <f t="shared" si="16"/>
        <v>3000</v>
      </c>
      <c r="G539" s="40" t="str">
        <f t="shared" si="17"/>
        <v>Tue</v>
      </c>
    </row>
    <row r="540" spans="1:7" ht="14.4" x14ac:dyDescent="0.3">
      <c r="A540" s="22">
        <v>44292</v>
      </c>
      <c r="B540" s="23" t="s">
        <v>90</v>
      </c>
      <c r="C540" s="23" t="s">
        <v>97</v>
      </c>
      <c r="D540" s="24">
        <v>2</v>
      </c>
      <c r="E540" s="17">
        <f>VLOOKUP(B540,'SKU Master'!$B$2:$E$31,4,0)</f>
        <v>1800</v>
      </c>
      <c r="F540" s="25">
        <f t="shared" si="16"/>
        <v>3600</v>
      </c>
      <c r="G540" s="40" t="str">
        <f t="shared" si="17"/>
        <v>Tue</v>
      </c>
    </row>
    <row r="541" spans="1:7" ht="14.4" x14ac:dyDescent="0.3">
      <c r="A541" s="22">
        <v>44292</v>
      </c>
      <c r="B541" s="23" t="s">
        <v>93</v>
      </c>
      <c r="C541" s="23" t="s">
        <v>97</v>
      </c>
      <c r="D541" s="24">
        <v>0</v>
      </c>
      <c r="E541" s="17">
        <f>VLOOKUP(B541,'SKU Master'!$B$2:$E$31,4,0)</f>
        <v>1477</v>
      </c>
      <c r="F541" s="25">
        <f t="shared" si="16"/>
        <v>0</v>
      </c>
      <c r="G541" s="40" t="str">
        <f t="shared" si="17"/>
        <v>Tue</v>
      </c>
    </row>
    <row r="542" spans="1:7" ht="14.4" x14ac:dyDescent="0.3">
      <c r="A542" s="22">
        <v>44293</v>
      </c>
      <c r="B542" s="23" t="s">
        <v>6</v>
      </c>
      <c r="C542" s="23" t="s">
        <v>96</v>
      </c>
      <c r="D542" s="24">
        <v>32</v>
      </c>
      <c r="E542" s="17">
        <f>VLOOKUP(B542,'SKU Master'!$B$2:$E$31,4,0)</f>
        <v>210</v>
      </c>
      <c r="F542" s="25">
        <f t="shared" si="16"/>
        <v>6720</v>
      </c>
      <c r="G542" s="40" t="str">
        <f t="shared" si="17"/>
        <v>Wed</v>
      </c>
    </row>
    <row r="543" spans="1:7" ht="14.4" x14ac:dyDescent="0.3">
      <c r="A543" s="22">
        <v>44293</v>
      </c>
      <c r="B543" s="23" t="s">
        <v>9</v>
      </c>
      <c r="C543" s="23" t="s">
        <v>96</v>
      </c>
      <c r="D543" s="24">
        <v>17</v>
      </c>
      <c r="E543" s="17">
        <f>VLOOKUP(B543,'SKU Master'!$B$2:$E$31,4,0)</f>
        <v>199</v>
      </c>
      <c r="F543" s="25">
        <f t="shared" si="16"/>
        <v>3383</v>
      </c>
      <c r="G543" s="40" t="str">
        <f t="shared" si="17"/>
        <v>Wed</v>
      </c>
    </row>
    <row r="544" spans="1:7" ht="14.4" x14ac:dyDescent="0.3">
      <c r="A544" s="22">
        <v>44293</v>
      </c>
      <c r="B544" s="23" t="s">
        <v>12</v>
      </c>
      <c r="C544" s="23" t="s">
        <v>96</v>
      </c>
      <c r="D544" s="24">
        <v>8</v>
      </c>
      <c r="E544" s="17">
        <f>VLOOKUP(B544,'SKU Master'!$B$2:$E$31,4,0)</f>
        <v>322</v>
      </c>
      <c r="F544" s="25">
        <f t="shared" si="16"/>
        <v>2576</v>
      </c>
      <c r="G544" s="40" t="str">
        <f t="shared" si="17"/>
        <v>Wed</v>
      </c>
    </row>
    <row r="545" spans="1:7" ht="14.4" x14ac:dyDescent="0.3">
      <c r="A545" s="22">
        <v>44293</v>
      </c>
      <c r="B545" s="23" t="s">
        <v>15</v>
      </c>
      <c r="C545" s="23" t="s">
        <v>96</v>
      </c>
      <c r="D545" s="24">
        <v>10</v>
      </c>
      <c r="E545" s="17">
        <f>VLOOKUP(B545,'SKU Master'!$B$2:$E$31,4,0)</f>
        <v>161</v>
      </c>
      <c r="F545" s="25">
        <f t="shared" si="16"/>
        <v>1610</v>
      </c>
      <c r="G545" s="40" t="str">
        <f t="shared" si="17"/>
        <v>Wed</v>
      </c>
    </row>
    <row r="546" spans="1:7" ht="14.4" x14ac:dyDescent="0.3">
      <c r="A546" s="22">
        <v>44293</v>
      </c>
      <c r="B546" s="23" t="s">
        <v>17</v>
      </c>
      <c r="C546" s="23" t="s">
        <v>96</v>
      </c>
      <c r="D546" s="24">
        <v>4</v>
      </c>
      <c r="E546" s="17">
        <f>VLOOKUP(B546,'SKU Master'!$B$2:$E$31,4,0)</f>
        <v>109</v>
      </c>
      <c r="F546" s="25">
        <f t="shared" si="16"/>
        <v>436</v>
      </c>
      <c r="G546" s="40" t="str">
        <f t="shared" si="17"/>
        <v>Wed</v>
      </c>
    </row>
    <row r="547" spans="1:7" ht="14.4" x14ac:dyDescent="0.3">
      <c r="A547" s="22">
        <v>44293</v>
      </c>
      <c r="B547" s="23" t="s">
        <v>20</v>
      </c>
      <c r="C547" s="23" t="s">
        <v>96</v>
      </c>
      <c r="D547" s="24">
        <v>3</v>
      </c>
      <c r="E547" s="17">
        <f>VLOOKUP(B547,'SKU Master'!$B$2:$E$31,4,0)</f>
        <v>122</v>
      </c>
      <c r="F547" s="25">
        <f t="shared" si="16"/>
        <v>366</v>
      </c>
      <c r="G547" s="40" t="str">
        <f t="shared" si="17"/>
        <v>Wed</v>
      </c>
    </row>
    <row r="548" spans="1:7" ht="14.4" x14ac:dyDescent="0.3">
      <c r="A548" s="22">
        <v>44293</v>
      </c>
      <c r="B548" s="23" t="s">
        <v>23</v>
      </c>
      <c r="C548" s="23" t="s">
        <v>96</v>
      </c>
      <c r="D548" s="24">
        <v>3</v>
      </c>
      <c r="E548" s="17">
        <f>VLOOKUP(B548,'SKU Master'!$B$2:$E$31,4,0)</f>
        <v>96</v>
      </c>
      <c r="F548" s="25">
        <f t="shared" si="16"/>
        <v>288</v>
      </c>
      <c r="G548" s="40" t="str">
        <f t="shared" si="17"/>
        <v>Wed</v>
      </c>
    </row>
    <row r="549" spans="1:7" ht="14.4" x14ac:dyDescent="0.3">
      <c r="A549" s="22">
        <v>44293</v>
      </c>
      <c r="B549" s="23" t="s">
        <v>26</v>
      </c>
      <c r="C549" s="23" t="s">
        <v>96</v>
      </c>
      <c r="D549" s="24">
        <v>1</v>
      </c>
      <c r="E549" s="17">
        <f>VLOOKUP(B549,'SKU Master'!$B$2:$E$31,4,0)</f>
        <v>73</v>
      </c>
      <c r="F549" s="25">
        <f t="shared" si="16"/>
        <v>73</v>
      </c>
      <c r="G549" s="40" t="str">
        <f t="shared" si="17"/>
        <v>Wed</v>
      </c>
    </row>
    <row r="550" spans="1:7" ht="14.4" x14ac:dyDescent="0.3">
      <c r="A550" s="22">
        <v>44293</v>
      </c>
      <c r="B550" s="23" t="s">
        <v>29</v>
      </c>
      <c r="C550" s="23" t="s">
        <v>96</v>
      </c>
      <c r="D550" s="24">
        <v>2</v>
      </c>
      <c r="E550" s="17">
        <f>VLOOKUP(B550,'SKU Master'!$B$2:$E$31,4,0)</f>
        <v>225</v>
      </c>
      <c r="F550" s="25">
        <f t="shared" si="16"/>
        <v>450</v>
      </c>
      <c r="G550" s="40" t="str">
        <f t="shared" si="17"/>
        <v>Wed</v>
      </c>
    </row>
    <row r="551" spans="1:7" ht="14.4" x14ac:dyDescent="0.3">
      <c r="A551" s="22">
        <v>44293</v>
      </c>
      <c r="B551" s="23" t="s">
        <v>32</v>
      </c>
      <c r="C551" s="23" t="s">
        <v>96</v>
      </c>
      <c r="D551" s="24">
        <v>0</v>
      </c>
      <c r="E551" s="17">
        <f>VLOOKUP(B551,'SKU Master'!$B$2:$E$31,4,0)</f>
        <v>559</v>
      </c>
      <c r="F551" s="25">
        <f t="shared" si="16"/>
        <v>0</v>
      </c>
      <c r="G551" s="40" t="str">
        <f t="shared" si="17"/>
        <v>Wed</v>
      </c>
    </row>
    <row r="552" spans="1:7" ht="14.4" x14ac:dyDescent="0.3">
      <c r="A552" s="22">
        <v>44293</v>
      </c>
      <c r="B552" s="23" t="s">
        <v>36</v>
      </c>
      <c r="C552" s="23" t="s">
        <v>96</v>
      </c>
      <c r="D552" s="24">
        <v>33</v>
      </c>
      <c r="E552" s="17">
        <f>VLOOKUP(B552,'SKU Master'!$B$2:$E$31,4,0)</f>
        <v>3199</v>
      </c>
      <c r="F552" s="25">
        <f t="shared" si="16"/>
        <v>105567</v>
      </c>
      <c r="G552" s="40" t="str">
        <f t="shared" si="17"/>
        <v>Wed</v>
      </c>
    </row>
    <row r="553" spans="1:7" ht="14.4" x14ac:dyDescent="0.3">
      <c r="A553" s="22">
        <v>44293</v>
      </c>
      <c r="B553" s="23" t="s">
        <v>39</v>
      </c>
      <c r="C553" s="23" t="s">
        <v>96</v>
      </c>
      <c r="D553" s="24">
        <v>16</v>
      </c>
      <c r="E553" s="17">
        <f>VLOOKUP(B553,'SKU Master'!$B$2:$E$31,4,0)</f>
        <v>371</v>
      </c>
      <c r="F553" s="25">
        <f t="shared" si="16"/>
        <v>5936</v>
      </c>
      <c r="G553" s="40" t="str">
        <f t="shared" si="17"/>
        <v>Wed</v>
      </c>
    </row>
    <row r="554" spans="1:7" ht="14.4" x14ac:dyDescent="0.3">
      <c r="A554" s="22">
        <v>44293</v>
      </c>
      <c r="B554" s="23" t="s">
        <v>42</v>
      </c>
      <c r="C554" s="23" t="s">
        <v>96</v>
      </c>
      <c r="D554" s="24">
        <v>10</v>
      </c>
      <c r="E554" s="17">
        <f>VLOOKUP(B554,'SKU Master'!$B$2:$E$31,4,0)</f>
        <v>2300</v>
      </c>
      <c r="F554" s="25">
        <f t="shared" si="16"/>
        <v>23000</v>
      </c>
      <c r="G554" s="40" t="str">
        <f t="shared" si="17"/>
        <v>Wed</v>
      </c>
    </row>
    <row r="555" spans="1:7" ht="14.4" x14ac:dyDescent="0.3">
      <c r="A555" s="22">
        <v>44293</v>
      </c>
      <c r="B555" s="23" t="s">
        <v>45</v>
      </c>
      <c r="C555" s="23" t="s">
        <v>96</v>
      </c>
      <c r="D555" s="24">
        <v>8</v>
      </c>
      <c r="E555" s="17">
        <f>VLOOKUP(B555,'SKU Master'!$B$2:$E$31,4,0)</f>
        <v>499</v>
      </c>
      <c r="F555" s="25">
        <f t="shared" si="16"/>
        <v>3992</v>
      </c>
      <c r="G555" s="40" t="str">
        <f t="shared" si="17"/>
        <v>Wed</v>
      </c>
    </row>
    <row r="556" spans="1:7" ht="14.4" x14ac:dyDescent="0.3">
      <c r="A556" s="22">
        <v>44293</v>
      </c>
      <c r="B556" s="23" t="s">
        <v>48</v>
      </c>
      <c r="C556" s="23" t="s">
        <v>96</v>
      </c>
      <c r="D556" s="24">
        <v>5</v>
      </c>
      <c r="E556" s="17">
        <f>VLOOKUP(B556,'SKU Master'!$B$2:$E$31,4,0)</f>
        <v>299</v>
      </c>
      <c r="F556" s="25">
        <f t="shared" si="16"/>
        <v>1495</v>
      </c>
      <c r="G556" s="40" t="str">
        <f t="shared" si="17"/>
        <v>Wed</v>
      </c>
    </row>
    <row r="557" spans="1:7" ht="14.4" x14ac:dyDescent="0.3">
      <c r="A557" s="22">
        <v>44293</v>
      </c>
      <c r="B557" s="23" t="s">
        <v>51</v>
      </c>
      <c r="C557" s="23" t="s">
        <v>96</v>
      </c>
      <c r="D557" s="24">
        <v>2</v>
      </c>
      <c r="E557" s="17">
        <f>VLOOKUP(B557,'SKU Master'!$B$2:$E$31,4,0)</f>
        <v>901</v>
      </c>
      <c r="F557" s="25">
        <f t="shared" si="16"/>
        <v>1802</v>
      </c>
      <c r="G557" s="40" t="str">
        <f t="shared" si="17"/>
        <v>Wed</v>
      </c>
    </row>
    <row r="558" spans="1:7" ht="14.4" x14ac:dyDescent="0.3">
      <c r="A558" s="22">
        <v>44293</v>
      </c>
      <c r="B558" s="23" t="s">
        <v>54</v>
      </c>
      <c r="C558" s="23" t="s">
        <v>96</v>
      </c>
      <c r="D558" s="24">
        <v>4</v>
      </c>
      <c r="E558" s="17">
        <f>VLOOKUP(B558,'SKU Master'!$B$2:$E$31,4,0)</f>
        <v>929</v>
      </c>
      <c r="F558" s="25">
        <f t="shared" si="16"/>
        <v>3716</v>
      </c>
      <c r="G558" s="40" t="str">
        <f t="shared" si="17"/>
        <v>Wed</v>
      </c>
    </row>
    <row r="559" spans="1:7" ht="14.4" x14ac:dyDescent="0.3">
      <c r="A559" s="22">
        <v>44293</v>
      </c>
      <c r="B559" s="23" t="s">
        <v>57</v>
      </c>
      <c r="C559" s="23" t="s">
        <v>96</v>
      </c>
      <c r="D559" s="24">
        <v>1</v>
      </c>
      <c r="E559" s="17">
        <f>VLOOKUP(B559,'SKU Master'!$B$2:$E$31,4,0)</f>
        <v>1030</v>
      </c>
      <c r="F559" s="25">
        <f t="shared" si="16"/>
        <v>1030</v>
      </c>
      <c r="G559" s="40" t="str">
        <f t="shared" si="17"/>
        <v>Wed</v>
      </c>
    </row>
    <row r="560" spans="1:7" ht="14.4" x14ac:dyDescent="0.3">
      <c r="A560" s="22">
        <v>44293</v>
      </c>
      <c r="B560" s="23" t="s">
        <v>60</v>
      </c>
      <c r="C560" s="23" t="s">
        <v>96</v>
      </c>
      <c r="D560" s="24">
        <v>1</v>
      </c>
      <c r="E560" s="17">
        <f>VLOOKUP(B560,'SKU Master'!$B$2:$E$31,4,0)</f>
        <v>1222</v>
      </c>
      <c r="F560" s="25">
        <f t="shared" si="16"/>
        <v>1222</v>
      </c>
      <c r="G560" s="40" t="str">
        <f t="shared" si="17"/>
        <v>Wed</v>
      </c>
    </row>
    <row r="561" spans="1:7" ht="14.4" x14ac:dyDescent="0.3">
      <c r="A561" s="22">
        <v>44293</v>
      </c>
      <c r="B561" s="23" t="s">
        <v>63</v>
      </c>
      <c r="C561" s="23" t="s">
        <v>96</v>
      </c>
      <c r="D561" s="24">
        <v>1</v>
      </c>
      <c r="E561" s="17">
        <f>VLOOKUP(B561,'SKU Master'!$B$2:$E$31,4,0)</f>
        <v>649</v>
      </c>
      <c r="F561" s="25">
        <f t="shared" si="16"/>
        <v>649</v>
      </c>
      <c r="G561" s="40" t="str">
        <f t="shared" si="17"/>
        <v>Wed</v>
      </c>
    </row>
    <row r="562" spans="1:7" ht="14.4" x14ac:dyDescent="0.3">
      <c r="A562" s="22">
        <v>44293</v>
      </c>
      <c r="B562" s="23" t="s">
        <v>67</v>
      </c>
      <c r="C562" s="23" t="s">
        <v>96</v>
      </c>
      <c r="D562" s="24">
        <v>28</v>
      </c>
      <c r="E562" s="17">
        <f>VLOOKUP(B562,'SKU Master'!$B$2:$E$31,4,0)</f>
        <v>1800</v>
      </c>
      <c r="F562" s="25">
        <f t="shared" si="16"/>
        <v>50400</v>
      </c>
      <c r="G562" s="40" t="str">
        <f t="shared" si="17"/>
        <v>Wed</v>
      </c>
    </row>
    <row r="563" spans="1:7" ht="14.4" x14ac:dyDescent="0.3">
      <c r="A563" s="22">
        <v>44293</v>
      </c>
      <c r="B563" s="23" t="s">
        <v>70</v>
      </c>
      <c r="C563" s="23" t="s">
        <v>96</v>
      </c>
      <c r="D563" s="24">
        <v>13</v>
      </c>
      <c r="E563" s="17">
        <f>VLOOKUP(B563,'SKU Master'!$B$2:$E$31,4,0)</f>
        <v>345</v>
      </c>
      <c r="F563" s="25">
        <f t="shared" si="16"/>
        <v>4485</v>
      </c>
      <c r="G563" s="40" t="str">
        <f t="shared" si="17"/>
        <v>Wed</v>
      </c>
    </row>
    <row r="564" spans="1:7" ht="14.4" x14ac:dyDescent="0.3">
      <c r="A564" s="22">
        <v>44293</v>
      </c>
      <c r="B564" s="23" t="s">
        <v>73</v>
      </c>
      <c r="C564" s="23" t="s">
        <v>96</v>
      </c>
      <c r="D564" s="24">
        <v>11</v>
      </c>
      <c r="E564" s="17">
        <f>VLOOKUP(B564,'SKU Master'!$B$2:$E$31,4,0)</f>
        <v>350</v>
      </c>
      <c r="F564" s="25">
        <f t="shared" si="16"/>
        <v>3850</v>
      </c>
      <c r="G564" s="40" t="str">
        <f t="shared" si="17"/>
        <v>Wed</v>
      </c>
    </row>
    <row r="565" spans="1:7" ht="14.4" x14ac:dyDescent="0.3">
      <c r="A565" s="22">
        <v>44293</v>
      </c>
      <c r="B565" s="23" t="s">
        <v>76</v>
      </c>
      <c r="C565" s="23" t="s">
        <v>96</v>
      </c>
      <c r="D565" s="24">
        <v>10</v>
      </c>
      <c r="E565" s="17">
        <f>VLOOKUP(B565,'SKU Master'!$B$2:$E$31,4,0)</f>
        <v>1575</v>
      </c>
      <c r="F565" s="25">
        <f t="shared" si="16"/>
        <v>15750</v>
      </c>
      <c r="G565" s="40" t="str">
        <f t="shared" si="17"/>
        <v>Wed</v>
      </c>
    </row>
    <row r="566" spans="1:7" ht="14.4" x14ac:dyDescent="0.3">
      <c r="A566" s="22">
        <v>44293</v>
      </c>
      <c r="B566" s="23" t="s">
        <v>78</v>
      </c>
      <c r="C566" s="23" t="s">
        <v>96</v>
      </c>
      <c r="D566" s="24">
        <v>5</v>
      </c>
      <c r="E566" s="17">
        <f>VLOOKUP(B566,'SKU Master'!$B$2:$E$31,4,0)</f>
        <v>1045</v>
      </c>
      <c r="F566" s="25">
        <f t="shared" si="16"/>
        <v>5225</v>
      </c>
      <c r="G566" s="40" t="str">
        <f t="shared" si="17"/>
        <v>Wed</v>
      </c>
    </row>
    <row r="567" spans="1:7" ht="14.4" x14ac:dyDescent="0.3">
      <c r="A567" s="22">
        <v>44293</v>
      </c>
      <c r="B567" s="23" t="s">
        <v>81</v>
      </c>
      <c r="C567" s="23" t="s">
        <v>96</v>
      </c>
      <c r="D567" s="24">
        <v>3</v>
      </c>
      <c r="E567" s="17">
        <f>VLOOKUP(B567,'SKU Master'!$B$2:$E$31,4,0)</f>
        <v>1186</v>
      </c>
      <c r="F567" s="25">
        <f t="shared" si="16"/>
        <v>3558</v>
      </c>
      <c r="G567" s="40" t="str">
        <f t="shared" si="17"/>
        <v>Wed</v>
      </c>
    </row>
    <row r="568" spans="1:7" ht="14.4" x14ac:dyDescent="0.3">
      <c r="A568" s="22">
        <v>44293</v>
      </c>
      <c r="B568" s="23" t="s">
        <v>84</v>
      </c>
      <c r="C568" s="23" t="s">
        <v>96</v>
      </c>
      <c r="D568" s="24">
        <v>3</v>
      </c>
      <c r="E568" s="17">
        <f>VLOOKUP(B568,'SKU Master'!$B$2:$E$31,4,0)</f>
        <v>374</v>
      </c>
      <c r="F568" s="25">
        <f t="shared" si="16"/>
        <v>1122</v>
      </c>
      <c r="G568" s="40" t="str">
        <f t="shared" si="17"/>
        <v>Wed</v>
      </c>
    </row>
    <row r="569" spans="1:7" ht="14.4" x14ac:dyDescent="0.3">
      <c r="A569" s="22">
        <v>44293</v>
      </c>
      <c r="B569" s="23" t="s">
        <v>87</v>
      </c>
      <c r="C569" s="23" t="s">
        <v>96</v>
      </c>
      <c r="D569" s="24">
        <v>2</v>
      </c>
      <c r="E569" s="17">
        <f>VLOOKUP(B569,'SKU Master'!$B$2:$E$31,4,0)</f>
        <v>1500</v>
      </c>
      <c r="F569" s="25">
        <f t="shared" si="16"/>
        <v>3000</v>
      </c>
      <c r="G569" s="40" t="str">
        <f t="shared" si="17"/>
        <v>Wed</v>
      </c>
    </row>
    <row r="570" spans="1:7" ht="14.4" x14ac:dyDescent="0.3">
      <c r="A570" s="22">
        <v>44293</v>
      </c>
      <c r="B570" s="23" t="s">
        <v>90</v>
      </c>
      <c r="C570" s="23" t="s">
        <v>96</v>
      </c>
      <c r="D570" s="24">
        <v>0</v>
      </c>
      <c r="E570" s="17">
        <f>VLOOKUP(B570,'SKU Master'!$B$2:$E$31,4,0)</f>
        <v>1800</v>
      </c>
      <c r="F570" s="25">
        <f t="shared" si="16"/>
        <v>0</v>
      </c>
      <c r="G570" s="40" t="str">
        <f t="shared" si="17"/>
        <v>Wed</v>
      </c>
    </row>
    <row r="571" spans="1:7" ht="14.4" x14ac:dyDescent="0.3">
      <c r="A571" s="22">
        <v>44293</v>
      </c>
      <c r="B571" s="23" t="s">
        <v>93</v>
      </c>
      <c r="C571" s="23" t="s">
        <v>96</v>
      </c>
      <c r="D571" s="24">
        <v>0</v>
      </c>
      <c r="E571" s="17">
        <f>VLOOKUP(B571,'SKU Master'!$B$2:$E$31,4,0)</f>
        <v>1477</v>
      </c>
      <c r="F571" s="25">
        <f t="shared" si="16"/>
        <v>0</v>
      </c>
      <c r="G571" s="40" t="str">
        <f t="shared" si="17"/>
        <v>Wed</v>
      </c>
    </row>
    <row r="572" spans="1:7" ht="14.4" x14ac:dyDescent="0.3">
      <c r="A572" s="22">
        <v>44293</v>
      </c>
      <c r="B572" s="23" t="s">
        <v>6</v>
      </c>
      <c r="C572" s="23" t="s">
        <v>98</v>
      </c>
      <c r="D572" s="24">
        <v>19</v>
      </c>
      <c r="E572" s="17">
        <f>VLOOKUP(B572,'SKU Master'!$B$2:$E$31,4,0)</f>
        <v>210</v>
      </c>
      <c r="F572" s="25">
        <f t="shared" si="16"/>
        <v>3990</v>
      </c>
      <c r="G572" s="40" t="str">
        <f t="shared" si="17"/>
        <v>Wed</v>
      </c>
    </row>
    <row r="573" spans="1:7" ht="14.4" x14ac:dyDescent="0.3">
      <c r="A573" s="22">
        <v>44293</v>
      </c>
      <c r="B573" s="23" t="s">
        <v>9</v>
      </c>
      <c r="C573" s="23" t="s">
        <v>98</v>
      </c>
      <c r="D573" s="24">
        <v>11</v>
      </c>
      <c r="E573" s="17">
        <f>VLOOKUP(B573,'SKU Master'!$B$2:$E$31,4,0)</f>
        <v>199</v>
      </c>
      <c r="F573" s="25">
        <f t="shared" si="16"/>
        <v>2189</v>
      </c>
      <c r="G573" s="40" t="str">
        <f t="shared" si="17"/>
        <v>Wed</v>
      </c>
    </row>
    <row r="574" spans="1:7" ht="14.4" x14ac:dyDescent="0.3">
      <c r="A574" s="22">
        <v>44293</v>
      </c>
      <c r="B574" s="23" t="s">
        <v>12</v>
      </c>
      <c r="C574" s="23" t="s">
        <v>98</v>
      </c>
      <c r="D574" s="24">
        <v>6</v>
      </c>
      <c r="E574" s="17">
        <f>VLOOKUP(B574,'SKU Master'!$B$2:$E$31,4,0)</f>
        <v>322</v>
      </c>
      <c r="F574" s="25">
        <f t="shared" si="16"/>
        <v>1932</v>
      </c>
      <c r="G574" s="40" t="str">
        <f t="shared" si="17"/>
        <v>Wed</v>
      </c>
    </row>
    <row r="575" spans="1:7" ht="14.4" x14ac:dyDescent="0.3">
      <c r="A575" s="22">
        <v>44293</v>
      </c>
      <c r="B575" s="23" t="s">
        <v>15</v>
      </c>
      <c r="C575" s="23" t="s">
        <v>98</v>
      </c>
      <c r="D575" s="24">
        <v>6</v>
      </c>
      <c r="E575" s="17">
        <f>VLOOKUP(B575,'SKU Master'!$B$2:$E$31,4,0)</f>
        <v>161</v>
      </c>
      <c r="F575" s="25">
        <f t="shared" si="16"/>
        <v>966</v>
      </c>
      <c r="G575" s="40" t="str">
        <f t="shared" si="17"/>
        <v>Wed</v>
      </c>
    </row>
    <row r="576" spans="1:7" ht="14.4" x14ac:dyDescent="0.3">
      <c r="A576" s="22">
        <v>44293</v>
      </c>
      <c r="B576" s="23" t="s">
        <v>17</v>
      </c>
      <c r="C576" s="23" t="s">
        <v>98</v>
      </c>
      <c r="D576" s="24">
        <v>3</v>
      </c>
      <c r="E576" s="17">
        <f>VLOOKUP(B576,'SKU Master'!$B$2:$E$31,4,0)</f>
        <v>109</v>
      </c>
      <c r="F576" s="25">
        <f t="shared" si="16"/>
        <v>327</v>
      </c>
      <c r="G576" s="40" t="str">
        <f t="shared" si="17"/>
        <v>Wed</v>
      </c>
    </row>
    <row r="577" spans="1:7" ht="14.4" x14ac:dyDescent="0.3">
      <c r="A577" s="22">
        <v>44293</v>
      </c>
      <c r="B577" s="23" t="s">
        <v>20</v>
      </c>
      <c r="C577" s="23" t="s">
        <v>98</v>
      </c>
      <c r="D577" s="24">
        <v>2</v>
      </c>
      <c r="E577" s="17">
        <f>VLOOKUP(B577,'SKU Master'!$B$2:$E$31,4,0)</f>
        <v>122</v>
      </c>
      <c r="F577" s="25">
        <f t="shared" si="16"/>
        <v>244</v>
      </c>
      <c r="G577" s="40" t="str">
        <f t="shared" si="17"/>
        <v>Wed</v>
      </c>
    </row>
    <row r="578" spans="1:7" ht="14.4" x14ac:dyDescent="0.3">
      <c r="A578" s="22">
        <v>44293</v>
      </c>
      <c r="B578" s="23" t="s">
        <v>23</v>
      </c>
      <c r="C578" s="23" t="s">
        <v>98</v>
      </c>
      <c r="D578" s="24">
        <v>2</v>
      </c>
      <c r="E578" s="17">
        <f>VLOOKUP(B578,'SKU Master'!$B$2:$E$31,4,0)</f>
        <v>96</v>
      </c>
      <c r="F578" s="25">
        <f t="shared" si="16"/>
        <v>192</v>
      </c>
      <c r="G578" s="40" t="str">
        <f t="shared" si="17"/>
        <v>Wed</v>
      </c>
    </row>
    <row r="579" spans="1:7" ht="14.4" x14ac:dyDescent="0.3">
      <c r="A579" s="22">
        <v>44293</v>
      </c>
      <c r="B579" s="23" t="s">
        <v>26</v>
      </c>
      <c r="C579" s="23" t="s">
        <v>98</v>
      </c>
      <c r="D579" s="24">
        <v>0</v>
      </c>
      <c r="E579" s="17">
        <f>VLOOKUP(B579,'SKU Master'!$B$2:$E$31,4,0)</f>
        <v>73</v>
      </c>
      <c r="F579" s="25">
        <f t="shared" ref="F579:F642" si="18">D579*E579</f>
        <v>0</v>
      </c>
      <c r="G579" s="40" t="str">
        <f t="shared" si="17"/>
        <v>Wed</v>
      </c>
    </row>
    <row r="580" spans="1:7" ht="14.4" x14ac:dyDescent="0.3">
      <c r="A580" s="22">
        <v>44293</v>
      </c>
      <c r="B580" s="23" t="s">
        <v>29</v>
      </c>
      <c r="C580" s="23" t="s">
        <v>98</v>
      </c>
      <c r="D580" s="24">
        <v>1</v>
      </c>
      <c r="E580" s="17">
        <f>VLOOKUP(B580,'SKU Master'!$B$2:$E$31,4,0)</f>
        <v>225</v>
      </c>
      <c r="F580" s="25">
        <f t="shared" si="18"/>
        <v>225</v>
      </c>
      <c r="G580" s="40" t="str">
        <f t="shared" ref="G580:G643" si="19">CHOOSE(WEEKDAY(A580),"Sun","Mon","Tue","Wed","Thu","Fri","Sat")</f>
        <v>Wed</v>
      </c>
    </row>
    <row r="581" spans="1:7" ht="14.4" x14ac:dyDescent="0.3">
      <c r="A581" s="22">
        <v>44293</v>
      </c>
      <c r="B581" s="23" t="s">
        <v>32</v>
      </c>
      <c r="C581" s="23" t="s">
        <v>98</v>
      </c>
      <c r="D581" s="24">
        <v>0</v>
      </c>
      <c r="E581" s="17">
        <f>VLOOKUP(B581,'SKU Master'!$B$2:$E$31,4,0)</f>
        <v>559</v>
      </c>
      <c r="F581" s="25">
        <f t="shared" si="18"/>
        <v>0</v>
      </c>
      <c r="G581" s="40" t="str">
        <f t="shared" si="19"/>
        <v>Wed</v>
      </c>
    </row>
    <row r="582" spans="1:7" ht="14.4" x14ac:dyDescent="0.3">
      <c r="A582" s="22">
        <v>44293</v>
      </c>
      <c r="B582" s="23" t="s">
        <v>36</v>
      </c>
      <c r="C582" s="23" t="s">
        <v>98</v>
      </c>
      <c r="D582" s="24">
        <v>2</v>
      </c>
      <c r="E582" s="17">
        <f>VLOOKUP(B582,'SKU Master'!$B$2:$E$31,4,0)</f>
        <v>3199</v>
      </c>
      <c r="F582" s="25">
        <f t="shared" si="18"/>
        <v>6398</v>
      </c>
      <c r="G582" s="40" t="str">
        <f t="shared" si="19"/>
        <v>Wed</v>
      </c>
    </row>
    <row r="583" spans="1:7" ht="14.4" x14ac:dyDescent="0.3">
      <c r="A583" s="22">
        <v>44293</v>
      </c>
      <c r="B583" s="23" t="s">
        <v>39</v>
      </c>
      <c r="C583" s="23" t="s">
        <v>98</v>
      </c>
      <c r="D583" s="24">
        <v>7</v>
      </c>
      <c r="E583" s="17">
        <f>VLOOKUP(B583,'SKU Master'!$B$2:$E$31,4,0)</f>
        <v>371</v>
      </c>
      <c r="F583" s="25">
        <f t="shared" si="18"/>
        <v>2597</v>
      </c>
      <c r="G583" s="40" t="str">
        <f t="shared" si="19"/>
        <v>Wed</v>
      </c>
    </row>
    <row r="584" spans="1:7" ht="14.4" x14ac:dyDescent="0.3">
      <c r="A584" s="22">
        <v>44293</v>
      </c>
      <c r="B584" s="23" t="s">
        <v>42</v>
      </c>
      <c r="C584" s="23" t="s">
        <v>98</v>
      </c>
      <c r="D584" s="24">
        <v>5</v>
      </c>
      <c r="E584" s="17">
        <f>VLOOKUP(B584,'SKU Master'!$B$2:$E$31,4,0)</f>
        <v>2300</v>
      </c>
      <c r="F584" s="25">
        <f t="shared" si="18"/>
        <v>11500</v>
      </c>
      <c r="G584" s="40" t="str">
        <f t="shared" si="19"/>
        <v>Wed</v>
      </c>
    </row>
    <row r="585" spans="1:7" ht="14.4" x14ac:dyDescent="0.3">
      <c r="A585" s="22">
        <v>44293</v>
      </c>
      <c r="B585" s="23" t="s">
        <v>45</v>
      </c>
      <c r="C585" s="23" t="s">
        <v>98</v>
      </c>
      <c r="D585" s="24">
        <v>2</v>
      </c>
      <c r="E585" s="17">
        <f>VLOOKUP(B585,'SKU Master'!$B$2:$E$31,4,0)</f>
        <v>499</v>
      </c>
      <c r="F585" s="25">
        <f t="shared" si="18"/>
        <v>998</v>
      </c>
      <c r="G585" s="40" t="str">
        <f t="shared" si="19"/>
        <v>Wed</v>
      </c>
    </row>
    <row r="586" spans="1:7" ht="14.4" x14ac:dyDescent="0.3">
      <c r="A586" s="22">
        <v>44293</v>
      </c>
      <c r="B586" s="23" t="s">
        <v>48</v>
      </c>
      <c r="C586" s="23" t="s">
        <v>98</v>
      </c>
      <c r="D586" s="24">
        <v>4</v>
      </c>
      <c r="E586" s="17">
        <f>VLOOKUP(B586,'SKU Master'!$B$2:$E$31,4,0)</f>
        <v>299</v>
      </c>
      <c r="F586" s="25">
        <f t="shared" si="18"/>
        <v>1196</v>
      </c>
      <c r="G586" s="40" t="str">
        <f t="shared" si="19"/>
        <v>Wed</v>
      </c>
    </row>
    <row r="587" spans="1:7" ht="14.4" x14ac:dyDescent="0.3">
      <c r="A587" s="22">
        <v>44293</v>
      </c>
      <c r="B587" s="23" t="s">
        <v>51</v>
      </c>
      <c r="C587" s="23" t="s">
        <v>98</v>
      </c>
      <c r="D587" s="24">
        <v>2</v>
      </c>
      <c r="E587" s="17">
        <f>VLOOKUP(B587,'SKU Master'!$B$2:$E$31,4,0)</f>
        <v>901</v>
      </c>
      <c r="F587" s="25">
        <f t="shared" si="18"/>
        <v>1802</v>
      </c>
      <c r="G587" s="40" t="str">
        <f t="shared" si="19"/>
        <v>Wed</v>
      </c>
    </row>
    <row r="588" spans="1:7" ht="14.4" x14ac:dyDescent="0.3">
      <c r="A588" s="22">
        <v>44293</v>
      </c>
      <c r="B588" s="23" t="s">
        <v>54</v>
      </c>
      <c r="C588" s="23" t="s">
        <v>98</v>
      </c>
      <c r="D588" s="24">
        <v>4</v>
      </c>
      <c r="E588" s="17">
        <f>VLOOKUP(B588,'SKU Master'!$B$2:$E$31,4,0)</f>
        <v>929</v>
      </c>
      <c r="F588" s="25">
        <f t="shared" si="18"/>
        <v>3716</v>
      </c>
      <c r="G588" s="40" t="str">
        <f t="shared" si="19"/>
        <v>Wed</v>
      </c>
    </row>
    <row r="589" spans="1:7" ht="14.4" x14ac:dyDescent="0.3">
      <c r="A589" s="22">
        <v>44293</v>
      </c>
      <c r="B589" s="23" t="s">
        <v>57</v>
      </c>
      <c r="C589" s="23" t="s">
        <v>98</v>
      </c>
      <c r="D589" s="24">
        <v>1</v>
      </c>
      <c r="E589" s="17">
        <f>VLOOKUP(B589,'SKU Master'!$B$2:$E$31,4,0)</f>
        <v>1030</v>
      </c>
      <c r="F589" s="25">
        <f t="shared" si="18"/>
        <v>1030</v>
      </c>
      <c r="G589" s="40" t="str">
        <f t="shared" si="19"/>
        <v>Wed</v>
      </c>
    </row>
    <row r="590" spans="1:7" ht="14.4" x14ac:dyDescent="0.3">
      <c r="A590" s="22">
        <v>44293</v>
      </c>
      <c r="B590" s="23" t="s">
        <v>60</v>
      </c>
      <c r="C590" s="23" t="s">
        <v>98</v>
      </c>
      <c r="D590" s="24">
        <v>0</v>
      </c>
      <c r="E590" s="17">
        <f>VLOOKUP(B590,'SKU Master'!$B$2:$E$31,4,0)</f>
        <v>1222</v>
      </c>
      <c r="F590" s="25">
        <f t="shared" si="18"/>
        <v>0</v>
      </c>
      <c r="G590" s="40" t="str">
        <f t="shared" si="19"/>
        <v>Wed</v>
      </c>
    </row>
    <row r="591" spans="1:7" ht="14.4" x14ac:dyDescent="0.3">
      <c r="A591" s="22">
        <v>44293</v>
      </c>
      <c r="B591" s="23" t="s">
        <v>63</v>
      </c>
      <c r="C591" s="23" t="s">
        <v>98</v>
      </c>
      <c r="D591" s="24">
        <v>0</v>
      </c>
      <c r="E591" s="17">
        <f>VLOOKUP(B591,'SKU Master'!$B$2:$E$31,4,0)</f>
        <v>649</v>
      </c>
      <c r="F591" s="25">
        <f t="shared" si="18"/>
        <v>0</v>
      </c>
      <c r="G591" s="40" t="str">
        <f t="shared" si="19"/>
        <v>Wed</v>
      </c>
    </row>
    <row r="592" spans="1:7" ht="14.4" x14ac:dyDescent="0.3">
      <c r="A592" s="22">
        <v>44293</v>
      </c>
      <c r="B592" s="23" t="s">
        <v>67</v>
      </c>
      <c r="C592" s="23" t="s">
        <v>98</v>
      </c>
      <c r="D592" s="24">
        <v>25</v>
      </c>
      <c r="E592" s="17">
        <f>VLOOKUP(B592,'SKU Master'!$B$2:$E$31,4,0)</f>
        <v>1800</v>
      </c>
      <c r="F592" s="25">
        <f t="shared" si="18"/>
        <v>45000</v>
      </c>
      <c r="G592" s="40" t="str">
        <f t="shared" si="19"/>
        <v>Wed</v>
      </c>
    </row>
    <row r="593" spans="1:7" ht="14.4" x14ac:dyDescent="0.3">
      <c r="A593" s="22">
        <v>44293</v>
      </c>
      <c r="B593" s="23" t="s">
        <v>70</v>
      </c>
      <c r="C593" s="23" t="s">
        <v>98</v>
      </c>
      <c r="D593" s="24">
        <v>10</v>
      </c>
      <c r="E593" s="17">
        <f>VLOOKUP(B593,'SKU Master'!$B$2:$E$31,4,0)</f>
        <v>345</v>
      </c>
      <c r="F593" s="25">
        <f t="shared" si="18"/>
        <v>3450</v>
      </c>
      <c r="G593" s="40" t="str">
        <f t="shared" si="19"/>
        <v>Wed</v>
      </c>
    </row>
    <row r="594" spans="1:7" ht="14.4" x14ac:dyDescent="0.3">
      <c r="A594" s="22">
        <v>44293</v>
      </c>
      <c r="B594" s="23" t="s">
        <v>73</v>
      </c>
      <c r="C594" s="23" t="s">
        <v>98</v>
      </c>
      <c r="D594" s="24">
        <v>6</v>
      </c>
      <c r="E594" s="17">
        <f>VLOOKUP(B594,'SKU Master'!$B$2:$E$31,4,0)</f>
        <v>350</v>
      </c>
      <c r="F594" s="25">
        <f t="shared" si="18"/>
        <v>2100</v>
      </c>
      <c r="G594" s="40" t="str">
        <f t="shared" si="19"/>
        <v>Wed</v>
      </c>
    </row>
    <row r="595" spans="1:7" ht="14.4" x14ac:dyDescent="0.3">
      <c r="A595" s="22">
        <v>44293</v>
      </c>
      <c r="B595" s="23" t="s">
        <v>76</v>
      </c>
      <c r="C595" s="23" t="s">
        <v>98</v>
      </c>
      <c r="D595" s="24">
        <v>7</v>
      </c>
      <c r="E595" s="17">
        <f>VLOOKUP(B595,'SKU Master'!$B$2:$E$31,4,0)</f>
        <v>1575</v>
      </c>
      <c r="F595" s="25">
        <f t="shared" si="18"/>
        <v>11025</v>
      </c>
      <c r="G595" s="40" t="str">
        <f t="shared" si="19"/>
        <v>Wed</v>
      </c>
    </row>
    <row r="596" spans="1:7" ht="14.4" x14ac:dyDescent="0.3">
      <c r="A596" s="22">
        <v>44293</v>
      </c>
      <c r="B596" s="23" t="s">
        <v>78</v>
      </c>
      <c r="C596" s="23" t="s">
        <v>98</v>
      </c>
      <c r="D596" s="24">
        <v>5</v>
      </c>
      <c r="E596" s="17">
        <f>VLOOKUP(B596,'SKU Master'!$B$2:$E$31,4,0)</f>
        <v>1045</v>
      </c>
      <c r="F596" s="25">
        <f t="shared" si="18"/>
        <v>5225</v>
      </c>
      <c r="G596" s="40" t="str">
        <f t="shared" si="19"/>
        <v>Wed</v>
      </c>
    </row>
    <row r="597" spans="1:7" ht="14.4" x14ac:dyDescent="0.3">
      <c r="A597" s="22">
        <v>44293</v>
      </c>
      <c r="B597" s="23" t="s">
        <v>81</v>
      </c>
      <c r="C597" s="23" t="s">
        <v>98</v>
      </c>
      <c r="D597" s="24">
        <v>2</v>
      </c>
      <c r="E597" s="17">
        <f>VLOOKUP(B597,'SKU Master'!$B$2:$E$31,4,0)</f>
        <v>1186</v>
      </c>
      <c r="F597" s="25">
        <f t="shared" si="18"/>
        <v>2372</v>
      </c>
      <c r="G597" s="40" t="str">
        <f t="shared" si="19"/>
        <v>Wed</v>
      </c>
    </row>
    <row r="598" spans="1:7" ht="14.4" x14ac:dyDescent="0.3">
      <c r="A598" s="22">
        <v>44293</v>
      </c>
      <c r="B598" s="23" t="s">
        <v>84</v>
      </c>
      <c r="C598" s="23" t="s">
        <v>98</v>
      </c>
      <c r="D598" s="24">
        <v>0</v>
      </c>
      <c r="E598" s="17">
        <f>VLOOKUP(B598,'SKU Master'!$B$2:$E$31,4,0)</f>
        <v>374</v>
      </c>
      <c r="F598" s="25">
        <f t="shared" si="18"/>
        <v>0</v>
      </c>
      <c r="G598" s="40" t="str">
        <f t="shared" si="19"/>
        <v>Wed</v>
      </c>
    </row>
    <row r="599" spans="1:7" ht="14.4" x14ac:dyDescent="0.3">
      <c r="A599" s="22">
        <v>44293</v>
      </c>
      <c r="B599" s="23" t="s">
        <v>87</v>
      </c>
      <c r="C599" s="23" t="s">
        <v>98</v>
      </c>
      <c r="D599" s="24">
        <v>1</v>
      </c>
      <c r="E599" s="17">
        <f>VLOOKUP(B599,'SKU Master'!$B$2:$E$31,4,0)</f>
        <v>1500</v>
      </c>
      <c r="F599" s="25">
        <f t="shared" si="18"/>
        <v>1500</v>
      </c>
      <c r="G599" s="40" t="str">
        <f t="shared" si="19"/>
        <v>Wed</v>
      </c>
    </row>
    <row r="600" spans="1:7" ht="14.4" x14ac:dyDescent="0.3">
      <c r="A600" s="22">
        <v>44293</v>
      </c>
      <c r="B600" s="23" t="s">
        <v>90</v>
      </c>
      <c r="C600" s="23" t="s">
        <v>98</v>
      </c>
      <c r="D600" s="24">
        <v>0</v>
      </c>
      <c r="E600" s="17">
        <f>VLOOKUP(B600,'SKU Master'!$B$2:$E$31,4,0)</f>
        <v>1800</v>
      </c>
      <c r="F600" s="25">
        <f t="shared" si="18"/>
        <v>0</v>
      </c>
      <c r="G600" s="40" t="str">
        <f t="shared" si="19"/>
        <v>Wed</v>
      </c>
    </row>
    <row r="601" spans="1:7" ht="14.4" x14ac:dyDescent="0.3">
      <c r="A601" s="22">
        <v>44293</v>
      </c>
      <c r="B601" s="23" t="s">
        <v>93</v>
      </c>
      <c r="C601" s="23" t="s">
        <v>98</v>
      </c>
      <c r="D601" s="24">
        <v>0</v>
      </c>
      <c r="E601" s="17">
        <f>VLOOKUP(B601,'SKU Master'!$B$2:$E$31,4,0)</f>
        <v>1477</v>
      </c>
      <c r="F601" s="25">
        <f t="shared" si="18"/>
        <v>0</v>
      </c>
      <c r="G601" s="40" t="str">
        <f t="shared" si="19"/>
        <v>Wed</v>
      </c>
    </row>
    <row r="602" spans="1:7" ht="14.4" x14ac:dyDescent="0.3">
      <c r="A602" s="22">
        <v>44293</v>
      </c>
      <c r="B602" s="23" t="s">
        <v>6</v>
      </c>
      <c r="C602" s="23" t="s">
        <v>97</v>
      </c>
      <c r="D602" s="24">
        <v>11</v>
      </c>
      <c r="E602" s="17">
        <f>VLOOKUP(B602,'SKU Master'!$B$2:$E$31,4,0)</f>
        <v>210</v>
      </c>
      <c r="F602" s="25">
        <f t="shared" si="18"/>
        <v>2310</v>
      </c>
      <c r="G602" s="40" t="str">
        <f t="shared" si="19"/>
        <v>Wed</v>
      </c>
    </row>
    <row r="603" spans="1:7" ht="14.4" x14ac:dyDescent="0.3">
      <c r="A603" s="22">
        <v>44293</v>
      </c>
      <c r="B603" s="23" t="s">
        <v>9</v>
      </c>
      <c r="C603" s="23" t="s">
        <v>97</v>
      </c>
      <c r="D603" s="24">
        <v>1</v>
      </c>
      <c r="E603" s="17">
        <f>VLOOKUP(B603,'SKU Master'!$B$2:$E$31,4,0)</f>
        <v>199</v>
      </c>
      <c r="F603" s="25">
        <f t="shared" si="18"/>
        <v>199</v>
      </c>
      <c r="G603" s="40" t="str">
        <f t="shared" si="19"/>
        <v>Wed</v>
      </c>
    </row>
    <row r="604" spans="1:7" ht="14.4" x14ac:dyDescent="0.3">
      <c r="A604" s="22">
        <v>44293</v>
      </c>
      <c r="B604" s="23" t="s">
        <v>12</v>
      </c>
      <c r="C604" s="23" t="s">
        <v>97</v>
      </c>
      <c r="D604" s="24">
        <v>6</v>
      </c>
      <c r="E604" s="17">
        <f>VLOOKUP(B604,'SKU Master'!$B$2:$E$31,4,0)</f>
        <v>322</v>
      </c>
      <c r="F604" s="25">
        <f t="shared" si="18"/>
        <v>1932</v>
      </c>
      <c r="G604" s="40" t="str">
        <f t="shared" si="19"/>
        <v>Wed</v>
      </c>
    </row>
    <row r="605" spans="1:7" ht="14.4" x14ac:dyDescent="0.3">
      <c r="A605" s="22">
        <v>44293</v>
      </c>
      <c r="B605" s="23" t="s">
        <v>15</v>
      </c>
      <c r="C605" s="23" t="s">
        <v>97</v>
      </c>
      <c r="D605" s="24">
        <v>3</v>
      </c>
      <c r="E605" s="17">
        <f>VLOOKUP(B605,'SKU Master'!$B$2:$E$31,4,0)</f>
        <v>161</v>
      </c>
      <c r="F605" s="25">
        <f t="shared" si="18"/>
        <v>483</v>
      </c>
      <c r="G605" s="40" t="str">
        <f t="shared" si="19"/>
        <v>Wed</v>
      </c>
    </row>
    <row r="606" spans="1:7" ht="14.4" x14ac:dyDescent="0.3">
      <c r="A606" s="22">
        <v>44293</v>
      </c>
      <c r="B606" s="23" t="s">
        <v>17</v>
      </c>
      <c r="C606" s="23" t="s">
        <v>97</v>
      </c>
      <c r="D606" s="24">
        <v>3</v>
      </c>
      <c r="E606" s="17">
        <f>VLOOKUP(B606,'SKU Master'!$B$2:$E$31,4,0)</f>
        <v>109</v>
      </c>
      <c r="F606" s="25">
        <f t="shared" si="18"/>
        <v>327</v>
      </c>
      <c r="G606" s="40" t="str">
        <f t="shared" si="19"/>
        <v>Wed</v>
      </c>
    </row>
    <row r="607" spans="1:7" ht="14.4" x14ac:dyDescent="0.3">
      <c r="A607" s="22">
        <v>44293</v>
      </c>
      <c r="B607" s="23" t="s">
        <v>20</v>
      </c>
      <c r="C607" s="23" t="s">
        <v>97</v>
      </c>
      <c r="D607" s="24">
        <v>2</v>
      </c>
      <c r="E607" s="17">
        <f>VLOOKUP(B607,'SKU Master'!$B$2:$E$31,4,0)</f>
        <v>122</v>
      </c>
      <c r="F607" s="25">
        <f t="shared" si="18"/>
        <v>244</v>
      </c>
      <c r="G607" s="40" t="str">
        <f t="shared" si="19"/>
        <v>Wed</v>
      </c>
    </row>
    <row r="608" spans="1:7" ht="14.4" x14ac:dyDescent="0.3">
      <c r="A608" s="22">
        <v>44293</v>
      </c>
      <c r="B608" s="23" t="s">
        <v>23</v>
      </c>
      <c r="C608" s="23" t="s">
        <v>97</v>
      </c>
      <c r="D608" s="24">
        <v>2</v>
      </c>
      <c r="E608" s="17">
        <f>VLOOKUP(B608,'SKU Master'!$B$2:$E$31,4,0)</f>
        <v>96</v>
      </c>
      <c r="F608" s="25">
        <f t="shared" si="18"/>
        <v>192</v>
      </c>
      <c r="G608" s="40" t="str">
        <f t="shared" si="19"/>
        <v>Wed</v>
      </c>
    </row>
    <row r="609" spans="1:7" ht="14.4" x14ac:dyDescent="0.3">
      <c r="A609" s="22">
        <v>44293</v>
      </c>
      <c r="B609" s="23" t="s">
        <v>26</v>
      </c>
      <c r="C609" s="23" t="s">
        <v>97</v>
      </c>
      <c r="D609" s="24">
        <v>2</v>
      </c>
      <c r="E609" s="17">
        <f>VLOOKUP(B609,'SKU Master'!$B$2:$E$31,4,0)</f>
        <v>73</v>
      </c>
      <c r="F609" s="25">
        <f t="shared" si="18"/>
        <v>146</v>
      </c>
      <c r="G609" s="40" t="str">
        <f t="shared" si="19"/>
        <v>Wed</v>
      </c>
    </row>
    <row r="610" spans="1:7" ht="14.4" x14ac:dyDescent="0.3">
      <c r="A610" s="22">
        <v>44293</v>
      </c>
      <c r="B610" s="23" t="s">
        <v>29</v>
      </c>
      <c r="C610" s="23" t="s">
        <v>97</v>
      </c>
      <c r="D610" s="24">
        <v>2</v>
      </c>
      <c r="E610" s="17">
        <f>VLOOKUP(B610,'SKU Master'!$B$2:$E$31,4,0)</f>
        <v>225</v>
      </c>
      <c r="F610" s="25">
        <f t="shared" si="18"/>
        <v>450</v>
      </c>
      <c r="G610" s="40" t="str">
        <f t="shared" si="19"/>
        <v>Wed</v>
      </c>
    </row>
    <row r="611" spans="1:7" ht="14.4" x14ac:dyDescent="0.3">
      <c r="A611" s="22">
        <v>44293</v>
      </c>
      <c r="B611" s="23" t="s">
        <v>32</v>
      </c>
      <c r="C611" s="23" t="s">
        <v>97</v>
      </c>
      <c r="D611" s="24">
        <v>2</v>
      </c>
      <c r="E611" s="17">
        <f>VLOOKUP(B611,'SKU Master'!$B$2:$E$31,4,0)</f>
        <v>559</v>
      </c>
      <c r="F611" s="25">
        <f t="shared" si="18"/>
        <v>1118</v>
      </c>
      <c r="G611" s="40" t="str">
        <f t="shared" si="19"/>
        <v>Wed</v>
      </c>
    </row>
    <row r="612" spans="1:7" ht="14.4" x14ac:dyDescent="0.3">
      <c r="A612" s="22">
        <v>44293</v>
      </c>
      <c r="B612" s="23" t="s">
        <v>36</v>
      </c>
      <c r="C612" s="23" t="s">
        <v>97</v>
      </c>
      <c r="D612" s="24">
        <v>21</v>
      </c>
      <c r="E612" s="17">
        <f>VLOOKUP(B612,'SKU Master'!$B$2:$E$31,4,0)</f>
        <v>3199</v>
      </c>
      <c r="F612" s="25">
        <f t="shared" si="18"/>
        <v>67179</v>
      </c>
      <c r="G612" s="40" t="str">
        <f t="shared" si="19"/>
        <v>Wed</v>
      </c>
    </row>
    <row r="613" spans="1:7" ht="14.4" x14ac:dyDescent="0.3">
      <c r="A613" s="22">
        <v>44293</v>
      </c>
      <c r="B613" s="23" t="s">
        <v>39</v>
      </c>
      <c r="C613" s="23" t="s">
        <v>97</v>
      </c>
      <c r="D613" s="24">
        <v>9</v>
      </c>
      <c r="E613" s="17">
        <f>VLOOKUP(B613,'SKU Master'!$B$2:$E$31,4,0)</f>
        <v>371</v>
      </c>
      <c r="F613" s="25">
        <f t="shared" si="18"/>
        <v>3339</v>
      </c>
      <c r="G613" s="40" t="str">
        <f t="shared" si="19"/>
        <v>Wed</v>
      </c>
    </row>
    <row r="614" spans="1:7" ht="14.4" x14ac:dyDescent="0.3">
      <c r="A614" s="22">
        <v>44293</v>
      </c>
      <c r="B614" s="23" t="s">
        <v>42</v>
      </c>
      <c r="C614" s="23" t="s">
        <v>97</v>
      </c>
      <c r="D614" s="24">
        <v>10</v>
      </c>
      <c r="E614" s="17">
        <f>VLOOKUP(B614,'SKU Master'!$B$2:$E$31,4,0)</f>
        <v>2300</v>
      </c>
      <c r="F614" s="25">
        <f t="shared" si="18"/>
        <v>23000</v>
      </c>
      <c r="G614" s="40" t="str">
        <f t="shared" si="19"/>
        <v>Wed</v>
      </c>
    </row>
    <row r="615" spans="1:7" ht="14.4" x14ac:dyDescent="0.3">
      <c r="A615" s="22">
        <v>44293</v>
      </c>
      <c r="B615" s="23" t="s">
        <v>45</v>
      </c>
      <c r="C615" s="23" t="s">
        <v>97</v>
      </c>
      <c r="D615" s="24">
        <v>10</v>
      </c>
      <c r="E615" s="17">
        <f>VLOOKUP(B615,'SKU Master'!$B$2:$E$31,4,0)</f>
        <v>499</v>
      </c>
      <c r="F615" s="25">
        <f t="shared" si="18"/>
        <v>4990</v>
      </c>
      <c r="G615" s="40" t="str">
        <f t="shared" si="19"/>
        <v>Wed</v>
      </c>
    </row>
    <row r="616" spans="1:7" ht="14.4" x14ac:dyDescent="0.3">
      <c r="A616" s="22">
        <v>44293</v>
      </c>
      <c r="B616" s="23" t="s">
        <v>48</v>
      </c>
      <c r="C616" s="23" t="s">
        <v>97</v>
      </c>
      <c r="D616" s="24">
        <v>1</v>
      </c>
      <c r="E616" s="17">
        <f>VLOOKUP(B616,'SKU Master'!$B$2:$E$31,4,0)</f>
        <v>299</v>
      </c>
      <c r="F616" s="25">
        <f t="shared" si="18"/>
        <v>299</v>
      </c>
      <c r="G616" s="40" t="str">
        <f t="shared" si="19"/>
        <v>Wed</v>
      </c>
    </row>
    <row r="617" spans="1:7" ht="14.4" x14ac:dyDescent="0.3">
      <c r="A617" s="22">
        <v>44293</v>
      </c>
      <c r="B617" s="23" t="s">
        <v>51</v>
      </c>
      <c r="C617" s="23" t="s">
        <v>97</v>
      </c>
      <c r="D617" s="24">
        <v>2</v>
      </c>
      <c r="E617" s="17">
        <f>VLOOKUP(B617,'SKU Master'!$B$2:$E$31,4,0)</f>
        <v>901</v>
      </c>
      <c r="F617" s="25">
        <f t="shared" si="18"/>
        <v>1802</v>
      </c>
      <c r="G617" s="40" t="str">
        <f t="shared" si="19"/>
        <v>Wed</v>
      </c>
    </row>
    <row r="618" spans="1:7" ht="14.4" x14ac:dyDescent="0.3">
      <c r="A618" s="22">
        <v>44293</v>
      </c>
      <c r="B618" s="23" t="s">
        <v>54</v>
      </c>
      <c r="C618" s="23" t="s">
        <v>97</v>
      </c>
      <c r="D618" s="24">
        <v>1</v>
      </c>
      <c r="E618" s="17">
        <f>VLOOKUP(B618,'SKU Master'!$B$2:$E$31,4,0)</f>
        <v>929</v>
      </c>
      <c r="F618" s="25">
        <f t="shared" si="18"/>
        <v>929</v>
      </c>
      <c r="G618" s="40" t="str">
        <f t="shared" si="19"/>
        <v>Wed</v>
      </c>
    </row>
    <row r="619" spans="1:7" ht="14.4" x14ac:dyDescent="0.3">
      <c r="A619" s="22">
        <v>44293</v>
      </c>
      <c r="B619" s="23" t="s">
        <v>57</v>
      </c>
      <c r="C619" s="23" t="s">
        <v>97</v>
      </c>
      <c r="D619" s="24">
        <v>1</v>
      </c>
      <c r="E619" s="17">
        <f>VLOOKUP(B619,'SKU Master'!$B$2:$E$31,4,0)</f>
        <v>1030</v>
      </c>
      <c r="F619" s="25">
        <f t="shared" si="18"/>
        <v>1030</v>
      </c>
      <c r="G619" s="40" t="str">
        <f t="shared" si="19"/>
        <v>Wed</v>
      </c>
    </row>
    <row r="620" spans="1:7" ht="14.4" x14ac:dyDescent="0.3">
      <c r="A620" s="22">
        <v>44293</v>
      </c>
      <c r="B620" s="23" t="s">
        <v>60</v>
      </c>
      <c r="C620" s="23" t="s">
        <v>97</v>
      </c>
      <c r="D620" s="24">
        <v>3</v>
      </c>
      <c r="E620" s="17">
        <f>VLOOKUP(B620,'SKU Master'!$B$2:$E$31,4,0)</f>
        <v>1222</v>
      </c>
      <c r="F620" s="25">
        <f t="shared" si="18"/>
        <v>3666</v>
      </c>
      <c r="G620" s="40" t="str">
        <f t="shared" si="19"/>
        <v>Wed</v>
      </c>
    </row>
    <row r="621" spans="1:7" ht="14.4" x14ac:dyDescent="0.3">
      <c r="A621" s="22">
        <v>44293</v>
      </c>
      <c r="B621" s="23" t="s">
        <v>63</v>
      </c>
      <c r="C621" s="23" t="s">
        <v>97</v>
      </c>
      <c r="D621" s="24">
        <v>2</v>
      </c>
      <c r="E621" s="17">
        <f>VLOOKUP(B621,'SKU Master'!$B$2:$E$31,4,0)</f>
        <v>649</v>
      </c>
      <c r="F621" s="25">
        <f t="shared" si="18"/>
        <v>1298</v>
      </c>
      <c r="G621" s="40" t="str">
        <f t="shared" si="19"/>
        <v>Wed</v>
      </c>
    </row>
    <row r="622" spans="1:7" ht="14.4" x14ac:dyDescent="0.3">
      <c r="A622" s="22">
        <v>44293</v>
      </c>
      <c r="B622" s="23" t="s">
        <v>67</v>
      </c>
      <c r="C622" s="23" t="s">
        <v>97</v>
      </c>
      <c r="D622" s="24">
        <v>11</v>
      </c>
      <c r="E622" s="17">
        <f>VLOOKUP(B622,'SKU Master'!$B$2:$E$31,4,0)</f>
        <v>1800</v>
      </c>
      <c r="F622" s="25">
        <f t="shared" si="18"/>
        <v>19800</v>
      </c>
      <c r="G622" s="40" t="str">
        <f t="shared" si="19"/>
        <v>Wed</v>
      </c>
    </row>
    <row r="623" spans="1:7" ht="14.4" x14ac:dyDescent="0.3">
      <c r="A623" s="22">
        <v>44293</v>
      </c>
      <c r="B623" s="23" t="s">
        <v>70</v>
      </c>
      <c r="C623" s="23" t="s">
        <v>97</v>
      </c>
      <c r="D623" s="24">
        <v>11</v>
      </c>
      <c r="E623" s="17">
        <f>VLOOKUP(B623,'SKU Master'!$B$2:$E$31,4,0)</f>
        <v>345</v>
      </c>
      <c r="F623" s="25">
        <f t="shared" si="18"/>
        <v>3795</v>
      </c>
      <c r="G623" s="40" t="str">
        <f t="shared" si="19"/>
        <v>Wed</v>
      </c>
    </row>
    <row r="624" spans="1:7" ht="14.4" x14ac:dyDescent="0.3">
      <c r="A624" s="22">
        <v>44293</v>
      </c>
      <c r="B624" s="23" t="s">
        <v>73</v>
      </c>
      <c r="C624" s="23" t="s">
        <v>97</v>
      </c>
      <c r="D624" s="24">
        <v>6</v>
      </c>
      <c r="E624" s="17">
        <f>VLOOKUP(B624,'SKU Master'!$B$2:$E$31,4,0)</f>
        <v>350</v>
      </c>
      <c r="F624" s="25">
        <f t="shared" si="18"/>
        <v>2100</v>
      </c>
      <c r="G624" s="40" t="str">
        <f t="shared" si="19"/>
        <v>Wed</v>
      </c>
    </row>
    <row r="625" spans="1:7" ht="14.4" x14ac:dyDescent="0.3">
      <c r="A625" s="22">
        <v>44293</v>
      </c>
      <c r="B625" s="23" t="s">
        <v>76</v>
      </c>
      <c r="C625" s="23" t="s">
        <v>97</v>
      </c>
      <c r="D625" s="24">
        <v>2</v>
      </c>
      <c r="E625" s="17">
        <f>VLOOKUP(B625,'SKU Master'!$B$2:$E$31,4,0)</f>
        <v>1575</v>
      </c>
      <c r="F625" s="25">
        <f t="shared" si="18"/>
        <v>3150</v>
      </c>
      <c r="G625" s="40" t="str">
        <f t="shared" si="19"/>
        <v>Wed</v>
      </c>
    </row>
    <row r="626" spans="1:7" ht="14.4" x14ac:dyDescent="0.3">
      <c r="A626" s="22">
        <v>44293</v>
      </c>
      <c r="B626" s="23" t="s">
        <v>78</v>
      </c>
      <c r="C626" s="23" t="s">
        <v>97</v>
      </c>
      <c r="D626" s="24">
        <v>2</v>
      </c>
      <c r="E626" s="17">
        <f>VLOOKUP(B626,'SKU Master'!$B$2:$E$31,4,0)</f>
        <v>1045</v>
      </c>
      <c r="F626" s="25">
        <f t="shared" si="18"/>
        <v>2090</v>
      </c>
      <c r="G626" s="40" t="str">
        <f t="shared" si="19"/>
        <v>Wed</v>
      </c>
    </row>
    <row r="627" spans="1:7" ht="14.4" x14ac:dyDescent="0.3">
      <c r="A627" s="22">
        <v>44293</v>
      </c>
      <c r="B627" s="23" t="s">
        <v>81</v>
      </c>
      <c r="C627" s="23" t="s">
        <v>97</v>
      </c>
      <c r="D627" s="24">
        <v>3</v>
      </c>
      <c r="E627" s="17">
        <f>VLOOKUP(B627,'SKU Master'!$B$2:$E$31,4,0)</f>
        <v>1186</v>
      </c>
      <c r="F627" s="25">
        <f t="shared" si="18"/>
        <v>3558</v>
      </c>
      <c r="G627" s="40" t="str">
        <f t="shared" si="19"/>
        <v>Wed</v>
      </c>
    </row>
    <row r="628" spans="1:7" ht="14.4" x14ac:dyDescent="0.3">
      <c r="A628" s="22">
        <v>44293</v>
      </c>
      <c r="B628" s="23" t="s">
        <v>84</v>
      </c>
      <c r="C628" s="23" t="s">
        <v>97</v>
      </c>
      <c r="D628" s="24">
        <v>3</v>
      </c>
      <c r="E628" s="17">
        <f>VLOOKUP(B628,'SKU Master'!$B$2:$E$31,4,0)</f>
        <v>374</v>
      </c>
      <c r="F628" s="25">
        <f t="shared" si="18"/>
        <v>1122</v>
      </c>
      <c r="G628" s="40" t="str">
        <f t="shared" si="19"/>
        <v>Wed</v>
      </c>
    </row>
    <row r="629" spans="1:7" ht="14.4" x14ac:dyDescent="0.3">
      <c r="A629" s="22">
        <v>44293</v>
      </c>
      <c r="B629" s="23" t="s">
        <v>87</v>
      </c>
      <c r="C629" s="23" t="s">
        <v>97</v>
      </c>
      <c r="D629" s="24">
        <v>2</v>
      </c>
      <c r="E629" s="17">
        <f>VLOOKUP(B629,'SKU Master'!$B$2:$E$31,4,0)</f>
        <v>1500</v>
      </c>
      <c r="F629" s="25">
        <f t="shared" si="18"/>
        <v>3000</v>
      </c>
      <c r="G629" s="40" t="str">
        <f t="shared" si="19"/>
        <v>Wed</v>
      </c>
    </row>
    <row r="630" spans="1:7" ht="14.4" x14ac:dyDescent="0.3">
      <c r="A630" s="22">
        <v>44293</v>
      </c>
      <c r="B630" s="23" t="s">
        <v>90</v>
      </c>
      <c r="C630" s="23" t="s">
        <v>97</v>
      </c>
      <c r="D630" s="24">
        <v>1</v>
      </c>
      <c r="E630" s="17">
        <f>VLOOKUP(B630,'SKU Master'!$B$2:$E$31,4,0)</f>
        <v>1800</v>
      </c>
      <c r="F630" s="25">
        <f t="shared" si="18"/>
        <v>1800</v>
      </c>
      <c r="G630" s="40" t="str">
        <f t="shared" si="19"/>
        <v>Wed</v>
      </c>
    </row>
    <row r="631" spans="1:7" ht="14.4" x14ac:dyDescent="0.3">
      <c r="A631" s="22">
        <v>44293</v>
      </c>
      <c r="B631" s="23" t="s">
        <v>93</v>
      </c>
      <c r="C631" s="23" t="s">
        <v>97</v>
      </c>
      <c r="D631" s="24">
        <v>0</v>
      </c>
      <c r="E631" s="17">
        <f>VLOOKUP(B631,'SKU Master'!$B$2:$E$31,4,0)</f>
        <v>1477</v>
      </c>
      <c r="F631" s="25">
        <f t="shared" si="18"/>
        <v>0</v>
      </c>
      <c r="G631" s="40" t="str">
        <f t="shared" si="19"/>
        <v>Wed</v>
      </c>
    </row>
    <row r="632" spans="1:7" ht="14.4" x14ac:dyDescent="0.3">
      <c r="A632" s="22">
        <v>44294</v>
      </c>
      <c r="B632" s="23" t="s">
        <v>6</v>
      </c>
      <c r="C632" s="23" t="s">
        <v>96</v>
      </c>
      <c r="D632" s="24">
        <v>28</v>
      </c>
      <c r="E632" s="17">
        <f>VLOOKUP(B632,'SKU Master'!$B$2:$E$31,4,0)</f>
        <v>210</v>
      </c>
      <c r="F632" s="25">
        <f t="shared" si="18"/>
        <v>5880</v>
      </c>
      <c r="G632" s="40" t="str">
        <f t="shared" si="19"/>
        <v>Thu</v>
      </c>
    </row>
    <row r="633" spans="1:7" ht="14.4" x14ac:dyDescent="0.3">
      <c r="A633" s="22">
        <v>44294</v>
      </c>
      <c r="B633" s="23" t="s">
        <v>9</v>
      </c>
      <c r="C633" s="23" t="s">
        <v>96</v>
      </c>
      <c r="D633" s="24">
        <v>13</v>
      </c>
      <c r="E633" s="17">
        <f>VLOOKUP(B633,'SKU Master'!$B$2:$E$31,4,0)</f>
        <v>199</v>
      </c>
      <c r="F633" s="25">
        <f t="shared" si="18"/>
        <v>2587</v>
      </c>
      <c r="G633" s="40" t="str">
        <f t="shared" si="19"/>
        <v>Thu</v>
      </c>
    </row>
    <row r="634" spans="1:7" ht="14.4" x14ac:dyDescent="0.3">
      <c r="A634" s="22">
        <v>44294</v>
      </c>
      <c r="B634" s="23" t="s">
        <v>12</v>
      </c>
      <c r="C634" s="23" t="s">
        <v>96</v>
      </c>
      <c r="D634" s="24">
        <v>11</v>
      </c>
      <c r="E634" s="17">
        <f>VLOOKUP(B634,'SKU Master'!$B$2:$E$31,4,0)</f>
        <v>322</v>
      </c>
      <c r="F634" s="25">
        <f t="shared" si="18"/>
        <v>3542</v>
      </c>
      <c r="G634" s="40" t="str">
        <f t="shared" si="19"/>
        <v>Thu</v>
      </c>
    </row>
    <row r="635" spans="1:7" ht="14.4" x14ac:dyDescent="0.3">
      <c r="A635" s="22">
        <v>44294</v>
      </c>
      <c r="B635" s="23" t="s">
        <v>15</v>
      </c>
      <c r="C635" s="23" t="s">
        <v>96</v>
      </c>
      <c r="D635" s="24">
        <v>7</v>
      </c>
      <c r="E635" s="17">
        <f>VLOOKUP(B635,'SKU Master'!$B$2:$E$31,4,0)</f>
        <v>161</v>
      </c>
      <c r="F635" s="25">
        <f t="shared" si="18"/>
        <v>1127</v>
      </c>
      <c r="G635" s="40" t="str">
        <f t="shared" si="19"/>
        <v>Thu</v>
      </c>
    </row>
    <row r="636" spans="1:7" ht="14.4" x14ac:dyDescent="0.3">
      <c r="A636" s="22">
        <v>44294</v>
      </c>
      <c r="B636" s="23" t="s">
        <v>17</v>
      </c>
      <c r="C636" s="23" t="s">
        <v>96</v>
      </c>
      <c r="D636" s="24">
        <v>5</v>
      </c>
      <c r="E636" s="17">
        <f>VLOOKUP(B636,'SKU Master'!$B$2:$E$31,4,0)</f>
        <v>109</v>
      </c>
      <c r="F636" s="25">
        <f t="shared" si="18"/>
        <v>545</v>
      </c>
      <c r="G636" s="40" t="str">
        <f t="shared" si="19"/>
        <v>Thu</v>
      </c>
    </row>
    <row r="637" spans="1:7" ht="14.4" x14ac:dyDescent="0.3">
      <c r="A637" s="22">
        <v>44294</v>
      </c>
      <c r="B637" s="23" t="s">
        <v>20</v>
      </c>
      <c r="C637" s="23" t="s">
        <v>96</v>
      </c>
      <c r="D637" s="24">
        <v>2</v>
      </c>
      <c r="E637" s="17">
        <f>VLOOKUP(B637,'SKU Master'!$B$2:$E$31,4,0)</f>
        <v>122</v>
      </c>
      <c r="F637" s="25">
        <f t="shared" si="18"/>
        <v>244</v>
      </c>
      <c r="G637" s="40" t="str">
        <f t="shared" si="19"/>
        <v>Thu</v>
      </c>
    </row>
    <row r="638" spans="1:7" ht="14.4" x14ac:dyDescent="0.3">
      <c r="A638" s="22">
        <v>44294</v>
      </c>
      <c r="B638" s="23" t="s">
        <v>23</v>
      </c>
      <c r="C638" s="23" t="s">
        <v>96</v>
      </c>
      <c r="D638" s="24">
        <v>4</v>
      </c>
      <c r="E638" s="17">
        <f>VLOOKUP(B638,'SKU Master'!$B$2:$E$31,4,0)</f>
        <v>96</v>
      </c>
      <c r="F638" s="25">
        <f t="shared" si="18"/>
        <v>384</v>
      </c>
      <c r="G638" s="40" t="str">
        <f t="shared" si="19"/>
        <v>Thu</v>
      </c>
    </row>
    <row r="639" spans="1:7" ht="14.4" x14ac:dyDescent="0.3">
      <c r="A639" s="22">
        <v>44294</v>
      </c>
      <c r="B639" s="23" t="s">
        <v>26</v>
      </c>
      <c r="C639" s="23" t="s">
        <v>96</v>
      </c>
      <c r="D639" s="24">
        <v>2</v>
      </c>
      <c r="E639" s="17">
        <f>VLOOKUP(B639,'SKU Master'!$B$2:$E$31,4,0)</f>
        <v>73</v>
      </c>
      <c r="F639" s="25">
        <f t="shared" si="18"/>
        <v>146</v>
      </c>
      <c r="G639" s="40" t="str">
        <f t="shared" si="19"/>
        <v>Thu</v>
      </c>
    </row>
    <row r="640" spans="1:7" ht="14.4" x14ac:dyDescent="0.3">
      <c r="A640" s="22">
        <v>44294</v>
      </c>
      <c r="B640" s="23" t="s">
        <v>29</v>
      </c>
      <c r="C640" s="23" t="s">
        <v>96</v>
      </c>
      <c r="D640" s="24">
        <v>0</v>
      </c>
      <c r="E640" s="17">
        <f>VLOOKUP(B640,'SKU Master'!$B$2:$E$31,4,0)</f>
        <v>225</v>
      </c>
      <c r="F640" s="25">
        <f t="shared" si="18"/>
        <v>0</v>
      </c>
      <c r="G640" s="40" t="str">
        <f t="shared" si="19"/>
        <v>Thu</v>
      </c>
    </row>
    <row r="641" spans="1:7" ht="14.4" x14ac:dyDescent="0.3">
      <c r="A641" s="22">
        <v>44294</v>
      </c>
      <c r="B641" s="23" t="s">
        <v>32</v>
      </c>
      <c r="C641" s="23" t="s">
        <v>96</v>
      </c>
      <c r="D641" s="24">
        <v>0</v>
      </c>
      <c r="E641" s="17">
        <f>VLOOKUP(B641,'SKU Master'!$B$2:$E$31,4,0)</f>
        <v>559</v>
      </c>
      <c r="F641" s="25">
        <f t="shared" si="18"/>
        <v>0</v>
      </c>
      <c r="G641" s="40" t="str">
        <f t="shared" si="19"/>
        <v>Thu</v>
      </c>
    </row>
    <row r="642" spans="1:7" ht="14.4" x14ac:dyDescent="0.3">
      <c r="A642" s="22">
        <v>44294</v>
      </c>
      <c r="B642" s="23" t="s">
        <v>36</v>
      </c>
      <c r="C642" s="23" t="s">
        <v>96</v>
      </c>
      <c r="D642" s="24">
        <v>34</v>
      </c>
      <c r="E642" s="17">
        <f>VLOOKUP(B642,'SKU Master'!$B$2:$E$31,4,0)</f>
        <v>3199</v>
      </c>
      <c r="F642" s="25">
        <f t="shared" si="18"/>
        <v>108766</v>
      </c>
      <c r="G642" s="40" t="str">
        <f t="shared" si="19"/>
        <v>Thu</v>
      </c>
    </row>
    <row r="643" spans="1:7" ht="14.4" x14ac:dyDescent="0.3">
      <c r="A643" s="22">
        <v>44294</v>
      </c>
      <c r="B643" s="23" t="s">
        <v>39</v>
      </c>
      <c r="C643" s="23" t="s">
        <v>96</v>
      </c>
      <c r="D643" s="24">
        <v>12</v>
      </c>
      <c r="E643" s="17">
        <f>VLOOKUP(B643,'SKU Master'!$B$2:$E$31,4,0)</f>
        <v>371</v>
      </c>
      <c r="F643" s="25">
        <f t="shared" ref="F643:F706" si="20">D643*E643</f>
        <v>4452</v>
      </c>
      <c r="G643" s="40" t="str">
        <f t="shared" si="19"/>
        <v>Thu</v>
      </c>
    </row>
    <row r="644" spans="1:7" ht="14.4" x14ac:dyDescent="0.3">
      <c r="A644" s="22">
        <v>44294</v>
      </c>
      <c r="B644" s="23" t="s">
        <v>42</v>
      </c>
      <c r="C644" s="23" t="s">
        <v>96</v>
      </c>
      <c r="D644" s="24">
        <v>13</v>
      </c>
      <c r="E644" s="17">
        <f>VLOOKUP(B644,'SKU Master'!$B$2:$E$31,4,0)</f>
        <v>2300</v>
      </c>
      <c r="F644" s="25">
        <f t="shared" si="20"/>
        <v>29900</v>
      </c>
      <c r="G644" s="40" t="str">
        <f t="shared" ref="G644:G707" si="21">CHOOSE(WEEKDAY(A644),"Sun","Mon","Tue","Wed","Thu","Fri","Sat")</f>
        <v>Thu</v>
      </c>
    </row>
    <row r="645" spans="1:7" ht="14.4" x14ac:dyDescent="0.3">
      <c r="A645" s="22">
        <v>44294</v>
      </c>
      <c r="B645" s="23" t="s">
        <v>45</v>
      </c>
      <c r="C645" s="23" t="s">
        <v>96</v>
      </c>
      <c r="D645" s="24">
        <v>12</v>
      </c>
      <c r="E645" s="17">
        <f>VLOOKUP(B645,'SKU Master'!$B$2:$E$31,4,0)</f>
        <v>499</v>
      </c>
      <c r="F645" s="25">
        <f t="shared" si="20"/>
        <v>5988</v>
      </c>
      <c r="G645" s="40" t="str">
        <f t="shared" si="21"/>
        <v>Thu</v>
      </c>
    </row>
    <row r="646" spans="1:7" ht="14.4" x14ac:dyDescent="0.3">
      <c r="A646" s="22">
        <v>44294</v>
      </c>
      <c r="B646" s="23" t="s">
        <v>48</v>
      </c>
      <c r="C646" s="23" t="s">
        <v>96</v>
      </c>
      <c r="D646" s="24">
        <v>5</v>
      </c>
      <c r="E646" s="17">
        <f>VLOOKUP(B646,'SKU Master'!$B$2:$E$31,4,0)</f>
        <v>299</v>
      </c>
      <c r="F646" s="25">
        <f t="shared" si="20"/>
        <v>1495</v>
      </c>
      <c r="G646" s="40" t="str">
        <f t="shared" si="21"/>
        <v>Thu</v>
      </c>
    </row>
    <row r="647" spans="1:7" ht="14.4" x14ac:dyDescent="0.3">
      <c r="A647" s="22">
        <v>44294</v>
      </c>
      <c r="B647" s="23" t="s">
        <v>51</v>
      </c>
      <c r="C647" s="23" t="s">
        <v>96</v>
      </c>
      <c r="D647" s="24">
        <v>2</v>
      </c>
      <c r="E647" s="17">
        <f>VLOOKUP(B647,'SKU Master'!$B$2:$E$31,4,0)</f>
        <v>901</v>
      </c>
      <c r="F647" s="25">
        <f t="shared" si="20"/>
        <v>1802</v>
      </c>
      <c r="G647" s="40" t="str">
        <f t="shared" si="21"/>
        <v>Thu</v>
      </c>
    </row>
    <row r="648" spans="1:7" ht="14.4" x14ac:dyDescent="0.3">
      <c r="A648" s="22">
        <v>44294</v>
      </c>
      <c r="B648" s="23" t="s">
        <v>54</v>
      </c>
      <c r="C648" s="23" t="s">
        <v>96</v>
      </c>
      <c r="D648" s="24">
        <v>3</v>
      </c>
      <c r="E648" s="17">
        <f>VLOOKUP(B648,'SKU Master'!$B$2:$E$31,4,0)</f>
        <v>929</v>
      </c>
      <c r="F648" s="25">
        <f t="shared" si="20"/>
        <v>2787</v>
      </c>
      <c r="G648" s="40" t="str">
        <f t="shared" si="21"/>
        <v>Thu</v>
      </c>
    </row>
    <row r="649" spans="1:7" ht="14.4" x14ac:dyDescent="0.3">
      <c r="A649" s="22">
        <v>44294</v>
      </c>
      <c r="B649" s="23" t="s">
        <v>57</v>
      </c>
      <c r="C649" s="23" t="s">
        <v>96</v>
      </c>
      <c r="D649" s="24">
        <v>0</v>
      </c>
      <c r="E649" s="17">
        <f>VLOOKUP(B649,'SKU Master'!$B$2:$E$31,4,0)</f>
        <v>1030</v>
      </c>
      <c r="F649" s="25">
        <f t="shared" si="20"/>
        <v>0</v>
      </c>
      <c r="G649" s="40" t="str">
        <f t="shared" si="21"/>
        <v>Thu</v>
      </c>
    </row>
    <row r="650" spans="1:7" ht="14.4" x14ac:dyDescent="0.3">
      <c r="A650" s="22">
        <v>44294</v>
      </c>
      <c r="B650" s="23" t="s">
        <v>60</v>
      </c>
      <c r="C650" s="23" t="s">
        <v>96</v>
      </c>
      <c r="D650" s="24">
        <v>2</v>
      </c>
      <c r="E650" s="17">
        <f>VLOOKUP(B650,'SKU Master'!$B$2:$E$31,4,0)</f>
        <v>1222</v>
      </c>
      <c r="F650" s="25">
        <f t="shared" si="20"/>
        <v>2444</v>
      </c>
      <c r="G650" s="40" t="str">
        <f t="shared" si="21"/>
        <v>Thu</v>
      </c>
    </row>
    <row r="651" spans="1:7" ht="14.4" x14ac:dyDescent="0.3">
      <c r="A651" s="22">
        <v>44294</v>
      </c>
      <c r="B651" s="23" t="s">
        <v>63</v>
      </c>
      <c r="C651" s="23" t="s">
        <v>96</v>
      </c>
      <c r="D651" s="24">
        <v>1</v>
      </c>
      <c r="E651" s="17">
        <f>VLOOKUP(B651,'SKU Master'!$B$2:$E$31,4,0)</f>
        <v>649</v>
      </c>
      <c r="F651" s="25">
        <f t="shared" si="20"/>
        <v>649</v>
      </c>
      <c r="G651" s="40" t="str">
        <f t="shared" si="21"/>
        <v>Thu</v>
      </c>
    </row>
    <row r="652" spans="1:7" ht="14.4" x14ac:dyDescent="0.3">
      <c r="A652" s="22">
        <v>44294</v>
      </c>
      <c r="B652" s="23" t="s">
        <v>67</v>
      </c>
      <c r="C652" s="23" t="s">
        <v>96</v>
      </c>
      <c r="D652" s="24">
        <v>30</v>
      </c>
      <c r="E652" s="17">
        <f>VLOOKUP(B652,'SKU Master'!$B$2:$E$31,4,0)</f>
        <v>1800</v>
      </c>
      <c r="F652" s="25">
        <f t="shared" si="20"/>
        <v>54000</v>
      </c>
      <c r="G652" s="40" t="str">
        <f t="shared" si="21"/>
        <v>Thu</v>
      </c>
    </row>
    <row r="653" spans="1:7" ht="14.4" x14ac:dyDescent="0.3">
      <c r="A653" s="22">
        <v>44294</v>
      </c>
      <c r="B653" s="23" t="s">
        <v>70</v>
      </c>
      <c r="C653" s="23" t="s">
        <v>96</v>
      </c>
      <c r="D653" s="24">
        <v>12</v>
      </c>
      <c r="E653" s="17">
        <f>VLOOKUP(B653,'SKU Master'!$B$2:$E$31,4,0)</f>
        <v>345</v>
      </c>
      <c r="F653" s="25">
        <f t="shared" si="20"/>
        <v>4140</v>
      </c>
      <c r="G653" s="40" t="str">
        <f t="shared" si="21"/>
        <v>Thu</v>
      </c>
    </row>
    <row r="654" spans="1:7" ht="14.4" x14ac:dyDescent="0.3">
      <c r="A654" s="22">
        <v>44294</v>
      </c>
      <c r="B654" s="23" t="s">
        <v>73</v>
      </c>
      <c r="C654" s="23" t="s">
        <v>96</v>
      </c>
      <c r="D654" s="24">
        <v>10</v>
      </c>
      <c r="E654" s="17">
        <f>VLOOKUP(B654,'SKU Master'!$B$2:$E$31,4,0)</f>
        <v>350</v>
      </c>
      <c r="F654" s="25">
        <f t="shared" si="20"/>
        <v>3500</v>
      </c>
      <c r="G654" s="40" t="str">
        <f t="shared" si="21"/>
        <v>Thu</v>
      </c>
    </row>
    <row r="655" spans="1:7" ht="14.4" x14ac:dyDescent="0.3">
      <c r="A655" s="22">
        <v>44294</v>
      </c>
      <c r="B655" s="23" t="s">
        <v>76</v>
      </c>
      <c r="C655" s="23" t="s">
        <v>96</v>
      </c>
      <c r="D655" s="24">
        <v>10</v>
      </c>
      <c r="E655" s="17">
        <f>VLOOKUP(B655,'SKU Master'!$B$2:$E$31,4,0)</f>
        <v>1575</v>
      </c>
      <c r="F655" s="25">
        <f t="shared" si="20"/>
        <v>15750</v>
      </c>
      <c r="G655" s="40" t="str">
        <f t="shared" si="21"/>
        <v>Thu</v>
      </c>
    </row>
    <row r="656" spans="1:7" ht="14.4" x14ac:dyDescent="0.3">
      <c r="A656" s="22">
        <v>44294</v>
      </c>
      <c r="B656" s="23" t="s">
        <v>78</v>
      </c>
      <c r="C656" s="23" t="s">
        <v>96</v>
      </c>
      <c r="D656" s="24">
        <v>7</v>
      </c>
      <c r="E656" s="17">
        <f>VLOOKUP(B656,'SKU Master'!$B$2:$E$31,4,0)</f>
        <v>1045</v>
      </c>
      <c r="F656" s="25">
        <f t="shared" si="20"/>
        <v>7315</v>
      </c>
      <c r="G656" s="40" t="str">
        <f t="shared" si="21"/>
        <v>Thu</v>
      </c>
    </row>
    <row r="657" spans="1:7" ht="14.4" x14ac:dyDescent="0.3">
      <c r="A657" s="22">
        <v>44294</v>
      </c>
      <c r="B657" s="23" t="s">
        <v>81</v>
      </c>
      <c r="C657" s="23" t="s">
        <v>96</v>
      </c>
      <c r="D657" s="24">
        <v>2</v>
      </c>
      <c r="E657" s="17">
        <f>VLOOKUP(B657,'SKU Master'!$B$2:$E$31,4,0)</f>
        <v>1186</v>
      </c>
      <c r="F657" s="25">
        <f t="shared" si="20"/>
        <v>2372</v>
      </c>
      <c r="G657" s="40" t="str">
        <f t="shared" si="21"/>
        <v>Thu</v>
      </c>
    </row>
    <row r="658" spans="1:7" ht="14.4" x14ac:dyDescent="0.3">
      <c r="A658" s="22">
        <v>44294</v>
      </c>
      <c r="B658" s="23" t="s">
        <v>84</v>
      </c>
      <c r="C658" s="23" t="s">
        <v>96</v>
      </c>
      <c r="D658" s="24">
        <v>4</v>
      </c>
      <c r="E658" s="17">
        <f>VLOOKUP(B658,'SKU Master'!$B$2:$E$31,4,0)</f>
        <v>374</v>
      </c>
      <c r="F658" s="25">
        <f t="shared" si="20"/>
        <v>1496</v>
      </c>
      <c r="G658" s="40" t="str">
        <f t="shared" si="21"/>
        <v>Thu</v>
      </c>
    </row>
    <row r="659" spans="1:7" ht="14.4" x14ac:dyDescent="0.3">
      <c r="A659" s="22">
        <v>44294</v>
      </c>
      <c r="B659" s="23" t="s">
        <v>87</v>
      </c>
      <c r="C659" s="23" t="s">
        <v>96</v>
      </c>
      <c r="D659" s="24">
        <v>0</v>
      </c>
      <c r="E659" s="17">
        <f>VLOOKUP(B659,'SKU Master'!$B$2:$E$31,4,0)</f>
        <v>1500</v>
      </c>
      <c r="F659" s="25">
        <f t="shared" si="20"/>
        <v>0</v>
      </c>
      <c r="G659" s="40" t="str">
        <f t="shared" si="21"/>
        <v>Thu</v>
      </c>
    </row>
    <row r="660" spans="1:7" ht="14.4" x14ac:dyDescent="0.3">
      <c r="A660" s="22">
        <v>44294</v>
      </c>
      <c r="B660" s="23" t="s">
        <v>90</v>
      </c>
      <c r="C660" s="23" t="s">
        <v>96</v>
      </c>
      <c r="D660" s="24">
        <v>2</v>
      </c>
      <c r="E660" s="17">
        <f>VLOOKUP(B660,'SKU Master'!$B$2:$E$31,4,0)</f>
        <v>1800</v>
      </c>
      <c r="F660" s="25">
        <f t="shared" si="20"/>
        <v>3600</v>
      </c>
      <c r="G660" s="40" t="str">
        <f t="shared" si="21"/>
        <v>Thu</v>
      </c>
    </row>
    <row r="661" spans="1:7" ht="14.4" x14ac:dyDescent="0.3">
      <c r="A661" s="22">
        <v>44294</v>
      </c>
      <c r="B661" s="23" t="s">
        <v>93</v>
      </c>
      <c r="C661" s="23" t="s">
        <v>96</v>
      </c>
      <c r="D661" s="24">
        <v>0</v>
      </c>
      <c r="E661" s="17">
        <f>VLOOKUP(B661,'SKU Master'!$B$2:$E$31,4,0)</f>
        <v>1477</v>
      </c>
      <c r="F661" s="25">
        <f t="shared" si="20"/>
        <v>0</v>
      </c>
      <c r="G661" s="40" t="str">
        <f t="shared" si="21"/>
        <v>Thu</v>
      </c>
    </row>
    <row r="662" spans="1:7" ht="14.4" x14ac:dyDescent="0.3">
      <c r="A662" s="22">
        <v>44294</v>
      </c>
      <c r="B662" s="23" t="s">
        <v>6</v>
      </c>
      <c r="C662" s="23" t="s">
        <v>98</v>
      </c>
      <c r="D662" s="24">
        <v>18</v>
      </c>
      <c r="E662" s="17">
        <f>VLOOKUP(B662,'SKU Master'!$B$2:$E$31,4,0)</f>
        <v>210</v>
      </c>
      <c r="F662" s="25">
        <f t="shared" si="20"/>
        <v>3780</v>
      </c>
      <c r="G662" s="40" t="str">
        <f t="shared" si="21"/>
        <v>Thu</v>
      </c>
    </row>
    <row r="663" spans="1:7" ht="14.4" x14ac:dyDescent="0.3">
      <c r="A663" s="22">
        <v>44294</v>
      </c>
      <c r="B663" s="23" t="s">
        <v>9</v>
      </c>
      <c r="C663" s="23" t="s">
        <v>98</v>
      </c>
      <c r="D663" s="24">
        <v>9</v>
      </c>
      <c r="E663" s="17">
        <f>VLOOKUP(B663,'SKU Master'!$B$2:$E$31,4,0)</f>
        <v>199</v>
      </c>
      <c r="F663" s="25">
        <f t="shared" si="20"/>
        <v>1791</v>
      </c>
      <c r="G663" s="40" t="str">
        <f t="shared" si="21"/>
        <v>Thu</v>
      </c>
    </row>
    <row r="664" spans="1:7" ht="14.4" x14ac:dyDescent="0.3">
      <c r="A664" s="22">
        <v>44294</v>
      </c>
      <c r="B664" s="23" t="s">
        <v>12</v>
      </c>
      <c r="C664" s="23" t="s">
        <v>98</v>
      </c>
      <c r="D664" s="24">
        <v>8</v>
      </c>
      <c r="E664" s="17">
        <f>VLOOKUP(B664,'SKU Master'!$B$2:$E$31,4,0)</f>
        <v>322</v>
      </c>
      <c r="F664" s="25">
        <f t="shared" si="20"/>
        <v>2576</v>
      </c>
      <c r="G664" s="40" t="str">
        <f t="shared" si="21"/>
        <v>Thu</v>
      </c>
    </row>
    <row r="665" spans="1:7" ht="14.4" x14ac:dyDescent="0.3">
      <c r="A665" s="22">
        <v>44294</v>
      </c>
      <c r="B665" s="23" t="s">
        <v>15</v>
      </c>
      <c r="C665" s="23" t="s">
        <v>98</v>
      </c>
      <c r="D665" s="24">
        <v>6</v>
      </c>
      <c r="E665" s="17">
        <f>VLOOKUP(B665,'SKU Master'!$B$2:$E$31,4,0)</f>
        <v>161</v>
      </c>
      <c r="F665" s="25">
        <f t="shared" si="20"/>
        <v>966</v>
      </c>
      <c r="G665" s="40" t="str">
        <f t="shared" si="21"/>
        <v>Thu</v>
      </c>
    </row>
    <row r="666" spans="1:7" ht="14.4" x14ac:dyDescent="0.3">
      <c r="A666" s="22">
        <v>44294</v>
      </c>
      <c r="B666" s="23" t="s">
        <v>17</v>
      </c>
      <c r="C666" s="23" t="s">
        <v>98</v>
      </c>
      <c r="D666" s="24">
        <v>3</v>
      </c>
      <c r="E666" s="17">
        <f>VLOOKUP(B666,'SKU Master'!$B$2:$E$31,4,0)</f>
        <v>109</v>
      </c>
      <c r="F666" s="25">
        <f t="shared" si="20"/>
        <v>327</v>
      </c>
      <c r="G666" s="40" t="str">
        <f t="shared" si="21"/>
        <v>Thu</v>
      </c>
    </row>
    <row r="667" spans="1:7" ht="14.4" x14ac:dyDescent="0.3">
      <c r="A667" s="22">
        <v>44294</v>
      </c>
      <c r="B667" s="23" t="s">
        <v>20</v>
      </c>
      <c r="C667" s="23" t="s">
        <v>98</v>
      </c>
      <c r="D667" s="24">
        <v>2</v>
      </c>
      <c r="E667" s="17">
        <f>VLOOKUP(B667,'SKU Master'!$B$2:$E$31,4,0)</f>
        <v>122</v>
      </c>
      <c r="F667" s="25">
        <f t="shared" si="20"/>
        <v>244</v>
      </c>
      <c r="G667" s="40" t="str">
        <f t="shared" si="21"/>
        <v>Thu</v>
      </c>
    </row>
    <row r="668" spans="1:7" ht="14.4" x14ac:dyDescent="0.3">
      <c r="A668" s="22">
        <v>44294</v>
      </c>
      <c r="B668" s="23" t="s">
        <v>23</v>
      </c>
      <c r="C668" s="23" t="s">
        <v>98</v>
      </c>
      <c r="D668" s="24">
        <v>2</v>
      </c>
      <c r="E668" s="17">
        <f>VLOOKUP(B668,'SKU Master'!$B$2:$E$31,4,0)</f>
        <v>96</v>
      </c>
      <c r="F668" s="25">
        <f t="shared" si="20"/>
        <v>192</v>
      </c>
      <c r="G668" s="40" t="str">
        <f t="shared" si="21"/>
        <v>Thu</v>
      </c>
    </row>
    <row r="669" spans="1:7" ht="14.4" x14ac:dyDescent="0.3">
      <c r="A669" s="22">
        <v>44294</v>
      </c>
      <c r="B669" s="23" t="s">
        <v>26</v>
      </c>
      <c r="C669" s="23" t="s">
        <v>98</v>
      </c>
      <c r="D669" s="24">
        <v>1</v>
      </c>
      <c r="E669" s="17">
        <f>VLOOKUP(B669,'SKU Master'!$B$2:$E$31,4,0)</f>
        <v>73</v>
      </c>
      <c r="F669" s="25">
        <f t="shared" si="20"/>
        <v>73</v>
      </c>
      <c r="G669" s="40" t="str">
        <f t="shared" si="21"/>
        <v>Thu</v>
      </c>
    </row>
    <row r="670" spans="1:7" ht="14.4" x14ac:dyDescent="0.3">
      <c r="A670" s="22">
        <v>44294</v>
      </c>
      <c r="B670" s="23" t="s">
        <v>29</v>
      </c>
      <c r="C670" s="23" t="s">
        <v>98</v>
      </c>
      <c r="D670" s="24">
        <v>0</v>
      </c>
      <c r="E670" s="17">
        <f>VLOOKUP(B670,'SKU Master'!$B$2:$E$31,4,0)</f>
        <v>225</v>
      </c>
      <c r="F670" s="25">
        <f t="shared" si="20"/>
        <v>0</v>
      </c>
      <c r="G670" s="40" t="str">
        <f t="shared" si="21"/>
        <v>Thu</v>
      </c>
    </row>
    <row r="671" spans="1:7" ht="14.4" x14ac:dyDescent="0.3">
      <c r="A671" s="22">
        <v>44294</v>
      </c>
      <c r="B671" s="23" t="s">
        <v>32</v>
      </c>
      <c r="C671" s="23" t="s">
        <v>98</v>
      </c>
      <c r="D671" s="24">
        <v>0</v>
      </c>
      <c r="E671" s="17">
        <f>VLOOKUP(B671,'SKU Master'!$B$2:$E$31,4,0)</f>
        <v>559</v>
      </c>
      <c r="F671" s="25">
        <f t="shared" si="20"/>
        <v>0</v>
      </c>
      <c r="G671" s="40" t="str">
        <f t="shared" si="21"/>
        <v>Thu</v>
      </c>
    </row>
    <row r="672" spans="1:7" ht="14.4" x14ac:dyDescent="0.3">
      <c r="A672" s="22">
        <v>44294</v>
      </c>
      <c r="B672" s="23" t="s">
        <v>36</v>
      </c>
      <c r="C672" s="23" t="s">
        <v>98</v>
      </c>
      <c r="D672" s="24">
        <v>24</v>
      </c>
      <c r="E672" s="17">
        <f>VLOOKUP(B672,'SKU Master'!$B$2:$E$31,4,0)</f>
        <v>3199</v>
      </c>
      <c r="F672" s="25">
        <f t="shared" si="20"/>
        <v>76776</v>
      </c>
      <c r="G672" s="40" t="str">
        <f t="shared" si="21"/>
        <v>Thu</v>
      </c>
    </row>
    <row r="673" spans="1:7" ht="14.4" x14ac:dyDescent="0.3">
      <c r="A673" s="22">
        <v>44294</v>
      </c>
      <c r="B673" s="23" t="s">
        <v>39</v>
      </c>
      <c r="C673" s="23" t="s">
        <v>98</v>
      </c>
      <c r="D673" s="24">
        <v>3</v>
      </c>
      <c r="E673" s="17">
        <f>VLOOKUP(B673,'SKU Master'!$B$2:$E$31,4,0)</f>
        <v>371</v>
      </c>
      <c r="F673" s="25">
        <f t="shared" si="20"/>
        <v>1113</v>
      </c>
      <c r="G673" s="40" t="str">
        <f t="shared" si="21"/>
        <v>Thu</v>
      </c>
    </row>
    <row r="674" spans="1:7" ht="14.4" x14ac:dyDescent="0.3">
      <c r="A674" s="22">
        <v>44294</v>
      </c>
      <c r="B674" s="23" t="s">
        <v>42</v>
      </c>
      <c r="C674" s="23" t="s">
        <v>98</v>
      </c>
      <c r="D674" s="24">
        <v>0</v>
      </c>
      <c r="E674" s="17">
        <f>VLOOKUP(B674,'SKU Master'!$B$2:$E$31,4,0)</f>
        <v>2300</v>
      </c>
      <c r="F674" s="25">
        <f t="shared" si="20"/>
        <v>0</v>
      </c>
      <c r="G674" s="40" t="str">
        <f t="shared" si="21"/>
        <v>Thu</v>
      </c>
    </row>
    <row r="675" spans="1:7" ht="14.4" x14ac:dyDescent="0.3">
      <c r="A675" s="22">
        <v>44294</v>
      </c>
      <c r="B675" s="23" t="s">
        <v>45</v>
      </c>
      <c r="C675" s="23" t="s">
        <v>98</v>
      </c>
      <c r="D675" s="24">
        <v>7</v>
      </c>
      <c r="E675" s="17">
        <f>VLOOKUP(B675,'SKU Master'!$B$2:$E$31,4,0)</f>
        <v>499</v>
      </c>
      <c r="F675" s="25">
        <f t="shared" si="20"/>
        <v>3493</v>
      </c>
      <c r="G675" s="40" t="str">
        <f t="shared" si="21"/>
        <v>Thu</v>
      </c>
    </row>
    <row r="676" spans="1:7" ht="14.4" x14ac:dyDescent="0.3">
      <c r="A676" s="22">
        <v>44294</v>
      </c>
      <c r="B676" s="23" t="s">
        <v>48</v>
      </c>
      <c r="C676" s="23" t="s">
        <v>98</v>
      </c>
      <c r="D676" s="24">
        <v>2</v>
      </c>
      <c r="E676" s="17">
        <f>VLOOKUP(B676,'SKU Master'!$B$2:$E$31,4,0)</f>
        <v>299</v>
      </c>
      <c r="F676" s="25">
        <f t="shared" si="20"/>
        <v>598</v>
      </c>
      <c r="G676" s="40" t="str">
        <f t="shared" si="21"/>
        <v>Thu</v>
      </c>
    </row>
    <row r="677" spans="1:7" ht="14.4" x14ac:dyDescent="0.3">
      <c r="A677" s="22">
        <v>44294</v>
      </c>
      <c r="B677" s="23" t="s">
        <v>51</v>
      </c>
      <c r="C677" s="23" t="s">
        <v>98</v>
      </c>
      <c r="D677" s="24">
        <v>0</v>
      </c>
      <c r="E677" s="17">
        <f>VLOOKUP(B677,'SKU Master'!$B$2:$E$31,4,0)</f>
        <v>901</v>
      </c>
      <c r="F677" s="25">
        <f t="shared" si="20"/>
        <v>0</v>
      </c>
      <c r="G677" s="40" t="str">
        <f t="shared" si="21"/>
        <v>Thu</v>
      </c>
    </row>
    <row r="678" spans="1:7" ht="14.4" x14ac:dyDescent="0.3">
      <c r="A678" s="22">
        <v>44294</v>
      </c>
      <c r="B678" s="23" t="s">
        <v>54</v>
      </c>
      <c r="C678" s="23" t="s">
        <v>98</v>
      </c>
      <c r="D678" s="24">
        <v>2</v>
      </c>
      <c r="E678" s="17">
        <f>VLOOKUP(B678,'SKU Master'!$B$2:$E$31,4,0)</f>
        <v>929</v>
      </c>
      <c r="F678" s="25">
        <f t="shared" si="20"/>
        <v>1858</v>
      </c>
      <c r="G678" s="40" t="str">
        <f t="shared" si="21"/>
        <v>Thu</v>
      </c>
    </row>
    <row r="679" spans="1:7" ht="14.4" x14ac:dyDescent="0.3">
      <c r="A679" s="22">
        <v>44294</v>
      </c>
      <c r="B679" s="23" t="s">
        <v>57</v>
      </c>
      <c r="C679" s="23" t="s">
        <v>98</v>
      </c>
      <c r="D679" s="24">
        <v>0</v>
      </c>
      <c r="E679" s="17">
        <f>VLOOKUP(B679,'SKU Master'!$B$2:$E$31,4,0)</f>
        <v>1030</v>
      </c>
      <c r="F679" s="25">
        <f t="shared" si="20"/>
        <v>0</v>
      </c>
      <c r="G679" s="40" t="str">
        <f t="shared" si="21"/>
        <v>Thu</v>
      </c>
    </row>
    <row r="680" spans="1:7" ht="14.4" x14ac:dyDescent="0.3">
      <c r="A680" s="22">
        <v>44294</v>
      </c>
      <c r="B680" s="23" t="s">
        <v>60</v>
      </c>
      <c r="C680" s="23" t="s">
        <v>98</v>
      </c>
      <c r="D680" s="24">
        <v>0</v>
      </c>
      <c r="E680" s="17">
        <f>VLOOKUP(B680,'SKU Master'!$B$2:$E$31,4,0)</f>
        <v>1222</v>
      </c>
      <c r="F680" s="25">
        <f t="shared" si="20"/>
        <v>0</v>
      </c>
      <c r="G680" s="40" t="str">
        <f t="shared" si="21"/>
        <v>Thu</v>
      </c>
    </row>
    <row r="681" spans="1:7" ht="14.4" x14ac:dyDescent="0.3">
      <c r="A681" s="22">
        <v>44294</v>
      </c>
      <c r="B681" s="23" t="s">
        <v>63</v>
      </c>
      <c r="C681" s="23" t="s">
        <v>98</v>
      </c>
      <c r="D681" s="24">
        <v>0</v>
      </c>
      <c r="E681" s="17">
        <f>VLOOKUP(B681,'SKU Master'!$B$2:$E$31,4,0)</f>
        <v>649</v>
      </c>
      <c r="F681" s="25">
        <f t="shared" si="20"/>
        <v>0</v>
      </c>
      <c r="G681" s="40" t="str">
        <f t="shared" si="21"/>
        <v>Thu</v>
      </c>
    </row>
    <row r="682" spans="1:7" ht="14.4" x14ac:dyDescent="0.3">
      <c r="A682" s="22">
        <v>44294</v>
      </c>
      <c r="B682" s="23" t="s">
        <v>67</v>
      </c>
      <c r="C682" s="23" t="s">
        <v>98</v>
      </c>
      <c r="D682" s="24">
        <v>22</v>
      </c>
      <c r="E682" s="17">
        <f>VLOOKUP(B682,'SKU Master'!$B$2:$E$31,4,0)</f>
        <v>1800</v>
      </c>
      <c r="F682" s="25">
        <f t="shared" si="20"/>
        <v>39600</v>
      </c>
      <c r="G682" s="40" t="str">
        <f t="shared" si="21"/>
        <v>Thu</v>
      </c>
    </row>
    <row r="683" spans="1:7" ht="14.4" x14ac:dyDescent="0.3">
      <c r="A683" s="22">
        <v>44294</v>
      </c>
      <c r="B683" s="23" t="s">
        <v>70</v>
      </c>
      <c r="C683" s="23" t="s">
        <v>98</v>
      </c>
      <c r="D683" s="24">
        <v>10</v>
      </c>
      <c r="E683" s="17">
        <f>VLOOKUP(B683,'SKU Master'!$B$2:$E$31,4,0)</f>
        <v>345</v>
      </c>
      <c r="F683" s="25">
        <f t="shared" si="20"/>
        <v>3450</v>
      </c>
      <c r="G683" s="40" t="str">
        <f t="shared" si="21"/>
        <v>Thu</v>
      </c>
    </row>
    <row r="684" spans="1:7" ht="14.4" x14ac:dyDescent="0.3">
      <c r="A684" s="22">
        <v>44294</v>
      </c>
      <c r="B684" s="23" t="s">
        <v>73</v>
      </c>
      <c r="C684" s="23" t="s">
        <v>98</v>
      </c>
      <c r="D684" s="24">
        <v>9</v>
      </c>
      <c r="E684" s="17">
        <f>VLOOKUP(B684,'SKU Master'!$B$2:$E$31,4,0)</f>
        <v>350</v>
      </c>
      <c r="F684" s="25">
        <f t="shared" si="20"/>
        <v>3150</v>
      </c>
      <c r="G684" s="40" t="str">
        <f t="shared" si="21"/>
        <v>Thu</v>
      </c>
    </row>
    <row r="685" spans="1:7" ht="14.4" x14ac:dyDescent="0.3">
      <c r="A685" s="22">
        <v>44294</v>
      </c>
      <c r="B685" s="23" t="s">
        <v>76</v>
      </c>
      <c r="C685" s="23" t="s">
        <v>98</v>
      </c>
      <c r="D685" s="24">
        <v>6</v>
      </c>
      <c r="E685" s="17">
        <f>VLOOKUP(B685,'SKU Master'!$B$2:$E$31,4,0)</f>
        <v>1575</v>
      </c>
      <c r="F685" s="25">
        <f t="shared" si="20"/>
        <v>9450</v>
      </c>
      <c r="G685" s="40" t="str">
        <f t="shared" si="21"/>
        <v>Thu</v>
      </c>
    </row>
    <row r="686" spans="1:7" ht="14.4" x14ac:dyDescent="0.3">
      <c r="A686" s="22">
        <v>44294</v>
      </c>
      <c r="B686" s="23" t="s">
        <v>78</v>
      </c>
      <c r="C686" s="23" t="s">
        <v>98</v>
      </c>
      <c r="D686" s="24">
        <v>1</v>
      </c>
      <c r="E686" s="17">
        <f>VLOOKUP(B686,'SKU Master'!$B$2:$E$31,4,0)</f>
        <v>1045</v>
      </c>
      <c r="F686" s="25">
        <f t="shared" si="20"/>
        <v>1045</v>
      </c>
      <c r="G686" s="40" t="str">
        <f t="shared" si="21"/>
        <v>Thu</v>
      </c>
    </row>
    <row r="687" spans="1:7" ht="14.4" x14ac:dyDescent="0.3">
      <c r="A687" s="22">
        <v>44294</v>
      </c>
      <c r="B687" s="23" t="s">
        <v>81</v>
      </c>
      <c r="C687" s="23" t="s">
        <v>98</v>
      </c>
      <c r="D687" s="24">
        <v>1</v>
      </c>
      <c r="E687" s="17">
        <f>VLOOKUP(B687,'SKU Master'!$B$2:$E$31,4,0)</f>
        <v>1186</v>
      </c>
      <c r="F687" s="25">
        <f t="shared" si="20"/>
        <v>1186</v>
      </c>
      <c r="G687" s="40" t="str">
        <f t="shared" si="21"/>
        <v>Thu</v>
      </c>
    </row>
    <row r="688" spans="1:7" ht="14.4" x14ac:dyDescent="0.3">
      <c r="A688" s="22">
        <v>44294</v>
      </c>
      <c r="B688" s="23" t="s">
        <v>84</v>
      </c>
      <c r="C688" s="23" t="s">
        <v>98</v>
      </c>
      <c r="D688" s="24">
        <v>0</v>
      </c>
      <c r="E688" s="17">
        <f>VLOOKUP(B688,'SKU Master'!$B$2:$E$31,4,0)</f>
        <v>374</v>
      </c>
      <c r="F688" s="25">
        <f t="shared" si="20"/>
        <v>0</v>
      </c>
      <c r="G688" s="40" t="str">
        <f t="shared" si="21"/>
        <v>Thu</v>
      </c>
    </row>
    <row r="689" spans="1:7" ht="14.4" x14ac:dyDescent="0.3">
      <c r="A689" s="22">
        <v>44294</v>
      </c>
      <c r="B689" s="23" t="s">
        <v>87</v>
      </c>
      <c r="C689" s="23" t="s">
        <v>98</v>
      </c>
      <c r="D689" s="24">
        <v>0</v>
      </c>
      <c r="E689" s="17">
        <f>VLOOKUP(B689,'SKU Master'!$B$2:$E$31,4,0)</f>
        <v>1500</v>
      </c>
      <c r="F689" s="25">
        <f t="shared" si="20"/>
        <v>0</v>
      </c>
      <c r="G689" s="40" t="str">
        <f t="shared" si="21"/>
        <v>Thu</v>
      </c>
    </row>
    <row r="690" spans="1:7" ht="14.4" x14ac:dyDescent="0.3">
      <c r="A690" s="22">
        <v>44294</v>
      </c>
      <c r="B690" s="23" t="s">
        <v>90</v>
      </c>
      <c r="C690" s="23" t="s">
        <v>98</v>
      </c>
      <c r="D690" s="24">
        <v>1</v>
      </c>
      <c r="E690" s="17">
        <f>VLOOKUP(B690,'SKU Master'!$B$2:$E$31,4,0)</f>
        <v>1800</v>
      </c>
      <c r="F690" s="25">
        <f t="shared" si="20"/>
        <v>1800</v>
      </c>
      <c r="G690" s="40" t="str">
        <f t="shared" si="21"/>
        <v>Thu</v>
      </c>
    </row>
    <row r="691" spans="1:7" ht="14.4" x14ac:dyDescent="0.3">
      <c r="A691" s="22">
        <v>44294</v>
      </c>
      <c r="B691" s="23" t="s">
        <v>93</v>
      </c>
      <c r="C691" s="23" t="s">
        <v>98</v>
      </c>
      <c r="D691" s="24">
        <v>0</v>
      </c>
      <c r="E691" s="17">
        <f>VLOOKUP(B691,'SKU Master'!$B$2:$E$31,4,0)</f>
        <v>1477</v>
      </c>
      <c r="F691" s="25">
        <f t="shared" si="20"/>
        <v>0</v>
      </c>
      <c r="G691" s="40" t="str">
        <f t="shared" si="21"/>
        <v>Thu</v>
      </c>
    </row>
    <row r="692" spans="1:7" ht="14.4" x14ac:dyDescent="0.3">
      <c r="A692" s="22">
        <v>44294</v>
      </c>
      <c r="B692" s="23" t="s">
        <v>6</v>
      </c>
      <c r="C692" s="23" t="s">
        <v>97</v>
      </c>
      <c r="D692" s="24">
        <v>13</v>
      </c>
      <c r="E692" s="17">
        <f>VLOOKUP(B692,'SKU Master'!$B$2:$E$31,4,0)</f>
        <v>210</v>
      </c>
      <c r="F692" s="25">
        <f t="shared" si="20"/>
        <v>2730</v>
      </c>
      <c r="G692" s="40" t="str">
        <f t="shared" si="21"/>
        <v>Thu</v>
      </c>
    </row>
    <row r="693" spans="1:7" ht="14.4" x14ac:dyDescent="0.3">
      <c r="A693" s="22">
        <v>44294</v>
      </c>
      <c r="B693" s="23" t="s">
        <v>9</v>
      </c>
      <c r="C693" s="23" t="s">
        <v>97</v>
      </c>
      <c r="D693" s="24">
        <v>6</v>
      </c>
      <c r="E693" s="17">
        <f>VLOOKUP(B693,'SKU Master'!$B$2:$E$31,4,0)</f>
        <v>199</v>
      </c>
      <c r="F693" s="25">
        <f t="shared" si="20"/>
        <v>1194</v>
      </c>
      <c r="G693" s="40" t="str">
        <f t="shared" si="21"/>
        <v>Thu</v>
      </c>
    </row>
    <row r="694" spans="1:7" ht="14.4" x14ac:dyDescent="0.3">
      <c r="A694" s="22">
        <v>44294</v>
      </c>
      <c r="B694" s="23" t="s">
        <v>12</v>
      </c>
      <c r="C694" s="23" t="s">
        <v>97</v>
      </c>
      <c r="D694" s="24">
        <v>6</v>
      </c>
      <c r="E694" s="17">
        <f>VLOOKUP(B694,'SKU Master'!$B$2:$E$31,4,0)</f>
        <v>322</v>
      </c>
      <c r="F694" s="25">
        <f t="shared" si="20"/>
        <v>1932</v>
      </c>
      <c r="G694" s="40" t="str">
        <f t="shared" si="21"/>
        <v>Thu</v>
      </c>
    </row>
    <row r="695" spans="1:7" ht="14.4" x14ac:dyDescent="0.3">
      <c r="A695" s="22">
        <v>44294</v>
      </c>
      <c r="B695" s="23" t="s">
        <v>15</v>
      </c>
      <c r="C695" s="23" t="s">
        <v>97</v>
      </c>
      <c r="D695" s="24">
        <v>4</v>
      </c>
      <c r="E695" s="17">
        <f>VLOOKUP(B695,'SKU Master'!$B$2:$E$31,4,0)</f>
        <v>161</v>
      </c>
      <c r="F695" s="25">
        <f t="shared" si="20"/>
        <v>644</v>
      </c>
      <c r="G695" s="40" t="str">
        <f t="shared" si="21"/>
        <v>Thu</v>
      </c>
    </row>
    <row r="696" spans="1:7" ht="14.4" x14ac:dyDescent="0.3">
      <c r="A696" s="22">
        <v>44294</v>
      </c>
      <c r="B696" s="23" t="s">
        <v>17</v>
      </c>
      <c r="C696" s="23" t="s">
        <v>97</v>
      </c>
      <c r="D696" s="24">
        <v>5</v>
      </c>
      <c r="E696" s="17">
        <f>VLOOKUP(B696,'SKU Master'!$B$2:$E$31,4,0)</f>
        <v>109</v>
      </c>
      <c r="F696" s="25">
        <f t="shared" si="20"/>
        <v>545</v>
      </c>
      <c r="G696" s="40" t="str">
        <f t="shared" si="21"/>
        <v>Thu</v>
      </c>
    </row>
    <row r="697" spans="1:7" ht="14.4" x14ac:dyDescent="0.3">
      <c r="A697" s="22">
        <v>44294</v>
      </c>
      <c r="B697" s="23" t="s">
        <v>20</v>
      </c>
      <c r="C697" s="23" t="s">
        <v>97</v>
      </c>
      <c r="D697" s="24">
        <v>2</v>
      </c>
      <c r="E697" s="17">
        <f>VLOOKUP(B697,'SKU Master'!$B$2:$E$31,4,0)</f>
        <v>122</v>
      </c>
      <c r="F697" s="25">
        <f t="shared" si="20"/>
        <v>244</v>
      </c>
      <c r="G697" s="40" t="str">
        <f t="shared" si="21"/>
        <v>Thu</v>
      </c>
    </row>
    <row r="698" spans="1:7" ht="14.4" x14ac:dyDescent="0.3">
      <c r="A698" s="22">
        <v>44294</v>
      </c>
      <c r="B698" s="23" t="s">
        <v>23</v>
      </c>
      <c r="C698" s="23" t="s">
        <v>97</v>
      </c>
      <c r="D698" s="24">
        <v>2</v>
      </c>
      <c r="E698" s="17">
        <f>VLOOKUP(B698,'SKU Master'!$B$2:$E$31,4,0)</f>
        <v>96</v>
      </c>
      <c r="F698" s="25">
        <f t="shared" si="20"/>
        <v>192</v>
      </c>
      <c r="G698" s="40" t="str">
        <f t="shared" si="21"/>
        <v>Thu</v>
      </c>
    </row>
    <row r="699" spans="1:7" ht="14.4" x14ac:dyDescent="0.3">
      <c r="A699" s="22">
        <v>44294</v>
      </c>
      <c r="B699" s="23" t="s">
        <v>26</v>
      </c>
      <c r="C699" s="23" t="s">
        <v>97</v>
      </c>
      <c r="D699" s="24">
        <v>1</v>
      </c>
      <c r="E699" s="17">
        <f>VLOOKUP(B699,'SKU Master'!$B$2:$E$31,4,0)</f>
        <v>73</v>
      </c>
      <c r="F699" s="25">
        <f t="shared" si="20"/>
        <v>73</v>
      </c>
      <c r="G699" s="40" t="str">
        <f t="shared" si="21"/>
        <v>Thu</v>
      </c>
    </row>
    <row r="700" spans="1:7" ht="14.4" x14ac:dyDescent="0.3">
      <c r="A700" s="22">
        <v>44294</v>
      </c>
      <c r="B700" s="23" t="s">
        <v>29</v>
      </c>
      <c r="C700" s="23" t="s">
        <v>97</v>
      </c>
      <c r="D700" s="24">
        <v>1</v>
      </c>
      <c r="E700" s="17">
        <f>VLOOKUP(B700,'SKU Master'!$B$2:$E$31,4,0)</f>
        <v>225</v>
      </c>
      <c r="F700" s="25">
        <f t="shared" si="20"/>
        <v>225</v>
      </c>
      <c r="G700" s="40" t="str">
        <f t="shared" si="21"/>
        <v>Thu</v>
      </c>
    </row>
    <row r="701" spans="1:7" ht="14.4" x14ac:dyDescent="0.3">
      <c r="A701" s="22">
        <v>44294</v>
      </c>
      <c r="B701" s="23" t="s">
        <v>32</v>
      </c>
      <c r="C701" s="23" t="s">
        <v>97</v>
      </c>
      <c r="D701" s="24">
        <v>0</v>
      </c>
      <c r="E701" s="17">
        <f>VLOOKUP(B701,'SKU Master'!$B$2:$E$31,4,0)</f>
        <v>559</v>
      </c>
      <c r="F701" s="25">
        <f t="shared" si="20"/>
        <v>0</v>
      </c>
      <c r="G701" s="40" t="str">
        <f t="shared" si="21"/>
        <v>Thu</v>
      </c>
    </row>
    <row r="702" spans="1:7" ht="14.4" x14ac:dyDescent="0.3">
      <c r="A702" s="22">
        <v>44294</v>
      </c>
      <c r="B702" s="23" t="s">
        <v>36</v>
      </c>
      <c r="C702" s="23" t="s">
        <v>97</v>
      </c>
      <c r="D702" s="24">
        <v>1</v>
      </c>
      <c r="E702" s="17">
        <f>VLOOKUP(B702,'SKU Master'!$B$2:$E$31,4,0)</f>
        <v>3199</v>
      </c>
      <c r="F702" s="25">
        <f t="shared" si="20"/>
        <v>3199</v>
      </c>
      <c r="G702" s="40" t="str">
        <f t="shared" si="21"/>
        <v>Thu</v>
      </c>
    </row>
    <row r="703" spans="1:7" ht="14.4" x14ac:dyDescent="0.3">
      <c r="A703" s="22">
        <v>44294</v>
      </c>
      <c r="B703" s="23" t="s">
        <v>39</v>
      </c>
      <c r="C703" s="23" t="s">
        <v>97</v>
      </c>
      <c r="D703" s="24">
        <v>10</v>
      </c>
      <c r="E703" s="17">
        <f>VLOOKUP(B703,'SKU Master'!$B$2:$E$31,4,0)</f>
        <v>371</v>
      </c>
      <c r="F703" s="25">
        <f t="shared" si="20"/>
        <v>3710</v>
      </c>
      <c r="G703" s="40" t="str">
        <f t="shared" si="21"/>
        <v>Thu</v>
      </c>
    </row>
    <row r="704" spans="1:7" ht="14.4" x14ac:dyDescent="0.3">
      <c r="A704" s="22">
        <v>44294</v>
      </c>
      <c r="B704" s="23" t="s">
        <v>42</v>
      </c>
      <c r="C704" s="23" t="s">
        <v>97</v>
      </c>
      <c r="D704" s="24">
        <v>10</v>
      </c>
      <c r="E704" s="17">
        <f>VLOOKUP(B704,'SKU Master'!$B$2:$E$31,4,0)</f>
        <v>2300</v>
      </c>
      <c r="F704" s="25">
        <f t="shared" si="20"/>
        <v>23000</v>
      </c>
      <c r="G704" s="40" t="str">
        <f t="shared" si="21"/>
        <v>Thu</v>
      </c>
    </row>
    <row r="705" spans="1:7" ht="14.4" x14ac:dyDescent="0.3">
      <c r="A705" s="22">
        <v>44294</v>
      </c>
      <c r="B705" s="23" t="s">
        <v>45</v>
      </c>
      <c r="C705" s="23" t="s">
        <v>97</v>
      </c>
      <c r="D705" s="24">
        <v>1</v>
      </c>
      <c r="E705" s="17">
        <f>VLOOKUP(B705,'SKU Master'!$B$2:$E$31,4,0)</f>
        <v>499</v>
      </c>
      <c r="F705" s="25">
        <f t="shared" si="20"/>
        <v>499</v>
      </c>
      <c r="G705" s="40" t="str">
        <f t="shared" si="21"/>
        <v>Thu</v>
      </c>
    </row>
    <row r="706" spans="1:7" ht="14.4" x14ac:dyDescent="0.3">
      <c r="A706" s="22">
        <v>44294</v>
      </c>
      <c r="B706" s="23" t="s">
        <v>48</v>
      </c>
      <c r="C706" s="23" t="s">
        <v>97</v>
      </c>
      <c r="D706" s="24">
        <v>4</v>
      </c>
      <c r="E706" s="17">
        <f>VLOOKUP(B706,'SKU Master'!$B$2:$E$31,4,0)</f>
        <v>299</v>
      </c>
      <c r="F706" s="25">
        <f t="shared" si="20"/>
        <v>1196</v>
      </c>
      <c r="G706" s="40" t="str">
        <f t="shared" si="21"/>
        <v>Thu</v>
      </c>
    </row>
    <row r="707" spans="1:7" ht="14.4" x14ac:dyDescent="0.3">
      <c r="A707" s="22">
        <v>44294</v>
      </c>
      <c r="B707" s="23" t="s">
        <v>51</v>
      </c>
      <c r="C707" s="23" t="s">
        <v>97</v>
      </c>
      <c r="D707" s="24">
        <v>3</v>
      </c>
      <c r="E707" s="17">
        <f>VLOOKUP(B707,'SKU Master'!$B$2:$E$31,4,0)</f>
        <v>901</v>
      </c>
      <c r="F707" s="25">
        <f t="shared" ref="F707:F770" si="22">D707*E707</f>
        <v>2703</v>
      </c>
      <c r="G707" s="40" t="str">
        <f t="shared" si="21"/>
        <v>Thu</v>
      </c>
    </row>
    <row r="708" spans="1:7" ht="14.4" x14ac:dyDescent="0.3">
      <c r="A708" s="22">
        <v>44294</v>
      </c>
      <c r="B708" s="23" t="s">
        <v>54</v>
      </c>
      <c r="C708" s="23" t="s">
        <v>97</v>
      </c>
      <c r="D708" s="24">
        <v>2</v>
      </c>
      <c r="E708" s="17">
        <f>VLOOKUP(B708,'SKU Master'!$B$2:$E$31,4,0)</f>
        <v>929</v>
      </c>
      <c r="F708" s="25">
        <f t="shared" si="22"/>
        <v>1858</v>
      </c>
      <c r="G708" s="40" t="str">
        <f t="shared" ref="G708:G771" si="23">CHOOSE(WEEKDAY(A708),"Sun","Mon","Tue","Wed","Thu","Fri","Sat")</f>
        <v>Thu</v>
      </c>
    </row>
    <row r="709" spans="1:7" ht="14.4" x14ac:dyDescent="0.3">
      <c r="A709" s="22">
        <v>44294</v>
      </c>
      <c r="B709" s="23" t="s">
        <v>57</v>
      </c>
      <c r="C709" s="23" t="s">
        <v>97</v>
      </c>
      <c r="D709" s="24">
        <v>1</v>
      </c>
      <c r="E709" s="17">
        <f>VLOOKUP(B709,'SKU Master'!$B$2:$E$31,4,0)</f>
        <v>1030</v>
      </c>
      <c r="F709" s="25">
        <f t="shared" si="22"/>
        <v>1030</v>
      </c>
      <c r="G709" s="40" t="str">
        <f t="shared" si="23"/>
        <v>Thu</v>
      </c>
    </row>
    <row r="710" spans="1:7" ht="14.4" x14ac:dyDescent="0.3">
      <c r="A710" s="22">
        <v>44294</v>
      </c>
      <c r="B710" s="23" t="s">
        <v>60</v>
      </c>
      <c r="C710" s="23" t="s">
        <v>97</v>
      </c>
      <c r="D710" s="24">
        <v>2</v>
      </c>
      <c r="E710" s="17">
        <f>VLOOKUP(B710,'SKU Master'!$B$2:$E$31,4,0)</f>
        <v>1222</v>
      </c>
      <c r="F710" s="25">
        <f t="shared" si="22"/>
        <v>2444</v>
      </c>
      <c r="G710" s="40" t="str">
        <f t="shared" si="23"/>
        <v>Thu</v>
      </c>
    </row>
    <row r="711" spans="1:7" ht="14.4" x14ac:dyDescent="0.3">
      <c r="A711" s="22">
        <v>44294</v>
      </c>
      <c r="B711" s="23" t="s">
        <v>63</v>
      </c>
      <c r="C711" s="23" t="s">
        <v>97</v>
      </c>
      <c r="D711" s="24">
        <v>2</v>
      </c>
      <c r="E711" s="17">
        <f>VLOOKUP(B711,'SKU Master'!$B$2:$E$31,4,0)</f>
        <v>649</v>
      </c>
      <c r="F711" s="25">
        <f t="shared" si="22"/>
        <v>1298</v>
      </c>
      <c r="G711" s="40" t="str">
        <f t="shared" si="23"/>
        <v>Thu</v>
      </c>
    </row>
    <row r="712" spans="1:7" ht="14.4" x14ac:dyDescent="0.3">
      <c r="A712" s="22">
        <v>44294</v>
      </c>
      <c r="B712" s="23" t="s">
        <v>67</v>
      </c>
      <c r="C712" s="23" t="s">
        <v>97</v>
      </c>
      <c r="D712" s="24">
        <v>6</v>
      </c>
      <c r="E712" s="17">
        <f>VLOOKUP(B712,'SKU Master'!$B$2:$E$31,4,0)</f>
        <v>1800</v>
      </c>
      <c r="F712" s="25">
        <f t="shared" si="22"/>
        <v>10800</v>
      </c>
      <c r="G712" s="40" t="str">
        <f t="shared" si="23"/>
        <v>Thu</v>
      </c>
    </row>
    <row r="713" spans="1:7" ht="14.4" x14ac:dyDescent="0.3">
      <c r="A713" s="22">
        <v>44294</v>
      </c>
      <c r="B713" s="23" t="s">
        <v>70</v>
      </c>
      <c r="C713" s="23" t="s">
        <v>97</v>
      </c>
      <c r="D713" s="24">
        <v>8</v>
      </c>
      <c r="E713" s="17">
        <f>VLOOKUP(B713,'SKU Master'!$B$2:$E$31,4,0)</f>
        <v>345</v>
      </c>
      <c r="F713" s="25">
        <f t="shared" si="22"/>
        <v>2760</v>
      </c>
      <c r="G713" s="40" t="str">
        <f t="shared" si="23"/>
        <v>Thu</v>
      </c>
    </row>
    <row r="714" spans="1:7" ht="14.4" x14ac:dyDescent="0.3">
      <c r="A714" s="22">
        <v>44294</v>
      </c>
      <c r="B714" s="23" t="s">
        <v>73</v>
      </c>
      <c r="C714" s="23" t="s">
        <v>97</v>
      </c>
      <c r="D714" s="24">
        <v>6</v>
      </c>
      <c r="E714" s="17">
        <f>VLOOKUP(B714,'SKU Master'!$B$2:$E$31,4,0)</f>
        <v>350</v>
      </c>
      <c r="F714" s="25">
        <f t="shared" si="22"/>
        <v>2100</v>
      </c>
      <c r="G714" s="40" t="str">
        <f t="shared" si="23"/>
        <v>Thu</v>
      </c>
    </row>
    <row r="715" spans="1:7" ht="14.4" x14ac:dyDescent="0.3">
      <c r="A715" s="22">
        <v>44294</v>
      </c>
      <c r="B715" s="23" t="s">
        <v>76</v>
      </c>
      <c r="C715" s="23" t="s">
        <v>97</v>
      </c>
      <c r="D715" s="24">
        <v>2</v>
      </c>
      <c r="E715" s="17">
        <f>VLOOKUP(B715,'SKU Master'!$B$2:$E$31,4,0)</f>
        <v>1575</v>
      </c>
      <c r="F715" s="25">
        <f t="shared" si="22"/>
        <v>3150</v>
      </c>
      <c r="G715" s="40" t="str">
        <f t="shared" si="23"/>
        <v>Thu</v>
      </c>
    </row>
    <row r="716" spans="1:7" ht="14.4" x14ac:dyDescent="0.3">
      <c r="A716" s="22">
        <v>44294</v>
      </c>
      <c r="B716" s="23" t="s">
        <v>78</v>
      </c>
      <c r="C716" s="23" t="s">
        <v>97</v>
      </c>
      <c r="D716" s="24">
        <v>5</v>
      </c>
      <c r="E716" s="17">
        <f>VLOOKUP(B716,'SKU Master'!$B$2:$E$31,4,0)</f>
        <v>1045</v>
      </c>
      <c r="F716" s="25">
        <f t="shared" si="22"/>
        <v>5225</v>
      </c>
      <c r="G716" s="40" t="str">
        <f t="shared" si="23"/>
        <v>Thu</v>
      </c>
    </row>
    <row r="717" spans="1:7" ht="14.4" x14ac:dyDescent="0.3">
      <c r="A717" s="22">
        <v>44294</v>
      </c>
      <c r="B717" s="23" t="s">
        <v>81</v>
      </c>
      <c r="C717" s="23" t="s">
        <v>97</v>
      </c>
      <c r="D717" s="24">
        <v>2</v>
      </c>
      <c r="E717" s="17">
        <f>VLOOKUP(B717,'SKU Master'!$B$2:$E$31,4,0)</f>
        <v>1186</v>
      </c>
      <c r="F717" s="25">
        <f t="shared" si="22"/>
        <v>2372</v>
      </c>
      <c r="G717" s="40" t="str">
        <f t="shared" si="23"/>
        <v>Thu</v>
      </c>
    </row>
    <row r="718" spans="1:7" ht="14.4" x14ac:dyDescent="0.3">
      <c r="A718" s="22">
        <v>44294</v>
      </c>
      <c r="B718" s="23" t="s">
        <v>84</v>
      </c>
      <c r="C718" s="23" t="s">
        <v>97</v>
      </c>
      <c r="D718" s="24">
        <v>4</v>
      </c>
      <c r="E718" s="17">
        <f>VLOOKUP(B718,'SKU Master'!$B$2:$E$31,4,0)</f>
        <v>374</v>
      </c>
      <c r="F718" s="25">
        <f t="shared" si="22"/>
        <v>1496</v>
      </c>
      <c r="G718" s="40" t="str">
        <f t="shared" si="23"/>
        <v>Thu</v>
      </c>
    </row>
    <row r="719" spans="1:7" ht="14.4" x14ac:dyDescent="0.3">
      <c r="A719" s="22">
        <v>44294</v>
      </c>
      <c r="B719" s="23" t="s">
        <v>87</v>
      </c>
      <c r="C719" s="23" t="s">
        <v>97</v>
      </c>
      <c r="D719" s="24">
        <v>1</v>
      </c>
      <c r="E719" s="17">
        <f>VLOOKUP(B719,'SKU Master'!$B$2:$E$31,4,0)</f>
        <v>1500</v>
      </c>
      <c r="F719" s="25">
        <f t="shared" si="22"/>
        <v>1500</v>
      </c>
      <c r="G719" s="40" t="str">
        <f t="shared" si="23"/>
        <v>Thu</v>
      </c>
    </row>
    <row r="720" spans="1:7" ht="14.4" x14ac:dyDescent="0.3">
      <c r="A720" s="22">
        <v>44294</v>
      </c>
      <c r="B720" s="23" t="s">
        <v>90</v>
      </c>
      <c r="C720" s="23" t="s">
        <v>97</v>
      </c>
      <c r="D720" s="24">
        <v>2</v>
      </c>
      <c r="E720" s="17">
        <f>VLOOKUP(B720,'SKU Master'!$B$2:$E$31,4,0)</f>
        <v>1800</v>
      </c>
      <c r="F720" s="25">
        <f t="shared" si="22"/>
        <v>3600</v>
      </c>
      <c r="G720" s="40" t="str">
        <f t="shared" si="23"/>
        <v>Thu</v>
      </c>
    </row>
    <row r="721" spans="1:7" ht="14.4" x14ac:dyDescent="0.3">
      <c r="A721" s="22">
        <v>44294</v>
      </c>
      <c r="B721" s="23" t="s">
        <v>93</v>
      </c>
      <c r="C721" s="23" t="s">
        <v>97</v>
      </c>
      <c r="D721" s="24">
        <v>1</v>
      </c>
      <c r="E721" s="17">
        <f>VLOOKUP(B721,'SKU Master'!$B$2:$E$31,4,0)</f>
        <v>1477</v>
      </c>
      <c r="F721" s="25">
        <f t="shared" si="22"/>
        <v>1477</v>
      </c>
      <c r="G721" s="40" t="str">
        <f t="shared" si="23"/>
        <v>Thu</v>
      </c>
    </row>
    <row r="722" spans="1:7" ht="14.4" x14ac:dyDescent="0.3">
      <c r="A722" s="22">
        <v>44295</v>
      </c>
      <c r="B722" s="23" t="s">
        <v>6</v>
      </c>
      <c r="C722" s="23" t="s">
        <v>96</v>
      </c>
      <c r="D722" s="24">
        <v>27</v>
      </c>
      <c r="E722" s="17">
        <f>VLOOKUP(B722,'SKU Master'!$B$2:$E$31,4,0)</f>
        <v>210</v>
      </c>
      <c r="F722" s="25">
        <f t="shared" si="22"/>
        <v>5670</v>
      </c>
      <c r="G722" s="40" t="str">
        <f t="shared" si="23"/>
        <v>Fri</v>
      </c>
    </row>
    <row r="723" spans="1:7" ht="14.4" x14ac:dyDescent="0.3">
      <c r="A723" s="22">
        <v>44295</v>
      </c>
      <c r="B723" s="23" t="s">
        <v>9</v>
      </c>
      <c r="C723" s="23" t="s">
        <v>96</v>
      </c>
      <c r="D723" s="24">
        <v>16</v>
      </c>
      <c r="E723" s="17">
        <f>VLOOKUP(B723,'SKU Master'!$B$2:$E$31,4,0)</f>
        <v>199</v>
      </c>
      <c r="F723" s="25">
        <f t="shared" si="22"/>
        <v>3184</v>
      </c>
      <c r="G723" s="40" t="str">
        <f t="shared" si="23"/>
        <v>Fri</v>
      </c>
    </row>
    <row r="724" spans="1:7" ht="14.4" x14ac:dyDescent="0.3">
      <c r="A724" s="22">
        <v>44295</v>
      </c>
      <c r="B724" s="23" t="s">
        <v>12</v>
      </c>
      <c r="C724" s="23" t="s">
        <v>96</v>
      </c>
      <c r="D724" s="24">
        <v>11</v>
      </c>
      <c r="E724" s="17">
        <f>VLOOKUP(B724,'SKU Master'!$B$2:$E$31,4,0)</f>
        <v>322</v>
      </c>
      <c r="F724" s="25">
        <f t="shared" si="22"/>
        <v>3542</v>
      </c>
      <c r="G724" s="40" t="str">
        <f t="shared" si="23"/>
        <v>Fri</v>
      </c>
    </row>
    <row r="725" spans="1:7" ht="14.4" x14ac:dyDescent="0.3">
      <c r="A725" s="22">
        <v>44295</v>
      </c>
      <c r="B725" s="23" t="s">
        <v>15</v>
      </c>
      <c r="C725" s="23" t="s">
        <v>96</v>
      </c>
      <c r="D725" s="24">
        <v>8</v>
      </c>
      <c r="E725" s="17">
        <f>VLOOKUP(B725,'SKU Master'!$B$2:$E$31,4,0)</f>
        <v>161</v>
      </c>
      <c r="F725" s="25">
        <f t="shared" si="22"/>
        <v>1288</v>
      </c>
      <c r="G725" s="40" t="str">
        <f t="shared" si="23"/>
        <v>Fri</v>
      </c>
    </row>
    <row r="726" spans="1:7" ht="14.4" x14ac:dyDescent="0.3">
      <c r="A726" s="22">
        <v>44295</v>
      </c>
      <c r="B726" s="23" t="s">
        <v>17</v>
      </c>
      <c r="C726" s="23" t="s">
        <v>96</v>
      </c>
      <c r="D726" s="24">
        <v>7</v>
      </c>
      <c r="E726" s="17">
        <f>VLOOKUP(B726,'SKU Master'!$B$2:$E$31,4,0)</f>
        <v>109</v>
      </c>
      <c r="F726" s="25">
        <f t="shared" si="22"/>
        <v>763</v>
      </c>
      <c r="G726" s="40" t="str">
        <f t="shared" si="23"/>
        <v>Fri</v>
      </c>
    </row>
    <row r="727" spans="1:7" ht="14.4" x14ac:dyDescent="0.3">
      <c r="A727" s="22">
        <v>44295</v>
      </c>
      <c r="B727" s="23" t="s">
        <v>20</v>
      </c>
      <c r="C727" s="23" t="s">
        <v>96</v>
      </c>
      <c r="D727" s="24">
        <v>4</v>
      </c>
      <c r="E727" s="17">
        <f>VLOOKUP(B727,'SKU Master'!$B$2:$E$31,4,0)</f>
        <v>122</v>
      </c>
      <c r="F727" s="25">
        <f t="shared" si="22"/>
        <v>488</v>
      </c>
      <c r="G727" s="40" t="str">
        <f t="shared" si="23"/>
        <v>Fri</v>
      </c>
    </row>
    <row r="728" spans="1:7" ht="14.4" x14ac:dyDescent="0.3">
      <c r="A728" s="22">
        <v>44295</v>
      </c>
      <c r="B728" s="23" t="s">
        <v>23</v>
      </c>
      <c r="C728" s="23" t="s">
        <v>96</v>
      </c>
      <c r="D728" s="24">
        <v>2</v>
      </c>
      <c r="E728" s="17">
        <f>VLOOKUP(B728,'SKU Master'!$B$2:$E$31,4,0)</f>
        <v>96</v>
      </c>
      <c r="F728" s="25">
        <f t="shared" si="22"/>
        <v>192</v>
      </c>
      <c r="G728" s="40" t="str">
        <f t="shared" si="23"/>
        <v>Fri</v>
      </c>
    </row>
    <row r="729" spans="1:7" ht="14.4" x14ac:dyDescent="0.3">
      <c r="A729" s="22">
        <v>44295</v>
      </c>
      <c r="B729" s="23" t="s">
        <v>26</v>
      </c>
      <c r="C729" s="23" t="s">
        <v>96</v>
      </c>
      <c r="D729" s="24">
        <v>2</v>
      </c>
      <c r="E729" s="17">
        <f>VLOOKUP(B729,'SKU Master'!$B$2:$E$31,4,0)</f>
        <v>73</v>
      </c>
      <c r="F729" s="25">
        <f t="shared" si="22"/>
        <v>146</v>
      </c>
      <c r="G729" s="40" t="str">
        <f t="shared" si="23"/>
        <v>Fri</v>
      </c>
    </row>
    <row r="730" spans="1:7" ht="14.4" x14ac:dyDescent="0.3">
      <c r="A730" s="22">
        <v>44295</v>
      </c>
      <c r="B730" s="23" t="s">
        <v>29</v>
      </c>
      <c r="C730" s="23" t="s">
        <v>96</v>
      </c>
      <c r="D730" s="24">
        <v>1</v>
      </c>
      <c r="E730" s="17">
        <f>VLOOKUP(B730,'SKU Master'!$B$2:$E$31,4,0)</f>
        <v>225</v>
      </c>
      <c r="F730" s="25">
        <f t="shared" si="22"/>
        <v>225</v>
      </c>
      <c r="G730" s="40" t="str">
        <f t="shared" si="23"/>
        <v>Fri</v>
      </c>
    </row>
    <row r="731" spans="1:7" ht="14.4" x14ac:dyDescent="0.3">
      <c r="A731" s="22">
        <v>44295</v>
      </c>
      <c r="B731" s="23" t="s">
        <v>32</v>
      </c>
      <c r="C731" s="23" t="s">
        <v>96</v>
      </c>
      <c r="D731" s="24">
        <v>0</v>
      </c>
      <c r="E731" s="17">
        <f>VLOOKUP(B731,'SKU Master'!$B$2:$E$31,4,0)</f>
        <v>559</v>
      </c>
      <c r="F731" s="25">
        <f t="shared" si="22"/>
        <v>0</v>
      </c>
      <c r="G731" s="40" t="str">
        <f t="shared" si="23"/>
        <v>Fri</v>
      </c>
    </row>
    <row r="732" spans="1:7" ht="14.4" x14ac:dyDescent="0.3">
      <c r="A732" s="22">
        <v>44295</v>
      </c>
      <c r="B732" s="23" t="s">
        <v>36</v>
      </c>
      <c r="C732" s="23" t="s">
        <v>96</v>
      </c>
      <c r="D732" s="24">
        <v>30</v>
      </c>
      <c r="E732" s="17">
        <f>VLOOKUP(B732,'SKU Master'!$B$2:$E$31,4,0)</f>
        <v>3199</v>
      </c>
      <c r="F732" s="25">
        <f t="shared" si="22"/>
        <v>95970</v>
      </c>
      <c r="G732" s="40" t="str">
        <f t="shared" si="23"/>
        <v>Fri</v>
      </c>
    </row>
    <row r="733" spans="1:7" ht="14.4" x14ac:dyDescent="0.3">
      <c r="A733" s="22">
        <v>44295</v>
      </c>
      <c r="B733" s="23" t="s">
        <v>39</v>
      </c>
      <c r="C733" s="23" t="s">
        <v>96</v>
      </c>
      <c r="D733" s="24">
        <v>14</v>
      </c>
      <c r="E733" s="17">
        <f>VLOOKUP(B733,'SKU Master'!$B$2:$E$31,4,0)</f>
        <v>371</v>
      </c>
      <c r="F733" s="25">
        <f t="shared" si="22"/>
        <v>5194</v>
      </c>
      <c r="G733" s="40" t="str">
        <f t="shared" si="23"/>
        <v>Fri</v>
      </c>
    </row>
    <row r="734" spans="1:7" ht="14.4" x14ac:dyDescent="0.3">
      <c r="A734" s="22">
        <v>44295</v>
      </c>
      <c r="B734" s="23" t="s">
        <v>42</v>
      </c>
      <c r="C734" s="23" t="s">
        <v>96</v>
      </c>
      <c r="D734" s="24">
        <v>11</v>
      </c>
      <c r="E734" s="17">
        <f>VLOOKUP(B734,'SKU Master'!$B$2:$E$31,4,0)</f>
        <v>2300</v>
      </c>
      <c r="F734" s="25">
        <f t="shared" si="22"/>
        <v>25300</v>
      </c>
      <c r="G734" s="40" t="str">
        <f t="shared" si="23"/>
        <v>Fri</v>
      </c>
    </row>
    <row r="735" spans="1:7" ht="14.4" x14ac:dyDescent="0.3">
      <c r="A735" s="22">
        <v>44295</v>
      </c>
      <c r="B735" s="23" t="s">
        <v>45</v>
      </c>
      <c r="C735" s="23" t="s">
        <v>96</v>
      </c>
      <c r="D735" s="24">
        <v>8</v>
      </c>
      <c r="E735" s="17">
        <f>VLOOKUP(B735,'SKU Master'!$B$2:$E$31,4,0)</f>
        <v>499</v>
      </c>
      <c r="F735" s="25">
        <f t="shared" si="22"/>
        <v>3992</v>
      </c>
      <c r="G735" s="40" t="str">
        <f t="shared" si="23"/>
        <v>Fri</v>
      </c>
    </row>
    <row r="736" spans="1:7" ht="14.4" x14ac:dyDescent="0.3">
      <c r="A736" s="22">
        <v>44295</v>
      </c>
      <c r="B736" s="23" t="s">
        <v>48</v>
      </c>
      <c r="C736" s="23" t="s">
        <v>96</v>
      </c>
      <c r="D736" s="24">
        <v>7</v>
      </c>
      <c r="E736" s="17">
        <f>VLOOKUP(B736,'SKU Master'!$B$2:$E$31,4,0)</f>
        <v>299</v>
      </c>
      <c r="F736" s="25">
        <f t="shared" si="22"/>
        <v>2093</v>
      </c>
      <c r="G736" s="40" t="str">
        <f t="shared" si="23"/>
        <v>Fri</v>
      </c>
    </row>
    <row r="737" spans="1:7" ht="14.4" x14ac:dyDescent="0.3">
      <c r="A737" s="22">
        <v>44295</v>
      </c>
      <c r="B737" s="23" t="s">
        <v>51</v>
      </c>
      <c r="C737" s="23" t="s">
        <v>96</v>
      </c>
      <c r="D737" s="24">
        <v>2</v>
      </c>
      <c r="E737" s="17">
        <f>VLOOKUP(B737,'SKU Master'!$B$2:$E$31,4,0)</f>
        <v>901</v>
      </c>
      <c r="F737" s="25">
        <f t="shared" si="22"/>
        <v>1802</v>
      </c>
      <c r="G737" s="40" t="str">
        <f t="shared" si="23"/>
        <v>Fri</v>
      </c>
    </row>
    <row r="738" spans="1:7" ht="14.4" x14ac:dyDescent="0.3">
      <c r="A738" s="22">
        <v>44295</v>
      </c>
      <c r="B738" s="23" t="s">
        <v>54</v>
      </c>
      <c r="C738" s="23" t="s">
        <v>96</v>
      </c>
      <c r="D738" s="24">
        <v>2</v>
      </c>
      <c r="E738" s="17">
        <f>VLOOKUP(B738,'SKU Master'!$B$2:$E$31,4,0)</f>
        <v>929</v>
      </c>
      <c r="F738" s="25">
        <f t="shared" si="22"/>
        <v>1858</v>
      </c>
      <c r="G738" s="40" t="str">
        <f t="shared" si="23"/>
        <v>Fri</v>
      </c>
    </row>
    <row r="739" spans="1:7" ht="14.4" x14ac:dyDescent="0.3">
      <c r="A739" s="22">
        <v>44295</v>
      </c>
      <c r="B739" s="23" t="s">
        <v>57</v>
      </c>
      <c r="C739" s="23" t="s">
        <v>96</v>
      </c>
      <c r="D739" s="24">
        <v>2</v>
      </c>
      <c r="E739" s="17">
        <f>VLOOKUP(B739,'SKU Master'!$B$2:$E$31,4,0)</f>
        <v>1030</v>
      </c>
      <c r="F739" s="25">
        <f t="shared" si="22"/>
        <v>2060</v>
      </c>
      <c r="G739" s="40" t="str">
        <f t="shared" si="23"/>
        <v>Fri</v>
      </c>
    </row>
    <row r="740" spans="1:7" ht="14.4" x14ac:dyDescent="0.3">
      <c r="A740" s="22">
        <v>44295</v>
      </c>
      <c r="B740" s="23" t="s">
        <v>60</v>
      </c>
      <c r="C740" s="23" t="s">
        <v>96</v>
      </c>
      <c r="D740" s="24">
        <v>1</v>
      </c>
      <c r="E740" s="17">
        <f>VLOOKUP(B740,'SKU Master'!$B$2:$E$31,4,0)</f>
        <v>1222</v>
      </c>
      <c r="F740" s="25">
        <f t="shared" si="22"/>
        <v>1222</v>
      </c>
      <c r="G740" s="40" t="str">
        <f t="shared" si="23"/>
        <v>Fri</v>
      </c>
    </row>
    <row r="741" spans="1:7" ht="14.4" x14ac:dyDescent="0.3">
      <c r="A741" s="22">
        <v>44295</v>
      </c>
      <c r="B741" s="23" t="s">
        <v>63</v>
      </c>
      <c r="C741" s="23" t="s">
        <v>96</v>
      </c>
      <c r="D741" s="24">
        <v>0</v>
      </c>
      <c r="E741" s="17">
        <f>VLOOKUP(B741,'SKU Master'!$B$2:$E$31,4,0)</f>
        <v>649</v>
      </c>
      <c r="F741" s="25">
        <f t="shared" si="22"/>
        <v>0</v>
      </c>
      <c r="G741" s="40" t="str">
        <f t="shared" si="23"/>
        <v>Fri</v>
      </c>
    </row>
    <row r="742" spans="1:7" ht="14.4" x14ac:dyDescent="0.3">
      <c r="A742" s="22">
        <v>44295</v>
      </c>
      <c r="B742" s="23" t="s">
        <v>67</v>
      </c>
      <c r="C742" s="23" t="s">
        <v>96</v>
      </c>
      <c r="D742" s="24">
        <v>31</v>
      </c>
      <c r="E742" s="17">
        <f>VLOOKUP(B742,'SKU Master'!$B$2:$E$31,4,0)</f>
        <v>1800</v>
      </c>
      <c r="F742" s="25">
        <f t="shared" si="22"/>
        <v>55800</v>
      </c>
      <c r="G742" s="40" t="str">
        <f t="shared" si="23"/>
        <v>Fri</v>
      </c>
    </row>
    <row r="743" spans="1:7" ht="14.4" x14ac:dyDescent="0.3">
      <c r="A743" s="22">
        <v>44295</v>
      </c>
      <c r="B743" s="23" t="s">
        <v>70</v>
      </c>
      <c r="C743" s="23" t="s">
        <v>96</v>
      </c>
      <c r="D743" s="24">
        <v>14</v>
      </c>
      <c r="E743" s="17">
        <f>VLOOKUP(B743,'SKU Master'!$B$2:$E$31,4,0)</f>
        <v>345</v>
      </c>
      <c r="F743" s="25">
        <f t="shared" si="22"/>
        <v>4830</v>
      </c>
      <c r="G743" s="40" t="str">
        <f t="shared" si="23"/>
        <v>Fri</v>
      </c>
    </row>
    <row r="744" spans="1:7" ht="14.4" x14ac:dyDescent="0.3">
      <c r="A744" s="22">
        <v>44295</v>
      </c>
      <c r="B744" s="23" t="s">
        <v>73</v>
      </c>
      <c r="C744" s="23" t="s">
        <v>96</v>
      </c>
      <c r="D744" s="24">
        <v>14</v>
      </c>
      <c r="E744" s="17">
        <f>VLOOKUP(B744,'SKU Master'!$B$2:$E$31,4,0)</f>
        <v>350</v>
      </c>
      <c r="F744" s="25">
        <f t="shared" si="22"/>
        <v>4900</v>
      </c>
      <c r="G744" s="40" t="str">
        <f t="shared" si="23"/>
        <v>Fri</v>
      </c>
    </row>
    <row r="745" spans="1:7" ht="14.4" x14ac:dyDescent="0.3">
      <c r="A745" s="22">
        <v>44295</v>
      </c>
      <c r="B745" s="23" t="s">
        <v>76</v>
      </c>
      <c r="C745" s="23" t="s">
        <v>96</v>
      </c>
      <c r="D745" s="24">
        <v>10</v>
      </c>
      <c r="E745" s="17">
        <f>VLOOKUP(B745,'SKU Master'!$B$2:$E$31,4,0)</f>
        <v>1575</v>
      </c>
      <c r="F745" s="25">
        <f t="shared" si="22"/>
        <v>15750</v>
      </c>
      <c r="G745" s="40" t="str">
        <f t="shared" si="23"/>
        <v>Fri</v>
      </c>
    </row>
    <row r="746" spans="1:7" ht="14.4" x14ac:dyDescent="0.3">
      <c r="A746" s="22">
        <v>44295</v>
      </c>
      <c r="B746" s="23" t="s">
        <v>78</v>
      </c>
      <c r="C746" s="23" t="s">
        <v>96</v>
      </c>
      <c r="D746" s="24">
        <v>6</v>
      </c>
      <c r="E746" s="17">
        <f>VLOOKUP(B746,'SKU Master'!$B$2:$E$31,4,0)</f>
        <v>1045</v>
      </c>
      <c r="F746" s="25">
        <f t="shared" si="22"/>
        <v>6270</v>
      </c>
      <c r="G746" s="40" t="str">
        <f t="shared" si="23"/>
        <v>Fri</v>
      </c>
    </row>
    <row r="747" spans="1:7" ht="14.4" x14ac:dyDescent="0.3">
      <c r="A747" s="22">
        <v>44295</v>
      </c>
      <c r="B747" s="23" t="s">
        <v>81</v>
      </c>
      <c r="C747" s="23" t="s">
        <v>96</v>
      </c>
      <c r="D747" s="24">
        <v>3</v>
      </c>
      <c r="E747" s="17">
        <f>VLOOKUP(B747,'SKU Master'!$B$2:$E$31,4,0)</f>
        <v>1186</v>
      </c>
      <c r="F747" s="25">
        <f t="shared" si="22"/>
        <v>3558</v>
      </c>
      <c r="G747" s="40" t="str">
        <f t="shared" si="23"/>
        <v>Fri</v>
      </c>
    </row>
    <row r="748" spans="1:7" ht="14.4" x14ac:dyDescent="0.3">
      <c r="A748" s="22">
        <v>44295</v>
      </c>
      <c r="B748" s="23" t="s">
        <v>84</v>
      </c>
      <c r="C748" s="23" t="s">
        <v>96</v>
      </c>
      <c r="D748" s="24">
        <v>2</v>
      </c>
      <c r="E748" s="17">
        <f>VLOOKUP(B748,'SKU Master'!$B$2:$E$31,4,0)</f>
        <v>374</v>
      </c>
      <c r="F748" s="25">
        <f t="shared" si="22"/>
        <v>748</v>
      </c>
      <c r="G748" s="40" t="str">
        <f t="shared" si="23"/>
        <v>Fri</v>
      </c>
    </row>
    <row r="749" spans="1:7" ht="14.4" x14ac:dyDescent="0.3">
      <c r="A749" s="22">
        <v>44295</v>
      </c>
      <c r="B749" s="23" t="s">
        <v>87</v>
      </c>
      <c r="C749" s="23" t="s">
        <v>96</v>
      </c>
      <c r="D749" s="24">
        <v>0</v>
      </c>
      <c r="E749" s="17">
        <f>VLOOKUP(B749,'SKU Master'!$B$2:$E$31,4,0)</f>
        <v>1500</v>
      </c>
      <c r="F749" s="25">
        <f t="shared" si="22"/>
        <v>0</v>
      </c>
      <c r="G749" s="40" t="str">
        <f t="shared" si="23"/>
        <v>Fri</v>
      </c>
    </row>
    <row r="750" spans="1:7" ht="14.4" x14ac:dyDescent="0.3">
      <c r="A750" s="22">
        <v>44295</v>
      </c>
      <c r="B750" s="23" t="s">
        <v>90</v>
      </c>
      <c r="C750" s="23" t="s">
        <v>96</v>
      </c>
      <c r="D750" s="24">
        <v>1</v>
      </c>
      <c r="E750" s="17">
        <f>VLOOKUP(B750,'SKU Master'!$B$2:$E$31,4,0)</f>
        <v>1800</v>
      </c>
      <c r="F750" s="25">
        <f t="shared" si="22"/>
        <v>1800</v>
      </c>
      <c r="G750" s="40" t="str">
        <f t="shared" si="23"/>
        <v>Fri</v>
      </c>
    </row>
    <row r="751" spans="1:7" ht="14.4" x14ac:dyDescent="0.3">
      <c r="A751" s="22">
        <v>44295</v>
      </c>
      <c r="B751" s="23" t="s">
        <v>93</v>
      </c>
      <c r="C751" s="23" t="s">
        <v>96</v>
      </c>
      <c r="D751" s="24">
        <v>0</v>
      </c>
      <c r="E751" s="17">
        <f>VLOOKUP(B751,'SKU Master'!$B$2:$E$31,4,0)</f>
        <v>1477</v>
      </c>
      <c r="F751" s="25">
        <f t="shared" si="22"/>
        <v>0</v>
      </c>
      <c r="G751" s="40" t="str">
        <f t="shared" si="23"/>
        <v>Fri</v>
      </c>
    </row>
    <row r="752" spans="1:7" ht="14.4" x14ac:dyDescent="0.3">
      <c r="A752" s="22">
        <v>44295</v>
      </c>
      <c r="B752" s="23" t="s">
        <v>6</v>
      </c>
      <c r="C752" s="23" t="s">
        <v>98</v>
      </c>
      <c r="D752" s="24">
        <v>20</v>
      </c>
      <c r="E752" s="17">
        <f>VLOOKUP(B752,'SKU Master'!$B$2:$E$31,4,0)</f>
        <v>210</v>
      </c>
      <c r="F752" s="25">
        <f t="shared" si="22"/>
        <v>4200</v>
      </c>
      <c r="G752" s="40" t="str">
        <f t="shared" si="23"/>
        <v>Fri</v>
      </c>
    </row>
    <row r="753" spans="1:7" ht="14.4" x14ac:dyDescent="0.3">
      <c r="A753" s="22">
        <v>44295</v>
      </c>
      <c r="B753" s="23" t="s">
        <v>9</v>
      </c>
      <c r="C753" s="23" t="s">
        <v>98</v>
      </c>
      <c r="D753" s="24">
        <v>9</v>
      </c>
      <c r="E753" s="17">
        <f>VLOOKUP(B753,'SKU Master'!$B$2:$E$31,4,0)</f>
        <v>199</v>
      </c>
      <c r="F753" s="25">
        <f t="shared" si="22"/>
        <v>1791</v>
      </c>
      <c r="G753" s="40" t="str">
        <f t="shared" si="23"/>
        <v>Fri</v>
      </c>
    </row>
    <row r="754" spans="1:7" ht="14.4" x14ac:dyDescent="0.3">
      <c r="A754" s="22">
        <v>44295</v>
      </c>
      <c r="B754" s="23" t="s">
        <v>12</v>
      </c>
      <c r="C754" s="23" t="s">
        <v>98</v>
      </c>
      <c r="D754" s="24">
        <v>7</v>
      </c>
      <c r="E754" s="17">
        <f>VLOOKUP(B754,'SKU Master'!$B$2:$E$31,4,0)</f>
        <v>322</v>
      </c>
      <c r="F754" s="25">
        <f t="shared" si="22"/>
        <v>2254</v>
      </c>
      <c r="G754" s="40" t="str">
        <f t="shared" si="23"/>
        <v>Fri</v>
      </c>
    </row>
    <row r="755" spans="1:7" ht="14.4" x14ac:dyDescent="0.3">
      <c r="A755" s="22">
        <v>44295</v>
      </c>
      <c r="B755" s="23" t="s">
        <v>15</v>
      </c>
      <c r="C755" s="23" t="s">
        <v>98</v>
      </c>
      <c r="D755" s="24">
        <v>6</v>
      </c>
      <c r="E755" s="17">
        <f>VLOOKUP(B755,'SKU Master'!$B$2:$E$31,4,0)</f>
        <v>161</v>
      </c>
      <c r="F755" s="25">
        <f t="shared" si="22"/>
        <v>966</v>
      </c>
      <c r="G755" s="40" t="str">
        <f t="shared" si="23"/>
        <v>Fri</v>
      </c>
    </row>
    <row r="756" spans="1:7" ht="14.4" x14ac:dyDescent="0.3">
      <c r="A756" s="22">
        <v>44295</v>
      </c>
      <c r="B756" s="23" t="s">
        <v>17</v>
      </c>
      <c r="C756" s="23" t="s">
        <v>98</v>
      </c>
      <c r="D756" s="24">
        <v>4</v>
      </c>
      <c r="E756" s="17">
        <f>VLOOKUP(B756,'SKU Master'!$B$2:$E$31,4,0)</f>
        <v>109</v>
      </c>
      <c r="F756" s="25">
        <f t="shared" si="22"/>
        <v>436</v>
      </c>
      <c r="G756" s="40" t="str">
        <f t="shared" si="23"/>
        <v>Fri</v>
      </c>
    </row>
    <row r="757" spans="1:7" ht="14.4" x14ac:dyDescent="0.3">
      <c r="A757" s="22">
        <v>44295</v>
      </c>
      <c r="B757" s="23" t="s">
        <v>20</v>
      </c>
      <c r="C757" s="23" t="s">
        <v>98</v>
      </c>
      <c r="D757" s="24">
        <v>3</v>
      </c>
      <c r="E757" s="17">
        <f>VLOOKUP(B757,'SKU Master'!$B$2:$E$31,4,0)</f>
        <v>122</v>
      </c>
      <c r="F757" s="25">
        <f t="shared" si="22"/>
        <v>366</v>
      </c>
      <c r="G757" s="40" t="str">
        <f t="shared" si="23"/>
        <v>Fri</v>
      </c>
    </row>
    <row r="758" spans="1:7" ht="14.4" x14ac:dyDescent="0.3">
      <c r="A758" s="22">
        <v>44295</v>
      </c>
      <c r="B758" s="23" t="s">
        <v>23</v>
      </c>
      <c r="C758" s="23" t="s">
        <v>98</v>
      </c>
      <c r="D758" s="24">
        <v>2</v>
      </c>
      <c r="E758" s="17">
        <f>VLOOKUP(B758,'SKU Master'!$B$2:$E$31,4,0)</f>
        <v>96</v>
      </c>
      <c r="F758" s="25">
        <f t="shared" si="22"/>
        <v>192</v>
      </c>
      <c r="G758" s="40" t="str">
        <f t="shared" si="23"/>
        <v>Fri</v>
      </c>
    </row>
    <row r="759" spans="1:7" ht="14.4" x14ac:dyDescent="0.3">
      <c r="A759" s="22">
        <v>44295</v>
      </c>
      <c r="B759" s="23" t="s">
        <v>26</v>
      </c>
      <c r="C759" s="23" t="s">
        <v>98</v>
      </c>
      <c r="D759" s="24">
        <v>1</v>
      </c>
      <c r="E759" s="17">
        <f>VLOOKUP(B759,'SKU Master'!$B$2:$E$31,4,0)</f>
        <v>73</v>
      </c>
      <c r="F759" s="25">
        <f t="shared" si="22"/>
        <v>73</v>
      </c>
      <c r="G759" s="40" t="str">
        <f t="shared" si="23"/>
        <v>Fri</v>
      </c>
    </row>
    <row r="760" spans="1:7" ht="14.4" x14ac:dyDescent="0.3">
      <c r="A760" s="22">
        <v>44295</v>
      </c>
      <c r="B760" s="23" t="s">
        <v>29</v>
      </c>
      <c r="C760" s="23" t="s">
        <v>98</v>
      </c>
      <c r="D760" s="24">
        <v>0</v>
      </c>
      <c r="E760" s="17">
        <f>VLOOKUP(B760,'SKU Master'!$B$2:$E$31,4,0)</f>
        <v>225</v>
      </c>
      <c r="F760" s="25">
        <f t="shared" si="22"/>
        <v>0</v>
      </c>
      <c r="G760" s="40" t="str">
        <f t="shared" si="23"/>
        <v>Fri</v>
      </c>
    </row>
    <row r="761" spans="1:7" ht="14.4" x14ac:dyDescent="0.3">
      <c r="A761" s="22">
        <v>44295</v>
      </c>
      <c r="B761" s="23" t="s">
        <v>32</v>
      </c>
      <c r="C761" s="23" t="s">
        <v>98</v>
      </c>
      <c r="D761" s="24">
        <v>0</v>
      </c>
      <c r="E761" s="17">
        <f>VLOOKUP(B761,'SKU Master'!$B$2:$E$31,4,0)</f>
        <v>559</v>
      </c>
      <c r="F761" s="25">
        <f t="shared" si="22"/>
        <v>0</v>
      </c>
      <c r="G761" s="40" t="str">
        <f t="shared" si="23"/>
        <v>Fri</v>
      </c>
    </row>
    <row r="762" spans="1:7" ht="14.4" x14ac:dyDescent="0.3">
      <c r="A762" s="22">
        <v>44295</v>
      </c>
      <c r="B762" s="23" t="s">
        <v>36</v>
      </c>
      <c r="C762" s="23" t="s">
        <v>98</v>
      </c>
      <c r="D762" s="24">
        <v>5</v>
      </c>
      <c r="E762" s="17">
        <f>VLOOKUP(B762,'SKU Master'!$B$2:$E$31,4,0)</f>
        <v>3199</v>
      </c>
      <c r="F762" s="25">
        <f t="shared" si="22"/>
        <v>15995</v>
      </c>
      <c r="G762" s="40" t="str">
        <f t="shared" si="23"/>
        <v>Fri</v>
      </c>
    </row>
    <row r="763" spans="1:7" ht="14.4" x14ac:dyDescent="0.3">
      <c r="A763" s="22">
        <v>44295</v>
      </c>
      <c r="B763" s="23" t="s">
        <v>39</v>
      </c>
      <c r="C763" s="23" t="s">
        <v>98</v>
      </c>
      <c r="D763" s="24">
        <v>1</v>
      </c>
      <c r="E763" s="17">
        <f>VLOOKUP(B763,'SKU Master'!$B$2:$E$31,4,0)</f>
        <v>371</v>
      </c>
      <c r="F763" s="25">
        <f t="shared" si="22"/>
        <v>371</v>
      </c>
      <c r="G763" s="40" t="str">
        <f t="shared" si="23"/>
        <v>Fri</v>
      </c>
    </row>
    <row r="764" spans="1:7" ht="14.4" x14ac:dyDescent="0.3">
      <c r="A764" s="22">
        <v>44295</v>
      </c>
      <c r="B764" s="23" t="s">
        <v>42</v>
      </c>
      <c r="C764" s="23" t="s">
        <v>98</v>
      </c>
      <c r="D764" s="24">
        <v>4</v>
      </c>
      <c r="E764" s="17">
        <f>VLOOKUP(B764,'SKU Master'!$B$2:$E$31,4,0)</f>
        <v>2300</v>
      </c>
      <c r="F764" s="25">
        <f t="shared" si="22"/>
        <v>9200</v>
      </c>
      <c r="G764" s="40" t="str">
        <f t="shared" si="23"/>
        <v>Fri</v>
      </c>
    </row>
    <row r="765" spans="1:7" ht="14.4" x14ac:dyDescent="0.3">
      <c r="A765" s="22">
        <v>44295</v>
      </c>
      <c r="B765" s="23" t="s">
        <v>45</v>
      </c>
      <c r="C765" s="23" t="s">
        <v>98</v>
      </c>
      <c r="D765" s="24">
        <v>6</v>
      </c>
      <c r="E765" s="17">
        <f>VLOOKUP(B765,'SKU Master'!$B$2:$E$31,4,0)</f>
        <v>499</v>
      </c>
      <c r="F765" s="25">
        <f t="shared" si="22"/>
        <v>2994</v>
      </c>
      <c r="G765" s="40" t="str">
        <f t="shared" si="23"/>
        <v>Fri</v>
      </c>
    </row>
    <row r="766" spans="1:7" ht="14.4" x14ac:dyDescent="0.3">
      <c r="A766" s="22">
        <v>44295</v>
      </c>
      <c r="B766" s="23" t="s">
        <v>48</v>
      </c>
      <c r="C766" s="23" t="s">
        <v>98</v>
      </c>
      <c r="D766" s="24">
        <v>0</v>
      </c>
      <c r="E766" s="17">
        <f>VLOOKUP(B766,'SKU Master'!$B$2:$E$31,4,0)</f>
        <v>299</v>
      </c>
      <c r="F766" s="25">
        <f t="shared" si="22"/>
        <v>0</v>
      </c>
      <c r="G766" s="40" t="str">
        <f t="shared" si="23"/>
        <v>Fri</v>
      </c>
    </row>
    <row r="767" spans="1:7" ht="14.4" x14ac:dyDescent="0.3">
      <c r="A767" s="22">
        <v>44295</v>
      </c>
      <c r="B767" s="23" t="s">
        <v>51</v>
      </c>
      <c r="C767" s="23" t="s">
        <v>98</v>
      </c>
      <c r="D767" s="24">
        <v>3</v>
      </c>
      <c r="E767" s="17">
        <f>VLOOKUP(B767,'SKU Master'!$B$2:$E$31,4,0)</f>
        <v>901</v>
      </c>
      <c r="F767" s="25">
        <f t="shared" si="22"/>
        <v>2703</v>
      </c>
      <c r="G767" s="40" t="str">
        <f t="shared" si="23"/>
        <v>Fri</v>
      </c>
    </row>
    <row r="768" spans="1:7" ht="14.4" x14ac:dyDescent="0.3">
      <c r="A768" s="22">
        <v>44295</v>
      </c>
      <c r="B768" s="23" t="s">
        <v>54</v>
      </c>
      <c r="C768" s="23" t="s">
        <v>98</v>
      </c>
      <c r="D768" s="24">
        <v>1</v>
      </c>
      <c r="E768" s="17">
        <f>VLOOKUP(B768,'SKU Master'!$B$2:$E$31,4,0)</f>
        <v>929</v>
      </c>
      <c r="F768" s="25">
        <f t="shared" si="22"/>
        <v>929</v>
      </c>
      <c r="G768" s="40" t="str">
        <f t="shared" si="23"/>
        <v>Fri</v>
      </c>
    </row>
    <row r="769" spans="1:7" ht="14.4" x14ac:dyDescent="0.3">
      <c r="A769" s="22">
        <v>44295</v>
      </c>
      <c r="B769" s="23" t="s">
        <v>57</v>
      </c>
      <c r="C769" s="23" t="s">
        <v>98</v>
      </c>
      <c r="D769" s="24">
        <v>2</v>
      </c>
      <c r="E769" s="17">
        <f>VLOOKUP(B769,'SKU Master'!$B$2:$E$31,4,0)</f>
        <v>1030</v>
      </c>
      <c r="F769" s="25">
        <f t="shared" si="22"/>
        <v>2060</v>
      </c>
      <c r="G769" s="40" t="str">
        <f t="shared" si="23"/>
        <v>Fri</v>
      </c>
    </row>
    <row r="770" spans="1:7" ht="14.4" x14ac:dyDescent="0.3">
      <c r="A770" s="22">
        <v>44295</v>
      </c>
      <c r="B770" s="23" t="s">
        <v>60</v>
      </c>
      <c r="C770" s="23" t="s">
        <v>98</v>
      </c>
      <c r="D770" s="24">
        <v>1</v>
      </c>
      <c r="E770" s="17">
        <f>VLOOKUP(B770,'SKU Master'!$B$2:$E$31,4,0)</f>
        <v>1222</v>
      </c>
      <c r="F770" s="25">
        <f t="shared" si="22"/>
        <v>1222</v>
      </c>
      <c r="G770" s="40" t="str">
        <f t="shared" si="23"/>
        <v>Fri</v>
      </c>
    </row>
    <row r="771" spans="1:7" ht="14.4" x14ac:dyDescent="0.3">
      <c r="A771" s="22">
        <v>44295</v>
      </c>
      <c r="B771" s="23" t="s">
        <v>63</v>
      </c>
      <c r="C771" s="23" t="s">
        <v>98</v>
      </c>
      <c r="D771" s="24">
        <v>0</v>
      </c>
      <c r="E771" s="17">
        <f>VLOOKUP(B771,'SKU Master'!$B$2:$E$31,4,0)</f>
        <v>649</v>
      </c>
      <c r="F771" s="25">
        <f t="shared" ref="F771:F834" si="24">D771*E771</f>
        <v>0</v>
      </c>
      <c r="G771" s="40" t="str">
        <f t="shared" si="23"/>
        <v>Fri</v>
      </c>
    </row>
    <row r="772" spans="1:7" ht="14.4" x14ac:dyDescent="0.3">
      <c r="A772" s="22">
        <v>44295</v>
      </c>
      <c r="B772" s="23" t="s">
        <v>67</v>
      </c>
      <c r="C772" s="23" t="s">
        <v>98</v>
      </c>
      <c r="D772" s="24">
        <v>19</v>
      </c>
      <c r="E772" s="17">
        <f>VLOOKUP(B772,'SKU Master'!$B$2:$E$31,4,0)</f>
        <v>1800</v>
      </c>
      <c r="F772" s="25">
        <f t="shared" si="24"/>
        <v>34200</v>
      </c>
      <c r="G772" s="40" t="str">
        <f t="shared" ref="G772:G835" si="25">CHOOSE(WEEKDAY(A772),"Sun","Mon","Tue","Wed","Thu","Fri","Sat")</f>
        <v>Fri</v>
      </c>
    </row>
    <row r="773" spans="1:7" ht="14.4" x14ac:dyDescent="0.3">
      <c r="A773" s="22">
        <v>44295</v>
      </c>
      <c r="B773" s="23" t="s">
        <v>70</v>
      </c>
      <c r="C773" s="23" t="s">
        <v>98</v>
      </c>
      <c r="D773" s="24">
        <v>8</v>
      </c>
      <c r="E773" s="17">
        <f>VLOOKUP(B773,'SKU Master'!$B$2:$E$31,4,0)</f>
        <v>345</v>
      </c>
      <c r="F773" s="25">
        <f t="shared" si="24"/>
        <v>2760</v>
      </c>
      <c r="G773" s="40" t="str">
        <f t="shared" si="25"/>
        <v>Fri</v>
      </c>
    </row>
    <row r="774" spans="1:7" ht="14.4" x14ac:dyDescent="0.3">
      <c r="A774" s="22">
        <v>44295</v>
      </c>
      <c r="B774" s="23" t="s">
        <v>73</v>
      </c>
      <c r="C774" s="23" t="s">
        <v>98</v>
      </c>
      <c r="D774" s="24">
        <v>7</v>
      </c>
      <c r="E774" s="17">
        <f>VLOOKUP(B774,'SKU Master'!$B$2:$E$31,4,0)</f>
        <v>350</v>
      </c>
      <c r="F774" s="25">
        <f t="shared" si="24"/>
        <v>2450</v>
      </c>
      <c r="G774" s="40" t="str">
        <f t="shared" si="25"/>
        <v>Fri</v>
      </c>
    </row>
    <row r="775" spans="1:7" ht="14.4" x14ac:dyDescent="0.3">
      <c r="A775" s="22">
        <v>44295</v>
      </c>
      <c r="B775" s="23" t="s">
        <v>76</v>
      </c>
      <c r="C775" s="23" t="s">
        <v>98</v>
      </c>
      <c r="D775" s="24">
        <v>6</v>
      </c>
      <c r="E775" s="17">
        <f>VLOOKUP(B775,'SKU Master'!$B$2:$E$31,4,0)</f>
        <v>1575</v>
      </c>
      <c r="F775" s="25">
        <f t="shared" si="24"/>
        <v>9450</v>
      </c>
      <c r="G775" s="40" t="str">
        <f t="shared" si="25"/>
        <v>Fri</v>
      </c>
    </row>
    <row r="776" spans="1:7" ht="14.4" x14ac:dyDescent="0.3">
      <c r="A776" s="22">
        <v>44295</v>
      </c>
      <c r="B776" s="23" t="s">
        <v>78</v>
      </c>
      <c r="C776" s="23" t="s">
        <v>98</v>
      </c>
      <c r="D776" s="24">
        <v>4</v>
      </c>
      <c r="E776" s="17">
        <f>VLOOKUP(B776,'SKU Master'!$B$2:$E$31,4,0)</f>
        <v>1045</v>
      </c>
      <c r="F776" s="25">
        <f t="shared" si="24"/>
        <v>4180</v>
      </c>
      <c r="G776" s="40" t="str">
        <f t="shared" si="25"/>
        <v>Fri</v>
      </c>
    </row>
    <row r="777" spans="1:7" ht="14.4" x14ac:dyDescent="0.3">
      <c r="A777" s="22">
        <v>44295</v>
      </c>
      <c r="B777" s="23" t="s">
        <v>81</v>
      </c>
      <c r="C777" s="23" t="s">
        <v>98</v>
      </c>
      <c r="D777" s="24">
        <v>0</v>
      </c>
      <c r="E777" s="17">
        <f>VLOOKUP(B777,'SKU Master'!$B$2:$E$31,4,0)</f>
        <v>1186</v>
      </c>
      <c r="F777" s="25">
        <f t="shared" si="24"/>
        <v>0</v>
      </c>
      <c r="G777" s="40" t="str">
        <f t="shared" si="25"/>
        <v>Fri</v>
      </c>
    </row>
    <row r="778" spans="1:7" ht="14.4" x14ac:dyDescent="0.3">
      <c r="A778" s="22">
        <v>44295</v>
      </c>
      <c r="B778" s="23" t="s">
        <v>84</v>
      </c>
      <c r="C778" s="23" t="s">
        <v>98</v>
      </c>
      <c r="D778" s="24">
        <v>1</v>
      </c>
      <c r="E778" s="17">
        <f>VLOOKUP(B778,'SKU Master'!$B$2:$E$31,4,0)</f>
        <v>374</v>
      </c>
      <c r="F778" s="25">
        <f t="shared" si="24"/>
        <v>374</v>
      </c>
      <c r="G778" s="40" t="str">
        <f t="shared" si="25"/>
        <v>Fri</v>
      </c>
    </row>
    <row r="779" spans="1:7" ht="14.4" x14ac:dyDescent="0.3">
      <c r="A779" s="22">
        <v>44295</v>
      </c>
      <c r="B779" s="23" t="s">
        <v>87</v>
      </c>
      <c r="C779" s="23" t="s">
        <v>98</v>
      </c>
      <c r="D779" s="24">
        <v>1</v>
      </c>
      <c r="E779" s="17">
        <f>VLOOKUP(B779,'SKU Master'!$B$2:$E$31,4,0)</f>
        <v>1500</v>
      </c>
      <c r="F779" s="25">
        <f t="shared" si="24"/>
        <v>1500</v>
      </c>
      <c r="G779" s="40" t="str">
        <f t="shared" si="25"/>
        <v>Fri</v>
      </c>
    </row>
    <row r="780" spans="1:7" ht="14.4" x14ac:dyDescent="0.3">
      <c r="A780" s="22">
        <v>44295</v>
      </c>
      <c r="B780" s="23" t="s">
        <v>90</v>
      </c>
      <c r="C780" s="23" t="s">
        <v>98</v>
      </c>
      <c r="D780" s="24">
        <v>0</v>
      </c>
      <c r="E780" s="17">
        <f>VLOOKUP(B780,'SKU Master'!$B$2:$E$31,4,0)</f>
        <v>1800</v>
      </c>
      <c r="F780" s="25">
        <f t="shared" si="24"/>
        <v>0</v>
      </c>
      <c r="G780" s="40" t="str">
        <f t="shared" si="25"/>
        <v>Fri</v>
      </c>
    </row>
    <row r="781" spans="1:7" ht="14.4" x14ac:dyDescent="0.3">
      <c r="A781" s="22">
        <v>44295</v>
      </c>
      <c r="B781" s="23" t="s">
        <v>93</v>
      </c>
      <c r="C781" s="23" t="s">
        <v>98</v>
      </c>
      <c r="D781" s="24">
        <v>0</v>
      </c>
      <c r="E781" s="17">
        <f>VLOOKUP(B781,'SKU Master'!$B$2:$E$31,4,0)</f>
        <v>1477</v>
      </c>
      <c r="F781" s="25">
        <f t="shared" si="24"/>
        <v>0</v>
      </c>
      <c r="G781" s="40" t="str">
        <f t="shared" si="25"/>
        <v>Fri</v>
      </c>
    </row>
    <row r="782" spans="1:7" ht="14.4" x14ac:dyDescent="0.3">
      <c r="A782" s="22">
        <v>44295</v>
      </c>
      <c r="B782" s="23" t="s">
        <v>6</v>
      </c>
      <c r="C782" s="23" t="s">
        <v>97</v>
      </c>
      <c r="D782" s="24">
        <v>14</v>
      </c>
      <c r="E782" s="17">
        <f>VLOOKUP(B782,'SKU Master'!$B$2:$E$31,4,0)</f>
        <v>210</v>
      </c>
      <c r="F782" s="25">
        <f t="shared" si="24"/>
        <v>2940</v>
      </c>
      <c r="G782" s="40" t="str">
        <f t="shared" si="25"/>
        <v>Fri</v>
      </c>
    </row>
    <row r="783" spans="1:7" ht="14.4" x14ac:dyDescent="0.3">
      <c r="A783" s="22">
        <v>44295</v>
      </c>
      <c r="B783" s="23" t="s">
        <v>9</v>
      </c>
      <c r="C783" s="23" t="s">
        <v>97</v>
      </c>
      <c r="D783" s="24">
        <v>6</v>
      </c>
      <c r="E783" s="17">
        <f>VLOOKUP(B783,'SKU Master'!$B$2:$E$31,4,0)</f>
        <v>199</v>
      </c>
      <c r="F783" s="25">
        <f t="shared" si="24"/>
        <v>1194</v>
      </c>
      <c r="G783" s="40" t="str">
        <f t="shared" si="25"/>
        <v>Fri</v>
      </c>
    </row>
    <row r="784" spans="1:7" ht="14.4" x14ac:dyDescent="0.3">
      <c r="A784" s="22">
        <v>44295</v>
      </c>
      <c r="B784" s="23" t="s">
        <v>12</v>
      </c>
      <c r="C784" s="23" t="s">
        <v>97</v>
      </c>
      <c r="D784" s="24">
        <v>6</v>
      </c>
      <c r="E784" s="17">
        <f>VLOOKUP(B784,'SKU Master'!$B$2:$E$31,4,0)</f>
        <v>322</v>
      </c>
      <c r="F784" s="25">
        <f t="shared" si="24"/>
        <v>1932</v>
      </c>
      <c r="G784" s="40" t="str">
        <f t="shared" si="25"/>
        <v>Fri</v>
      </c>
    </row>
    <row r="785" spans="1:7" ht="14.4" x14ac:dyDescent="0.3">
      <c r="A785" s="22">
        <v>44295</v>
      </c>
      <c r="B785" s="23" t="s">
        <v>15</v>
      </c>
      <c r="C785" s="23" t="s">
        <v>97</v>
      </c>
      <c r="D785" s="24">
        <v>6</v>
      </c>
      <c r="E785" s="17">
        <f>VLOOKUP(B785,'SKU Master'!$B$2:$E$31,4,0)</f>
        <v>161</v>
      </c>
      <c r="F785" s="25">
        <f t="shared" si="24"/>
        <v>966</v>
      </c>
      <c r="G785" s="40" t="str">
        <f t="shared" si="25"/>
        <v>Fri</v>
      </c>
    </row>
    <row r="786" spans="1:7" ht="14.4" x14ac:dyDescent="0.3">
      <c r="A786" s="22">
        <v>44295</v>
      </c>
      <c r="B786" s="23" t="s">
        <v>17</v>
      </c>
      <c r="C786" s="23" t="s">
        <v>97</v>
      </c>
      <c r="D786" s="24">
        <v>4</v>
      </c>
      <c r="E786" s="17">
        <f>VLOOKUP(B786,'SKU Master'!$B$2:$E$31,4,0)</f>
        <v>109</v>
      </c>
      <c r="F786" s="25">
        <f t="shared" si="24"/>
        <v>436</v>
      </c>
      <c r="G786" s="40" t="str">
        <f t="shared" si="25"/>
        <v>Fri</v>
      </c>
    </row>
    <row r="787" spans="1:7" ht="14.4" x14ac:dyDescent="0.3">
      <c r="A787" s="22">
        <v>44295</v>
      </c>
      <c r="B787" s="23" t="s">
        <v>20</v>
      </c>
      <c r="C787" s="23" t="s">
        <v>97</v>
      </c>
      <c r="D787" s="24">
        <v>1</v>
      </c>
      <c r="E787" s="17">
        <f>VLOOKUP(B787,'SKU Master'!$B$2:$E$31,4,0)</f>
        <v>122</v>
      </c>
      <c r="F787" s="25">
        <f t="shared" si="24"/>
        <v>122</v>
      </c>
      <c r="G787" s="40" t="str">
        <f t="shared" si="25"/>
        <v>Fri</v>
      </c>
    </row>
    <row r="788" spans="1:7" ht="14.4" x14ac:dyDescent="0.3">
      <c r="A788" s="22">
        <v>44295</v>
      </c>
      <c r="B788" s="23" t="s">
        <v>23</v>
      </c>
      <c r="C788" s="23" t="s">
        <v>97</v>
      </c>
      <c r="D788" s="24">
        <v>2</v>
      </c>
      <c r="E788" s="17">
        <f>VLOOKUP(B788,'SKU Master'!$B$2:$E$31,4,0)</f>
        <v>96</v>
      </c>
      <c r="F788" s="25">
        <f t="shared" si="24"/>
        <v>192</v>
      </c>
      <c r="G788" s="40" t="str">
        <f t="shared" si="25"/>
        <v>Fri</v>
      </c>
    </row>
    <row r="789" spans="1:7" ht="14.4" x14ac:dyDescent="0.3">
      <c r="A789" s="22">
        <v>44295</v>
      </c>
      <c r="B789" s="23" t="s">
        <v>26</v>
      </c>
      <c r="C789" s="23" t="s">
        <v>97</v>
      </c>
      <c r="D789" s="24">
        <v>1</v>
      </c>
      <c r="E789" s="17">
        <f>VLOOKUP(B789,'SKU Master'!$B$2:$E$31,4,0)</f>
        <v>73</v>
      </c>
      <c r="F789" s="25">
        <f t="shared" si="24"/>
        <v>73</v>
      </c>
      <c r="G789" s="40" t="str">
        <f t="shared" si="25"/>
        <v>Fri</v>
      </c>
    </row>
    <row r="790" spans="1:7" ht="14.4" x14ac:dyDescent="0.3">
      <c r="A790" s="22">
        <v>44295</v>
      </c>
      <c r="B790" s="23" t="s">
        <v>29</v>
      </c>
      <c r="C790" s="23" t="s">
        <v>97</v>
      </c>
      <c r="D790" s="24">
        <v>1</v>
      </c>
      <c r="E790" s="17">
        <f>VLOOKUP(B790,'SKU Master'!$B$2:$E$31,4,0)</f>
        <v>225</v>
      </c>
      <c r="F790" s="25">
        <f t="shared" si="24"/>
        <v>225</v>
      </c>
      <c r="G790" s="40" t="str">
        <f t="shared" si="25"/>
        <v>Fri</v>
      </c>
    </row>
    <row r="791" spans="1:7" ht="14.4" x14ac:dyDescent="0.3">
      <c r="A791" s="22">
        <v>44295</v>
      </c>
      <c r="B791" s="23" t="s">
        <v>32</v>
      </c>
      <c r="C791" s="23" t="s">
        <v>97</v>
      </c>
      <c r="D791" s="24">
        <v>0</v>
      </c>
      <c r="E791" s="17">
        <f>VLOOKUP(B791,'SKU Master'!$B$2:$E$31,4,0)</f>
        <v>559</v>
      </c>
      <c r="F791" s="25">
        <f t="shared" si="24"/>
        <v>0</v>
      </c>
      <c r="G791" s="40" t="str">
        <f t="shared" si="25"/>
        <v>Fri</v>
      </c>
    </row>
    <row r="792" spans="1:7" ht="14.4" x14ac:dyDescent="0.3">
      <c r="A792" s="22">
        <v>44295</v>
      </c>
      <c r="B792" s="23" t="s">
        <v>36</v>
      </c>
      <c r="C792" s="23" t="s">
        <v>97</v>
      </c>
      <c r="D792" s="24">
        <v>30</v>
      </c>
      <c r="E792" s="17">
        <f>VLOOKUP(B792,'SKU Master'!$B$2:$E$31,4,0)</f>
        <v>3199</v>
      </c>
      <c r="F792" s="25">
        <f t="shared" si="24"/>
        <v>95970</v>
      </c>
      <c r="G792" s="40" t="str">
        <f t="shared" si="25"/>
        <v>Fri</v>
      </c>
    </row>
    <row r="793" spans="1:7" ht="14.4" x14ac:dyDescent="0.3">
      <c r="A793" s="22">
        <v>44295</v>
      </c>
      <c r="B793" s="23" t="s">
        <v>39</v>
      </c>
      <c r="C793" s="23" t="s">
        <v>97</v>
      </c>
      <c r="D793" s="24">
        <v>11</v>
      </c>
      <c r="E793" s="17">
        <f>VLOOKUP(B793,'SKU Master'!$B$2:$E$31,4,0)</f>
        <v>371</v>
      </c>
      <c r="F793" s="25">
        <f t="shared" si="24"/>
        <v>4081</v>
      </c>
      <c r="G793" s="40" t="str">
        <f t="shared" si="25"/>
        <v>Fri</v>
      </c>
    </row>
    <row r="794" spans="1:7" ht="14.4" x14ac:dyDescent="0.3">
      <c r="A794" s="22">
        <v>44295</v>
      </c>
      <c r="B794" s="23" t="s">
        <v>42</v>
      </c>
      <c r="C794" s="23" t="s">
        <v>97</v>
      </c>
      <c r="D794" s="24">
        <v>6</v>
      </c>
      <c r="E794" s="17">
        <f>VLOOKUP(B794,'SKU Master'!$B$2:$E$31,4,0)</f>
        <v>2300</v>
      </c>
      <c r="F794" s="25">
        <f t="shared" si="24"/>
        <v>13800</v>
      </c>
      <c r="G794" s="40" t="str">
        <f t="shared" si="25"/>
        <v>Fri</v>
      </c>
    </row>
    <row r="795" spans="1:7" ht="14.4" x14ac:dyDescent="0.3">
      <c r="A795" s="22">
        <v>44295</v>
      </c>
      <c r="B795" s="23" t="s">
        <v>45</v>
      </c>
      <c r="C795" s="23" t="s">
        <v>97</v>
      </c>
      <c r="D795" s="24">
        <v>3</v>
      </c>
      <c r="E795" s="17">
        <f>VLOOKUP(B795,'SKU Master'!$B$2:$E$31,4,0)</f>
        <v>499</v>
      </c>
      <c r="F795" s="25">
        <f t="shared" si="24"/>
        <v>1497</v>
      </c>
      <c r="G795" s="40" t="str">
        <f t="shared" si="25"/>
        <v>Fri</v>
      </c>
    </row>
    <row r="796" spans="1:7" ht="14.4" x14ac:dyDescent="0.3">
      <c r="A796" s="22">
        <v>44295</v>
      </c>
      <c r="B796" s="23" t="s">
        <v>48</v>
      </c>
      <c r="C796" s="23" t="s">
        <v>97</v>
      </c>
      <c r="D796" s="24">
        <v>7</v>
      </c>
      <c r="E796" s="17">
        <f>VLOOKUP(B796,'SKU Master'!$B$2:$E$31,4,0)</f>
        <v>299</v>
      </c>
      <c r="F796" s="25">
        <f t="shared" si="24"/>
        <v>2093</v>
      </c>
      <c r="G796" s="40" t="str">
        <f t="shared" si="25"/>
        <v>Fri</v>
      </c>
    </row>
    <row r="797" spans="1:7" ht="14.4" x14ac:dyDescent="0.3">
      <c r="A797" s="22">
        <v>44295</v>
      </c>
      <c r="B797" s="23" t="s">
        <v>51</v>
      </c>
      <c r="C797" s="23" t="s">
        <v>97</v>
      </c>
      <c r="D797" s="24">
        <v>1</v>
      </c>
      <c r="E797" s="17">
        <f>VLOOKUP(B797,'SKU Master'!$B$2:$E$31,4,0)</f>
        <v>901</v>
      </c>
      <c r="F797" s="25">
        <f t="shared" si="24"/>
        <v>901</v>
      </c>
      <c r="G797" s="40" t="str">
        <f t="shared" si="25"/>
        <v>Fri</v>
      </c>
    </row>
    <row r="798" spans="1:7" ht="14.4" x14ac:dyDescent="0.3">
      <c r="A798" s="22">
        <v>44295</v>
      </c>
      <c r="B798" s="23" t="s">
        <v>54</v>
      </c>
      <c r="C798" s="23" t="s">
        <v>97</v>
      </c>
      <c r="D798" s="24">
        <v>3</v>
      </c>
      <c r="E798" s="17">
        <f>VLOOKUP(B798,'SKU Master'!$B$2:$E$31,4,0)</f>
        <v>929</v>
      </c>
      <c r="F798" s="25">
        <f t="shared" si="24"/>
        <v>2787</v>
      </c>
      <c r="G798" s="40" t="str">
        <f t="shared" si="25"/>
        <v>Fri</v>
      </c>
    </row>
    <row r="799" spans="1:7" ht="14.4" x14ac:dyDescent="0.3">
      <c r="A799" s="22">
        <v>44295</v>
      </c>
      <c r="B799" s="23" t="s">
        <v>57</v>
      </c>
      <c r="C799" s="23" t="s">
        <v>97</v>
      </c>
      <c r="D799" s="24">
        <v>1</v>
      </c>
      <c r="E799" s="17">
        <f>VLOOKUP(B799,'SKU Master'!$B$2:$E$31,4,0)</f>
        <v>1030</v>
      </c>
      <c r="F799" s="25">
        <f t="shared" si="24"/>
        <v>1030</v>
      </c>
      <c r="G799" s="40" t="str">
        <f t="shared" si="25"/>
        <v>Fri</v>
      </c>
    </row>
    <row r="800" spans="1:7" ht="14.4" x14ac:dyDescent="0.3">
      <c r="A800" s="22">
        <v>44295</v>
      </c>
      <c r="B800" s="23" t="s">
        <v>60</v>
      </c>
      <c r="C800" s="23" t="s">
        <v>97</v>
      </c>
      <c r="D800" s="24">
        <v>1</v>
      </c>
      <c r="E800" s="17">
        <f>VLOOKUP(B800,'SKU Master'!$B$2:$E$31,4,0)</f>
        <v>1222</v>
      </c>
      <c r="F800" s="25">
        <f t="shared" si="24"/>
        <v>1222</v>
      </c>
      <c r="G800" s="40" t="str">
        <f t="shared" si="25"/>
        <v>Fri</v>
      </c>
    </row>
    <row r="801" spans="1:7" ht="14.4" x14ac:dyDescent="0.3">
      <c r="A801" s="22">
        <v>44295</v>
      </c>
      <c r="B801" s="23" t="s">
        <v>63</v>
      </c>
      <c r="C801" s="23" t="s">
        <v>97</v>
      </c>
      <c r="D801" s="24">
        <v>0</v>
      </c>
      <c r="E801" s="17">
        <f>VLOOKUP(B801,'SKU Master'!$B$2:$E$31,4,0)</f>
        <v>649</v>
      </c>
      <c r="F801" s="25">
        <f t="shared" si="24"/>
        <v>0</v>
      </c>
      <c r="G801" s="40" t="str">
        <f t="shared" si="25"/>
        <v>Fri</v>
      </c>
    </row>
    <row r="802" spans="1:7" ht="14.4" x14ac:dyDescent="0.3">
      <c r="A802" s="22">
        <v>44295</v>
      </c>
      <c r="B802" s="23" t="s">
        <v>67</v>
      </c>
      <c r="C802" s="23" t="s">
        <v>97</v>
      </c>
      <c r="D802" s="24">
        <v>15</v>
      </c>
      <c r="E802" s="17">
        <f>VLOOKUP(B802,'SKU Master'!$B$2:$E$31,4,0)</f>
        <v>1800</v>
      </c>
      <c r="F802" s="25">
        <f t="shared" si="24"/>
        <v>27000</v>
      </c>
      <c r="G802" s="40" t="str">
        <f t="shared" si="25"/>
        <v>Fri</v>
      </c>
    </row>
    <row r="803" spans="1:7" ht="14.4" x14ac:dyDescent="0.3">
      <c r="A803" s="22">
        <v>44295</v>
      </c>
      <c r="B803" s="23" t="s">
        <v>70</v>
      </c>
      <c r="C803" s="23" t="s">
        <v>97</v>
      </c>
      <c r="D803" s="24">
        <v>5</v>
      </c>
      <c r="E803" s="17">
        <f>VLOOKUP(B803,'SKU Master'!$B$2:$E$31,4,0)</f>
        <v>345</v>
      </c>
      <c r="F803" s="25">
        <f t="shared" si="24"/>
        <v>1725</v>
      </c>
      <c r="G803" s="40" t="str">
        <f t="shared" si="25"/>
        <v>Fri</v>
      </c>
    </row>
    <row r="804" spans="1:7" ht="14.4" x14ac:dyDescent="0.3">
      <c r="A804" s="22">
        <v>44295</v>
      </c>
      <c r="B804" s="23" t="s">
        <v>73</v>
      </c>
      <c r="C804" s="23" t="s">
        <v>97</v>
      </c>
      <c r="D804" s="24">
        <v>4</v>
      </c>
      <c r="E804" s="17">
        <f>VLOOKUP(B804,'SKU Master'!$B$2:$E$31,4,0)</f>
        <v>350</v>
      </c>
      <c r="F804" s="25">
        <f t="shared" si="24"/>
        <v>1400</v>
      </c>
      <c r="G804" s="40" t="str">
        <f t="shared" si="25"/>
        <v>Fri</v>
      </c>
    </row>
    <row r="805" spans="1:7" ht="14.4" x14ac:dyDescent="0.3">
      <c r="A805" s="22">
        <v>44295</v>
      </c>
      <c r="B805" s="23" t="s">
        <v>76</v>
      </c>
      <c r="C805" s="23" t="s">
        <v>97</v>
      </c>
      <c r="D805" s="24">
        <v>1</v>
      </c>
      <c r="E805" s="17">
        <f>VLOOKUP(B805,'SKU Master'!$B$2:$E$31,4,0)</f>
        <v>1575</v>
      </c>
      <c r="F805" s="25">
        <f t="shared" si="24"/>
        <v>1575</v>
      </c>
      <c r="G805" s="40" t="str">
        <f t="shared" si="25"/>
        <v>Fri</v>
      </c>
    </row>
    <row r="806" spans="1:7" ht="14.4" x14ac:dyDescent="0.3">
      <c r="A806" s="22">
        <v>44295</v>
      </c>
      <c r="B806" s="23" t="s">
        <v>78</v>
      </c>
      <c r="C806" s="23" t="s">
        <v>97</v>
      </c>
      <c r="D806" s="24">
        <v>4</v>
      </c>
      <c r="E806" s="17">
        <f>VLOOKUP(B806,'SKU Master'!$B$2:$E$31,4,0)</f>
        <v>1045</v>
      </c>
      <c r="F806" s="25">
        <f t="shared" si="24"/>
        <v>4180</v>
      </c>
      <c r="G806" s="40" t="str">
        <f t="shared" si="25"/>
        <v>Fri</v>
      </c>
    </row>
    <row r="807" spans="1:7" ht="14.4" x14ac:dyDescent="0.3">
      <c r="A807" s="22">
        <v>44295</v>
      </c>
      <c r="B807" s="23" t="s">
        <v>81</v>
      </c>
      <c r="C807" s="23" t="s">
        <v>97</v>
      </c>
      <c r="D807" s="24">
        <v>3</v>
      </c>
      <c r="E807" s="17">
        <f>VLOOKUP(B807,'SKU Master'!$B$2:$E$31,4,0)</f>
        <v>1186</v>
      </c>
      <c r="F807" s="25">
        <f t="shared" si="24"/>
        <v>3558</v>
      </c>
      <c r="G807" s="40" t="str">
        <f t="shared" si="25"/>
        <v>Fri</v>
      </c>
    </row>
    <row r="808" spans="1:7" ht="14.4" x14ac:dyDescent="0.3">
      <c r="A808" s="22">
        <v>44295</v>
      </c>
      <c r="B808" s="23" t="s">
        <v>84</v>
      </c>
      <c r="C808" s="23" t="s">
        <v>97</v>
      </c>
      <c r="D808" s="24">
        <v>2</v>
      </c>
      <c r="E808" s="17">
        <f>VLOOKUP(B808,'SKU Master'!$B$2:$E$31,4,0)</f>
        <v>374</v>
      </c>
      <c r="F808" s="25">
        <f t="shared" si="24"/>
        <v>748</v>
      </c>
      <c r="G808" s="40" t="str">
        <f t="shared" si="25"/>
        <v>Fri</v>
      </c>
    </row>
    <row r="809" spans="1:7" ht="14.4" x14ac:dyDescent="0.3">
      <c r="A809" s="22">
        <v>44295</v>
      </c>
      <c r="B809" s="23" t="s">
        <v>87</v>
      </c>
      <c r="C809" s="23" t="s">
        <v>97</v>
      </c>
      <c r="D809" s="24">
        <v>1</v>
      </c>
      <c r="E809" s="17">
        <f>VLOOKUP(B809,'SKU Master'!$B$2:$E$31,4,0)</f>
        <v>1500</v>
      </c>
      <c r="F809" s="25">
        <f t="shared" si="24"/>
        <v>1500</v>
      </c>
      <c r="G809" s="40" t="str">
        <f t="shared" si="25"/>
        <v>Fri</v>
      </c>
    </row>
    <row r="810" spans="1:7" ht="14.4" x14ac:dyDescent="0.3">
      <c r="A810" s="22">
        <v>44295</v>
      </c>
      <c r="B810" s="23" t="s">
        <v>90</v>
      </c>
      <c r="C810" s="23" t="s">
        <v>97</v>
      </c>
      <c r="D810" s="24">
        <v>1</v>
      </c>
      <c r="E810" s="17">
        <f>VLOOKUP(B810,'SKU Master'!$B$2:$E$31,4,0)</f>
        <v>1800</v>
      </c>
      <c r="F810" s="25">
        <f t="shared" si="24"/>
        <v>1800</v>
      </c>
      <c r="G810" s="40" t="str">
        <f t="shared" si="25"/>
        <v>Fri</v>
      </c>
    </row>
    <row r="811" spans="1:7" ht="14.4" x14ac:dyDescent="0.3">
      <c r="A811" s="22">
        <v>44295</v>
      </c>
      <c r="B811" s="23" t="s">
        <v>93</v>
      </c>
      <c r="C811" s="23" t="s">
        <v>97</v>
      </c>
      <c r="D811" s="24">
        <v>0</v>
      </c>
      <c r="E811" s="17">
        <f>VLOOKUP(B811,'SKU Master'!$B$2:$E$31,4,0)</f>
        <v>1477</v>
      </c>
      <c r="F811" s="25">
        <f t="shared" si="24"/>
        <v>0</v>
      </c>
      <c r="G811" s="40" t="str">
        <f t="shared" si="25"/>
        <v>Fri</v>
      </c>
    </row>
    <row r="812" spans="1:7" ht="14.4" x14ac:dyDescent="0.3">
      <c r="A812" s="22">
        <v>44296</v>
      </c>
      <c r="B812" s="23" t="s">
        <v>6</v>
      </c>
      <c r="C812" s="23" t="s">
        <v>96</v>
      </c>
      <c r="D812" s="24">
        <v>33</v>
      </c>
      <c r="E812" s="17">
        <f>VLOOKUP(B812,'SKU Master'!$B$2:$E$31,4,0)</f>
        <v>210</v>
      </c>
      <c r="F812" s="25">
        <f t="shared" si="24"/>
        <v>6930</v>
      </c>
      <c r="G812" s="40" t="str">
        <f t="shared" si="25"/>
        <v>Sat</v>
      </c>
    </row>
    <row r="813" spans="1:7" ht="14.4" x14ac:dyDescent="0.3">
      <c r="A813" s="22">
        <v>44296</v>
      </c>
      <c r="B813" s="23" t="s">
        <v>9</v>
      </c>
      <c r="C813" s="23" t="s">
        <v>96</v>
      </c>
      <c r="D813" s="24">
        <v>18</v>
      </c>
      <c r="E813" s="17">
        <f>VLOOKUP(B813,'SKU Master'!$B$2:$E$31,4,0)</f>
        <v>199</v>
      </c>
      <c r="F813" s="25">
        <f t="shared" si="24"/>
        <v>3582</v>
      </c>
      <c r="G813" s="40" t="str">
        <f t="shared" si="25"/>
        <v>Sat</v>
      </c>
    </row>
    <row r="814" spans="1:7" ht="14.4" x14ac:dyDescent="0.3">
      <c r="A814" s="22">
        <v>44296</v>
      </c>
      <c r="B814" s="23" t="s">
        <v>12</v>
      </c>
      <c r="C814" s="23" t="s">
        <v>96</v>
      </c>
      <c r="D814" s="24">
        <v>11</v>
      </c>
      <c r="E814" s="17">
        <f>VLOOKUP(B814,'SKU Master'!$B$2:$E$31,4,0)</f>
        <v>322</v>
      </c>
      <c r="F814" s="25">
        <f t="shared" si="24"/>
        <v>3542</v>
      </c>
      <c r="G814" s="40" t="str">
        <f t="shared" si="25"/>
        <v>Sat</v>
      </c>
    </row>
    <row r="815" spans="1:7" ht="14.4" x14ac:dyDescent="0.3">
      <c r="A815" s="22">
        <v>44296</v>
      </c>
      <c r="B815" s="23" t="s">
        <v>15</v>
      </c>
      <c r="C815" s="23" t="s">
        <v>96</v>
      </c>
      <c r="D815" s="24">
        <v>8</v>
      </c>
      <c r="E815" s="17">
        <f>VLOOKUP(B815,'SKU Master'!$B$2:$E$31,4,0)</f>
        <v>161</v>
      </c>
      <c r="F815" s="25">
        <f t="shared" si="24"/>
        <v>1288</v>
      </c>
      <c r="G815" s="40" t="str">
        <f t="shared" si="25"/>
        <v>Sat</v>
      </c>
    </row>
    <row r="816" spans="1:7" ht="14.4" x14ac:dyDescent="0.3">
      <c r="A816" s="22">
        <v>44296</v>
      </c>
      <c r="B816" s="23" t="s">
        <v>17</v>
      </c>
      <c r="C816" s="23" t="s">
        <v>96</v>
      </c>
      <c r="D816" s="24">
        <v>7</v>
      </c>
      <c r="E816" s="17">
        <f>VLOOKUP(B816,'SKU Master'!$B$2:$E$31,4,0)</f>
        <v>109</v>
      </c>
      <c r="F816" s="25">
        <f t="shared" si="24"/>
        <v>763</v>
      </c>
      <c r="G816" s="40" t="str">
        <f t="shared" si="25"/>
        <v>Sat</v>
      </c>
    </row>
    <row r="817" spans="1:7" ht="14.4" x14ac:dyDescent="0.3">
      <c r="A817" s="22">
        <v>44296</v>
      </c>
      <c r="B817" s="23" t="s">
        <v>20</v>
      </c>
      <c r="C817" s="23" t="s">
        <v>96</v>
      </c>
      <c r="D817" s="24">
        <v>4</v>
      </c>
      <c r="E817" s="17">
        <f>VLOOKUP(B817,'SKU Master'!$B$2:$E$31,4,0)</f>
        <v>122</v>
      </c>
      <c r="F817" s="25">
        <f t="shared" si="24"/>
        <v>488</v>
      </c>
      <c r="G817" s="40" t="str">
        <f t="shared" si="25"/>
        <v>Sat</v>
      </c>
    </row>
    <row r="818" spans="1:7" ht="14.4" x14ac:dyDescent="0.3">
      <c r="A818" s="22">
        <v>44296</v>
      </c>
      <c r="B818" s="23" t="s">
        <v>23</v>
      </c>
      <c r="C818" s="23" t="s">
        <v>96</v>
      </c>
      <c r="D818" s="24">
        <v>3</v>
      </c>
      <c r="E818" s="17">
        <f>VLOOKUP(B818,'SKU Master'!$B$2:$E$31,4,0)</f>
        <v>96</v>
      </c>
      <c r="F818" s="25">
        <f t="shared" si="24"/>
        <v>288</v>
      </c>
      <c r="G818" s="40" t="str">
        <f t="shared" si="25"/>
        <v>Sat</v>
      </c>
    </row>
    <row r="819" spans="1:7" ht="14.4" x14ac:dyDescent="0.3">
      <c r="A819" s="22">
        <v>44296</v>
      </c>
      <c r="B819" s="23" t="s">
        <v>26</v>
      </c>
      <c r="C819" s="23" t="s">
        <v>96</v>
      </c>
      <c r="D819" s="24">
        <v>0</v>
      </c>
      <c r="E819" s="17">
        <f>VLOOKUP(B819,'SKU Master'!$B$2:$E$31,4,0)</f>
        <v>73</v>
      </c>
      <c r="F819" s="25">
        <f t="shared" si="24"/>
        <v>0</v>
      </c>
      <c r="G819" s="40" t="str">
        <f t="shared" si="25"/>
        <v>Sat</v>
      </c>
    </row>
    <row r="820" spans="1:7" ht="14.4" x14ac:dyDescent="0.3">
      <c r="A820" s="22">
        <v>44296</v>
      </c>
      <c r="B820" s="23" t="s">
        <v>29</v>
      </c>
      <c r="C820" s="23" t="s">
        <v>96</v>
      </c>
      <c r="D820" s="24">
        <v>0</v>
      </c>
      <c r="E820" s="17">
        <f>VLOOKUP(B820,'SKU Master'!$B$2:$E$31,4,0)</f>
        <v>225</v>
      </c>
      <c r="F820" s="25">
        <f t="shared" si="24"/>
        <v>0</v>
      </c>
      <c r="G820" s="40" t="str">
        <f t="shared" si="25"/>
        <v>Sat</v>
      </c>
    </row>
    <row r="821" spans="1:7" ht="14.4" x14ac:dyDescent="0.3">
      <c r="A821" s="22">
        <v>44296</v>
      </c>
      <c r="B821" s="23" t="s">
        <v>32</v>
      </c>
      <c r="C821" s="23" t="s">
        <v>96</v>
      </c>
      <c r="D821" s="24">
        <v>0</v>
      </c>
      <c r="E821" s="17">
        <f>VLOOKUP(B821,'SKU Master'!$B$2:$E$31,4,0)</f>
        <v>559</v>
      </c>
      <c r="F821" s="25">
        <f t="shared" si="24"/>
        <v>0</v>
      </c>
      <c r="G821" s="40" t="str">
        <f t="shared" si="25"/>
        <v>Sat</v>
      </c>
    </row>
    <row r="822" spans="1:7" ht="14.4" x14ac:dyDescent="0.3">
      <c r="A822" s="22">
        <v>44296</v>
      </c>
      <c r="B822" s="23" t="s">
        <v>36</v>
      </c>
      <c r="C822" s="23" t="s">
        <v>96</v>
      </c>
      <c r="D822" s="24">
        <v>28</v>
      </c>
      <c r="E822" s="17">
        <f>VLOOKUP(B822,'SKU Master'!$B$2:$E$31,4,0)</f>
        <v>3199</v>
      </c>
      <c r="F822" s="25">
        <f t="shared" si="24"/>
        <v>89572</v>
      </c>
      <c r="G822" s="40" t="str">
        <f t="shared" si="25"/>
        <v>Sat</v>
      </c>
    </row>
    <row r="823" spans="1:7" ht="14.4" x14ac:dyDescent="0.3">
      <c r="A823" s="22">
        <v>44296</v>
      </c>
      <c r="B823" s="23" t="s">
        <v>39</v>
      </c>
      <c r="C823" s="23" t="s">
        <v>96</v>
      </c>
      <c r="D823" s="24">
        <v>14</v>
      </c>
      <c r="E823" s="17">
        <f>VLOOKUP(B823,'SKU Master'!$B$2:$E$31,4,0)</f>
        <v>371</v>
      </c>
      <c r="F823" s="25">
        <f t="shared" si="24"/>
        <v>5194</v>
      </c>
      <c r="G823" s="40" t="str">
        <f t="shared" si="25"/>
        <v>Sat</v>
      </c>
    </row>
    <row r="824" spans="1:7" ht="14.4" x14ac:dyDescent="0.3">
      <c r="A824" s="22">
        <v>44296</v>
      </c>
      <c r="B824" s="23" t="s">
        <v>42</v>
      </c>
      <c r="C824" s="23" t="s">
        <v>96</v>
      </c>
      <c r="D824" s="24">
        <v>9</v>
      </c>
      <c r="E824" s="17">
        <f>VLOOKUP(B824,'SKU Master'!$B$2:$E$31,4,0)</f>
        <v>2300</v>
      </c>
      <c r="F824" s="25">
        <f t="shared" si="24"/>
        <v>20700</v>
      </c>
      <c r="G824" s="40" t="str">
        <f t="shared" si="25"/>
        <v>Sat</v>
      </c>
    </row>
    <row r="825" spans="1:7" ht="14.4" x14ac:dyDescent="0.3">
      <c r="A825" s="22">
        <v>44296</v>
      </c>
      <c r="B825" s="23" t="s">
        <v>45</v>
      </c>
      <c r="C825" s="23" t="s">
        <v>96</v>
      </c>
      <c r="D825" s="24">
        <v>9</v>
      </c>
      <c r="E825" s="17">
        <f>VLOOKUP(B825,'SKU Master'!$B$2:$E$31,4,0)</f>
        <v>499</v>
      </c>
      <c r="F825" s="25">
        <f t="shared" si="24"/>
        <v>4491</v>
      </c>
      <c r="G825" s="40" t="str">
        <f t="shared" si="25"/>
        <v>Sat</v>
      </c>
    </row>
    <row r="826" spans="1:7" ht="14.4" x14ac:dyDescent="0.3">
      <c r="A826" s="22">
        <v>44296</v>
      </c>
      <c r="B826" s="23" t="s">
        <v>48</v>
      </c>
      <c r="C826" s="23" t="s">
        <v>96</v>
      </c>
      <c r="D826" s="24">
        <v>5</v>
      </c>
      <c r="E826" s="17">
        <f>VLOOKUP(B826,'SKU Master'!$B$2:$E$31,4,0)</f>
        <v>299</v>
      </c>
      <c r="F826" s="25">
        <f t="shared" si="24"/>
        <v>1495</v>
      </c>
      <c r="G826" s="40" t="str">
        <f t="shared" si="25"/>
        <v>Sat</v>
      </c>
    </row>
    <row r="827" spans="1:7" ht="14.4" x14ac:dyDescent="0.3">
      <c r="A827" s="22">
        <v>44296</v>
      </c>
      <c r="B827" s="23" t="s">
        <v>51</v>
      </c>
      <c r="C827" s="23" t="s">
        <v>96</v>
      </c>
      <c r="D827" s="24">
        <v>2</v>
      </c>
      <c r="E827" s="17">
        <f>VLOOKUP(B827,'SKU Master'!$B$2:$E$31,4,0)</f>
        <v>901</v>
      </c>
      <c r="F827" s="25">
        <f t="shared" si="24"/>
        <v>1802</v>
      </c>
      <c r="G827" s="40" t="str">
        <f t="shared" si="25"/>
        <v>Sat</v>
      </c>
    </row>
    <row r="828" spans="1:7" ht="14.4" x14ac:dyDescent="0.3">
      <c r="A828" s="22">
        <v>44296</v>
      </c>
      <c r="B828" s="23" t="s">
        <v>54</v>
      </c>
      <c r="C828" s="23" t="s">
        <v>96</v>
      </c>
      <c r="D828" s="24">
        <v>3</v>
      </c>
      <c r="E828" s="17">
        <f>VLOOKUP(B828,'SKU Master'!$B$2:$E$31,4,0)</f>
        <v>929</v>
      </c>
      <c r="F828" s="25">
        <f t="shared" si="24"/>
        <v>2787</v>
      </c>
      <c r="G828" s="40" t="str">
        <f t="shared" si="25"/>
        <v>Sat</v>
      </c>
    </row>
    <row r="829" spans="1:7" ht="14.4" x14ac:dyDescent="0.3">
      <c r="A829" s="22">
        <v>44296</v>
      </c>
      <c r="B829" s="23" t="s">
        <v>57</v>
      </c>
      <c r="C829" s="23" t="s">
        <v>96</v>
      </c>
      <c r="D829" s="24">
        <v>0</v>
      </c>
      <c r="E829" s="17">
        <f>VLOOKUP(B829,'SKU Master'!$B$2:$E$31,4,0)</f>
        <v>1030</v>
      </c>
      <c r="F829" s="25">
        <f t="shared" si="24"/>
        <v>0</v>
      </c>
      <c r="G829" s="40" t="str">
        <f t="shared" si="25"/>
        <v>Sat</v>
      </c>
    </row>
    <row r="830" spans="1:7" ht="14.4" x14ac:dyDescent="0.3">
      <c r="A830" s="22">
        <v>44296</v>
      </c>
      <c r="B830" s="23" t="s">
        <v>60</v>
      </c>
      <c r="C830" s="23" t="s">
        <v>96</v>
      </c>
      <c r="D830" s="24">
        <v>0</v>
      </c>
      <c r="E830" s="17">
        <f>VLOOKUP(B830,'SKU Master'!$B$2:$E$31,4,0)</f>
        <v>1222</v>
      </c>
      <c r="F830" s="25">
        <f t="shared" si="24"/>
        <v>0</v>
      </c>
      <c r="G830" s="40" t="str">
        <f t="shared" si="25"/>
        <v>Sat</v>
      </c>
    </row>
    <row r="831" spans="1:7" ht="14.4" x14ac:dyDescent="0.3">
      <c r="A831" s="22">
        <v>44296</v>
      </c>
      <c r="B831" s="23" t="s">
        <v>63</v>
      </c>
      <c r="C831" s="23" t="s">
        <v>96</v>
      </c>
      <c r="D831" s="24">
        <v>1</v>
      </c>
      <c r="E831" s="17">
        <f>VLOOKUP(B831,'SKU Master'!$B$2:$E$31,4,0)</f>
        <v>649</v>
      </c>
      <c r="F831" s="25">
        <f t="shared" si="24"/>
        <v>649</v>
      </c>
      <c r="G831" s="40" t="str">
        <f t="shared" si="25"/>
        <v>Sat</v>
      </c>
    </row>
    <row r="832" spans="1:7" ht="14.4" x14ac:dyDescent="0.3">
      <c r="A832" s="22">
        <v>44296</v>
      </c>
      <c r="B832" s="23" t="s">
        <v>67</v>
      </c>
      <c r="C832" s="23" t="s">
        <v>96</v>
      </c>
      <c r="D832" s="24">
        <v>36</v>
      </c>
      <c r="E832" s="17">
        <f>VLOOKUP(B832,'SKU Master'!$B$2:$E$31,4,0)</f>
        <v>1800</v>
      </c>
      <c r="F832" s="25">
        <f t="shared" si="24"/>
        <v>64800</v>
      </c>
      <c r="G832" s="40" t="str">
        <f t="shared" si="25"/>
        <v>Sat</v>
      </c>
    </row>
    <row r="833" spans="1:7" ht="14.4" x14ac:dyDescent="0.3">
      <c r="A833" s="22">
        <v>44296</v>
      </c>
      <c r="B833" s="23" t="s">
        <v>70</v>
      </c>
      <c r="C833" s="23" t="s">
        <v>96</v>
      </c>
      <c r="D833" s="24">
        <v>17</v>
      </c>
      <c r="E833" s="17">
        <f>VLOOKUP(B833,'SKU Master'!$B$2:$E$31,4,0)</f>
        <v>345</v>
      </c>
      <c r="F833" s="25">
        <f t="shared" si="24"/>
        <v>5865</v>
      </c>
      <c r="G833" s="40" t="str">
        <f t="shared" si="25"/>
        <v>Sat</v>
      </c>
    </row>
    <row r="834" spans="1:7" ht="14.4" x14ac:dyDescent="0.3">
      <c r="A834" s="22">
        <v>44296</v>
      </c>
      <c r="B834" s="23" t="s">
        <v>73</v>
      </c>
      <c r="C834" s="23" t="s">
        <v>96</v>
      </c>
      <c r="D834" s="24">
        <v>12</v>
      </c>
      <c r="E834" s="17">
        <f>VLOOKUP(B834,'SKU Master'!$B$2:$E$31,4,0)</f>
        <v>350</v>
      </c>
      <c r="F834" s="25">
        <f t="shared" si="24"/>
        <v>4200</v>
      </c>
      <c r="G834" s="40" t="str">
        <f t="shared" si="25"/>
        <v>Sat</v>
      </c>
    </row>
    <row r="835" spans="1:7" ht="14.4" x14ac:dyDescent="0.3">
      <c r="A835" s="22">
        <v>44296</v>
      </c>
      <c r="B835" s="23" t="s">
        <v>76</v>
      </c>
      <c r="C835" s="23" t="s">
        <v>96</v>
      </c>
      <c r="D835" s="24">
        <v>7</v>
      </c>
      <c r="E835" s="17">
        <f>VLOOKUP(B835,'SKU Master'!$B$2:$E$31,4,0)</f>
        <v>1575</v>
      </c>
      <c r="F835" s="25">
        <f t="shared" ref="F835:F898" si="26">D835*E835</f>
        <v>11025</v>
      </c>
      <c r="G835" s="40" t="str">
        <f t="shared" si="25"/>
        <v>Sat</v>
      </c>
    </row>
    <row r="836" spans="1:7" ht="14.4" x14ac:dyDescent="0.3">
      <c r="A836" s="22">
        <v>44296</v>
      </c>
      <c r="B836" s="23" t="s">
        <v>78</v>
      </c>
      <c r="C836" s="23" t="s">
        <v>96</v>
      </c>
      <c r="D836" s="24">
        <v>6</v>
      </c>
      <c r="E836" s="17">
        <f>VLOOKUP(B836,'SKU Master'!$B$2:$E$31,4,0)</f>
        <v>1045</v>
      </c>
      <c r="F836" s="25">
        <f t="shared" si="26"/>
        <v>6270</v>
      </c>
      <c r="G836" s="40" t="str">
        <f t="shared" ref="G836:G899" si="27">CHOOSE(WEEKDAY(A836),"Sun","Mon","Tue","Wed","Thu","Fri","Sat")</f>
        <v>Sat</v>
      </c>
    </row>
    <row r="837" spans="1:7" ht="14.4" x14ac:dyDescent="0.3">
      <c r="A837" s="22">
        <v>44296</v>
      </c>
      <c r="B837" s="23" t="s">
        <v>81</v>
      </c>
      <c r="C837" s="23" t="s">
        <v>96</v>
      </c>
      <c r="D837" s="24">
        <v>3</v>
      </c>
      <c r="E837" s="17">
        <f>VLOOKUP(B837,'SKU Master'!$B$2:$E$31,4,0)</f>
        <v>1186</v>
      </c>
      <c r="F837" s="25">
        <f t="shared" si="26"/>
        <v>3558</v>
      </c>
      <c r="G837" s="40" t="str">
        <f t="shared" si="27"/>
        <v>Sat</v>
      </c>
    </row>
    <row r="838" spans="1:7" ht="14.4" x14ac:dyDescent="0.3">
      <c r="A838" s="22">
        <v>44296</v>
      </c>
      <c r="B838" s="23" t="s">
        <v>84</v>
      </c>
      <c r="C838" s="23" t="s">
        <v>96</v>
      </c>
      <c r="D838" s="24">
        <v>2</v>
      </c>
      <c r="E838" s="17">
        <f>VLOOKUP(B838,'SKU Master'!$B$2:$E$31,4,0)</f>
        <v>374</v>
      </c>
      <c r="F838" s="25">
        <f t="shared" si="26"/>
        <v>748</v>
      </c>
      <c r="G838" s="40" t="str">
        <f t="shared" si="27"/>
        <v>Sat</v>
      </c>
    </row>
    <row r="839" spans="1:7" ht="14.4" x14ac:dyDescent="0.3">
      <c r="A839" s="22">
        <v>44296</v>
      </c>
      <c r="B839" s="23" t="s">
        <v>87</v>
      </c>
      <c r="C839" s="23" t="s">
        <v>96</v>
      </c>
      <c r="D839" s="24">
        <v>0</v>
      </c>
      <c r="E839" s="17">
        <f>VLOOKUP(B839,'SKU Master'!$B$2:$E$31,4,0)</f>
        <v>1500</v>
      </c>
      <c r="F839" s="25">
        <f t="shared" si="26"/>
        <v>0</v>
      </c>
      <c r="G839" s="40" t="str">
        <f t="shared" si="27"/>
        <v>Sat</v>
      </c>
    </row>
    <row r="840" spans="1:7" ht="14.4" x14ac:dyDescent="0.3">
      <c r="A840" s="22">
        <v>44296</v>
      </c>
      <c r="B840" s="23" t="s">
        <v>90</v>
      </c>
      <c r="C840" s="23" t="s">
        <v>96</v>
      </c>
      <c r="D840" s="24">
        <v>2</v>
      </c>
      <c r="E840" s="17">
        <f>VLOOKUP(B840,'SKU Master'!$B$2:$E$31,4,0)</f>
        <v>1800</v>
      </c>
      <c r="F840" s="25">
        <f t="shared" si="26"/>
        <v>3600</v>
      </c>
      <c r="G840" s="40" t="str">
        <f t="shared" si="27"/>
        <v>Sat</v>
      </c>
    </row>
    <row r="841" spans="1:7" ht="14.4" x14ac:dyDescent="0.3">
      <c r="A841" s="22">
        <v>44296</v>
      </c>
      <c r="B841" s="23" t="s">
        <v>93</v>
      </c>
      <c r="C841" s="23" t="s">
        <v>96</v>
      </c>
      <c r="D841" s="24">
        <v>2</v>
      </c>
      <c r="E841" s="17">
        <f>VLOOKUP(B841,'SKU Master'!$B$2:$E$31,4,0)</f>
        <v>1477</v>
      </c>
      <c r="F841" s="25">
        <f t="shared" si="26"/>
        <v>2954</v>
      </c>
      <c r="G841" s="40" t="str">
        <f t="shared" si="27"/>
        <v>Sat</v>
      </c>
    </row>
    <row r="842" spans="1:7" ht="14.4" x14ac:dyDescent="0.3">
      <c r="A842" s="22">
        <v>44296</v>
      </c>
      <c r="B842" s="23" t="s">
        <v>6</v>
      </c>
      <c r="C842" s="23" t="s">
        <v>98</v>
      </c>
      <c r="D842" s="24">
        <v>21</v>
      </c>
      <c r="E842" s="17">
        <f>VLOOKUP(B842,'SKU Master'!$B$2:$E$31,4,0)</f>
        <v>210</v>
      </c>
      <c r="F842" s="25">
        <f t="shared" si="26"/>
        <v>4410</v>
      </c>
      <c r="G842" s="40" t="str">
        <f t="shared" si="27"/>
        <v>Sat</v>
      </c>
    </row>
    <row r="843" spans="1:7" ht="14.4" x14ac:dyDescent="0.3">
      <c r="A843" s="22">
        <v>44296</v>
      </c>
      <c r="B843" s="23" t="s">
        <v>9</v>
      </c>
      <c r="C843" s="23" t="s">
        <v>98</v>
      </c>
      <c r="D843" s="24">
        <v>9</v>
      </c>
      <c r="E843" s="17">
        <f>VLOOKUP(B843,'SKU Master'!$B$2:$E$31,4,0)</f>
        <v>199</v>
      </c>
      <c r="F843" s="25">
        <f t="shared" si="26"/>
        <v>1791</v>
      </c>
      <c r="G843" s="40" t="str">
        <f t="shared" si="27"/>
        <v>Sat</v>
      </c>
    </row>
    <row r="844" spans="1:7" ht="14.4" x14ac:dyDescent="0.3">
      <c r="A844" s="22">
        <v>44296</v>
      </c>
      <c r="B844" s="23" t="s">
        <v>12</v>
      </c>
      <c r="C844" s="23" t="s">
        <v>98</v>
      </c>
      <c r="D844" s="24">
        <v>9</v>
      </c>
      <c r="E844" s="17">
        <f>VLOOKUP(B844,'SKU Master'!$B$2:$E$31,4,0)</f>
        <v>322</v>
      </c>
      <c r="F844" s="25">
        <f t="shared" si="26"/>
        <v>2898</v>
      </c>
      <c r="G844" s="40" t="str">
        <f t="shared" si="27"/>
        <v>Sat</v>
      </c>
    </row>
    <row r="845" spans="1:7" ht="14.4" x14ac:dyDescent="0.3">
      <c r="A845" s="22">
        <v>44296</v>
      </c>
      <c r="B845" s="23" t="s">
        <v>15</v>
      </c>
      <c r="C845" s="23" t="s">
        <v>98</v>
      </c>
      <c r="D845" s="24">
        <v>5</v>
      </c>
      <c r="E845" s="17">
        <f>VLOOKUP(B845,'SKU Master'!$B$2:$E$31,4,0)</f>
        <v>161</v>
      </c>
      <c r="F845" s="25">
        <f t="shared" si="26"/>
        <v>805</v>
      </c>
      <c r="G845" s="40" t="str">
        <f t="shared" si="27"/>
        <v>Sat</v>
      </c>
    </row>
    <row r="846" spans="1:7" ht="14.4" x14ac:dyDescent="0.3">
      <c r="A846" s="22">
        <v>44296</v>
      </c>
      <c r="B846" s="23" t="s">
        <v>17</v>
      </c>
      <c r="C846" s="23" t="s">
        <v>98</v>
      </c>
      <c r="D846" s="24">
        <v>4</v>
      </c>
      <c r="E846" s="17">
        <f>VLOOKUP(B846,'SKU Master'!$B$2:$E$31,4,0)</f>
        <v>109</v>
      </c>
      <c r="F846" s="25">
        <f t="shared" si="26"/>
        <v>436</v>
      </c>
      <c r="G846" s="40" t="str">
        <f t="shared" si="27"/>
        <v>Sat</v>
      </c>
    </row>
    <row r="847" spans="1:7" ht="14.4" x14ac:dyDescent="0.3">
      <c r="A847" s="22">
        <v>44296</v>
      </c>
      <c r="B847" s="23" t="s">
        <v>20</v>
      </c>
      <c r="C847" s="23" t="s">
        <v>98</v>
      </c>
      <c r="D847" s="24">
        <v>3</v>
      </c>
      <c r="E847" s="17">
        <f>VLOOKUP(B847,'SKU Master'!$B$2:$E$31,4,0)</f>
        <v>122</v>
      </c>
      <c r="F847" s="25">
        <f t="shared" si="26"/>
        <v>366</v>
      </c>
      <c r="G847" s="40" t="str">
        <f t="shared" si="27"/>
        <v>Sat</v>
      </c>
    </row>
    <row r="848" spans="1:7" ht="14.4" x14ac:dyDescent="0.3">
      <c r="A848" s="22">
        <v>44296</v>
      </c>
      <c r="B848" s="23" t="s">
        <v>23</v>
      </c>
      <c r="C848" s="23" t="s">
        <v>98</v>
      </c>
      <c r="D848" s="24">
        <v>2</v>
      </c>
      <c r="E848" s="17">
        <f>VLOOKUP(B848,'SKU Master'!$B$2:$E$31,4,0)</f>
        <v>96</v>
      </c>
      <c r="F848" s="25">
        <f t="shared" si="26"/>
        <v>192</v>
      </c>
      <c r="G848" s="40" t="str">
        <f t="shared" si="27"/>
        <v>Sat</v>
      </c>
    </row>
    <row r="849" spans="1:7" ht="14.4" x14ac:dyDescent="0.3">
      <c r="A849" s="22">
        <v>44296</v>
      </c>
      <c r="B849" s="23" t="s">
        <v>26</v>
      </c>
      <c r="C849" s="23" t="s">
        <v>98</v>
      </c>
      <c r="D849" s="24">
        <v>0</v>
      </c>
      <c r="E849" s="17">
        <f>VLOOKUP(B849,'SKU Master'!$B$2:$E$31,4,0)</f>
        <v>73</v>
      </c>
      <c r="F849" s="25">
        <f t="shared" si="26"/>
        <v>0</v>
      </c>
      <c r="G849" s="40" t="str">
        <f t="shared" si="27"/>
        <v>Sat</v>
      </c>
    </row>
    <row r="850" spans="1:7" ht="14.4" x14ac:dyDescent="0.3">
      <c r="A850" s="22">
        <v>44296</v>
      </c>
      <c r="B850" s="23" t="s">
        <v>29</v>
      </c>
      <c r="C850" s="23" t="s">
        <v>98</v>
      </c>
      <c r="D850" s="24">
        <v>0</v>
      </c>
      <c r="E850" s="17">
        <f>VLOOKUP(B850,'SKU Master'!$B$2:$E$31,4,0)</f>
        <v>225</v>
      </c>
      <c r="F850" s="25">
        <f t="shared" si="26"/>
        <v>0</v>
      </c>
      <c r="G850" s="40" t="str">
        <f t="shared" si="27"/>
        <v>Sat</v>
      </c>
    </row>
    <row r="851" spans="1:7" ht="14.4" x14ac:dyDescent="0.3">
      <c r="A851" s="22">
        <v>44296</v>
      </c>
      <c r="B851" s="23" t="s">
        <v>32</v>
      </c>
      <c r="C851" s="23" t="s">
        <v>98</v>
      </c>
      <c r="D851" s="24">
        <v>0</v>
      </c>
      <c r="E851" s="17">
        <f>VLOOKUP(B851,'SKU Master'!$B$2:$E$31,4,0)</f>
        <v>559</v>
      </c>
      <c r="F851" s="25">
        <f t="shared" si="26"/>
        <v>0</v>
      </c>
      <c r="G851" s="40" t="str">
        <f t="shared" si="27"/>
        <v>Sat</v>
      </c>
    </row>
    <row r="852" spans="1:7" ht="14.4" x14ac:dyDescent="0.3">
      <c r="A852" s="22">
        <v>44296</v>
      </c>
      <c r="B852" s="23" t="s">
        <v>36</v>
      </c>
      <c r="C852" s="23" t="s">
        <v>98</v>
      </c>
      <c r="D852" s="24">
        <v>13</v>
      </c>
      <c r="E852" s="17">
        <f>VLOOKUP(B852,'SKU Master'!$B$2:$E$31,4,0)</f>
        <v>3199</v>
      </c>
      <c r="F852" s="25">
        <f t="shared" si="26"/>
        <v>41587</v>
      </c>
      <c r="G852" s="40" t="str">
        <f t="shared" si="27"/>
        <v>Sat</v>
      </c>
    </row>
    <row r="853" spans="1:7" ht="14.4" x14ac:dyDescent="0.3">
      <c r="A853" s="22">
        <v>44296</v>
      </c>
      <c r="B853" s="23" t="s">
        <v>39</v>
      </c>
      <c r="C853" s="23" t="s">
        <v>98</v>
      </c>
      <c r="D853" s="24">
        <v>3</v>
      </c>
      <c r="E853" s="17">
        <f>VLOOKUP(B853,'SKU Master'!$B$2:$E$31,4,0)</f>
        <v>371</v>
      </c>
      <c r="F853" s="25">
        <f t="shared" si="26"/>
        <v>1113</v>
      </c>
      <c r="G853" s="40" t="str">
        <f t="shared" si="27"/>
        <v>Sat</v>
      </c>
    </row>
    <row r="854" spans="1:7" ht="14.4" x14ac:dyDescent="0.3">
      <c r="A854" s="22">
        <v>44296</v>
      </c>
      <c r="B854" s="23" t="s">
        <v>42</v>
      </c>
      <c r="C854" s="23" t="s">
        <v>98</v>
      </c>
      <c r="D854" s="24">
        <v>1</v>
      </c>
      <c r="E854" s="17">
        <f>VLOOKUP(B854,'SKU Master'!$B$2:$E$31,4,0)</f>
        <v>2300</v>
      </c>
      <c r="F854" s="25">
        <f t="shared" si="26"/>
        <v>2300</v>
      </c>
      <c r="G854" s="40" t="str">
        <f t="shared" si="27"/>
        <v>Sat</v>
      </c>
    </row>
    <row r="855" spans="1:7" ht="14.4" x14ac:dyDescent="0.3">
      <c r="A855" s="22">
        <v>44296</v>
      </c>
      <c r="B855" s="23" t="s">
        <v>45</v>
      </c>
      <c r="C855" s="23" t="s">
        <v>98</v>
      </c>
      <c r="D855" s="24">
        <v>6</v>
      </c>
      <c r="E855" s="17">
        <f>VLOOKUP(B855,'SKU Master'!$B$2:$E$31,4,0)</f>
        <v>499</v>
      </c>
      <c r="F855" s="25">
        <f t="shared" si="26"/>
        <v>2994</v>
      </c>
      <c r="G855" s="40" t="str">
        <f t="shared" si="27"/>
        <v>Sat</v>
      </c>
    </row>
    <row r="856" spans="1:7" ht="14.4" x14ac:dyDescent="0.3">
      <c r="A856" s="22">
        <v>44296</v>
      </c>
      <c r="B856" s="23" t="s">
        <v>48</v>
      </c>
      <c r="C856" s="23" t="s">
        <v>98</v>
      </c>
      <c r="D856" s="24">
        <v>3</v>
      </c>
      <c r="E856" s="17">
        <f>VLOOKUP(B856,'SKU Master'!$B$2:$E$31,4,0)</f>
        <v>299</v>
      </c>
      <c r="F856" s="25">
        <f t="shared" si="26"/>
        <v>897</v>
      </c>
      <c r="G856" s="40" t="str">
        <f t="shared" si="27"/>
        <v>Sat</v>
      </c>
    </row>
    <row r="857" spans="1:7" ht="14.4" x14ac:dyDescent="0.3">
      <c r="A857" s="22">
        <v>44296</v>
      </c>
      <c r="B857" s="23" t="s">
        <v>51</v>
      </c>
      <c r="C857" s="23" t="s">
        <v>98</v>
      </c>
      <c r="D857" s="24">
        <v>1</v>
      </c>
      <c r="E857" s="17">
        <f>VLOOKUP(B857,'SKU Master'!$B$2:$E$31,4,0)</f>
        <v>901</v>
      </c>
      <c r="F857" s="25">
        <f t="shared" si="26"/>
        <v>901</v>
      </c>
      <c r="G857" s="40" t="str">
        <f t="shared" si="27"/>
        <v>Sat</v>
      </c>
    </row>
    <row r="858" spans="1:7" ht="14.4" x14ac:dyDescent="0.3">
      <c r="A858" s="22">
        <v>44296</v>
      </c>
      <c r="B858" s="23" t="s">
        <v>54</v>
      </c>
      <c r="C858" s="23" t="s">
        <v>98</v>
      </c>
      <c r="D858" s="24">
        <v>3</v>
      </c>
      <c r="E858" s="17">
        <f>VLOOKUP(B858,'SKU Master'!$B$2:$E$31,4,0)</f>
        <v>929</v>
      </c>
      <c r="F858" s="25">
        <f t="shared" si="26"/>
        <v>2787</v>
      </c>
      <c r="G858" s="40" t="str">
        <f t="shared" si="27"/>
        <v>Sat</v>
      </c>
    </row>
    <row r="859" spans="1:7" ht="14.4" x14ac:dyDescent="0.3">
      <c r="A859" s="22">
        <v>44296</v>
      </c>
      <c r="B859" s="23" t="s">
        <v>57</v>
      </c>
      <c r="C859" s="23" t="s">
        <v>98</v>
      </c>
      <c r="D859" s="24">
        <v>0</v>
      </c>
      <c r="E859" s="17">
        <f>VLOOKUP(B859,'SKU Master'!$B$2:$E$31,4,0)</f>
        <v>1030</v>
      </c>
      <c r="F859" s="25">
        <f t="shared" si="26"/>
        <v>0</v>
      </c>
      <c r="G859" s="40" t="str">
        <f t="shared" si="27"/>
        <v>Sat</v>
      </c>
    </row>
    <row r="860" spans="1:7" ht="14.4" x14ac:dyDescent="0.3">
      <c r="A860" s="22">
        <v>44296</v>
      </c>
      <c r="B860" s="23" t="s">
        <v>60</v>
      </c>
      <c r="C860" s="23" t="s">
        <v>98</v>
      </c>
      <c r="D860" s="24">
        <v>0</v>
      </c>
      <c r="E860" s="17">
        <f>VLOOKUP(B860,'SKU Master'!$B$2:$E$31,4,0)</f>
        <v>1222</v>
      </c>
      <c r="F860" s="25">
        <f t="shared" si="26"/>
        <v>0</v>
      </c>
      <c r="G860" s="40" t="str">
        <f t="shared" si="27"/>
        <v>Sat</v>
      </c>
    </row>
    <row r="861" spans="1:7" ht="14.4" x14ac:dyDescent="0.3">
      <c r="A861" s="22">
        <v>44296</v>
      </c>
      <c r="B861" s="23" t="s">
        <v>63</v>
      </c>
      <c r="C861" s="23" t="s">
        <v>98</v>
      </c>
      <c r="D861" s="24">
        <v>2</v>
      </c>
      <c r="E861" s="17">
        <f>VLOOKUP(B861,'SKU Master'!$B$2:$E$31,4,0)</f>
        <v>649</v>
      </c>
      <c r="F861" s="25">
        <f t="shared" si="26"/>
        <v>1298</v>
      </c>
      <c r="G861" s="40" t="str">
        <f t="shared" si="27"/>
        <v>Sat</v>
      </c>
    </row>
    <row r="862" spans="1:7" ht="14.4" x14ac:dyDescent="0.3">
      <c r="A862" s="22">
        <v>44296</v>
      </c>
      <c r="B862" s="23" t="s">
        <v>67</v>
      </c>
      <c r="C862" s="23" t="s">
        <v>98</v>
      </c>
      <c r="D862" s="24">
        <v>24</v>
      </c>
      <c r="E862" s="17">
        <f>VLOOKUP(B862,'SKU Master'!$B$2:$E$31,4,0)</f>
        <v>1800</v>
      </c>
      <c r="F862" s="25">
        <f t="shared" si="26"/>
        <v>43200</v>
      </c>
      <c r="G862" s="40" t="str">
        <f t="shared" si="27"/>
        <v>Sat</v>
      </c>
    </row>
    <row r="863" spans="1:7" ht="14.4" x14ac:dyDescent="0.3">
      <c r="A863" s="22">
        <v>44296</v>
      </c>
      <c r="B863" s="23" t="s">
        <v>70</v>
      </c>
      <c r="C863" s="23" t="s">
        <v>98</v>
      </c>
      <c r="D863" s="24">
        <v>11</v>
      </c>
      <c r="E863" s="17">
        <f>VLOOKUP(B863,'SKU Master'!$B$2:$E$31,4,0)</f>
        <v>345</v>
      </c>
      <c r="F863" s="25">
        <f t="shared" si="26"/>
        <v>3795</v>
      </c>
      <c r="G863" s="40" t="str">
        <f t="shared" si="27"/>
        <v>Sat</v>
      </c>
    </row>
    <row r="864" spans="1:7" ht="14.4" x14ac:dyDescent="0.3">
      <c r="A864" s="22">
        <v>44296</v>
      </c>
      <c r="B864" s="23" t="s">
        <v>73</v>
      </c>
      <c r="C864" s="23" t="s">
        <v>98</v>
      </c>
      <c r="D864" s="24">
        <v>7</v>
      </c>
      <c r="E864" s="17">
        <f>VLOOKUP(B864,'SKU Master'!$B$2:$E$31,4,0)</f>
        <v>350</v>
      </c>
      <c r="F864" s="25">
        <f t="shared" si="26"/>
        <v>2450</v>
      </c>
      <c r="G864" s="40" t="str">
        <f t="shared" si="27"/>
        <v>Sat</v>
      </c>
    </row>
    <row r="865" spans="1:7" ht="14.4" x14ac:dyDescent="0.3">
      <c r="A865" s="22">
        <v>44296</v>
      </c>
      <c r="B865" s="23" t="s">
        <v>76</v>
      </c>
      <c r="C865" s="23" t="s">
        <v>98</v>
      </c>
      <c r="D865" s="24">
        <v>5</v>
      </c>
      <c r="E865" s="17">
        <f>VLOOKUP(B865,'SKU Master'!$B$2:$E$31,4,0)</f>
        <v>1575</v>
      </c>
      <c r="F865" s="25">
        <f t="shared" si="26"/>
        <v>7875</v>
      </c>
      <c r="G865" s="40" t="str">
        <f t="shared" si="27"/>
        <v>Sat</v>
      </c>
    </row>
    <row r="866" spans="1:7" ht="14.4" x14ac:dyDescent="0.3">
      <c r="A866" s="22">
        <v>44296</v>
      </c>
      <c r="B866" s="23" t="s">
        <v>78</v>
      </c>
      <c r="C866" s="23" t="s">
        <v>98</v>
      </c>
      <c r="D866" s="24">
        <v>5</v>
      </c>
      <c r="E866" s="17">
        <f>VLOOKUP(B866,'SKU Master'!$B$2:$E$31,4,0)</f>
        <v>1045</v>
      </c>
      <c r="F866" s="25">
        <f t="shared" si="26"/>
        <v>5225</v>
      </c>
      <c r="G866" s="40" t="str">
        <f t="shared" si="27"/>
        <v>Sat</v>
      </c>
    </row>
    <row r="867" spans="1:7" ht="14.4" x14ac:dyDescent="0.3">
      <c r="A867" s="22">
        <v>44296</v>
      </c>
      <c r="B867" s="23" t="s">
        <v>81</v>
      </c>
      <c r="C867" s="23" t="s">
        <v>98</v>
      </c>
      <c r="D867" s="24">
        <v>0</v>
      </c>
      <c r="E867" s="17">
        <f>VLOOKUP(B867,'SKU Master'!$B$2:$E$31,4,0)</f>
        <v>1186</v>
      </c>
      <c r="F867" s="25">
        <f t="shared" si="26"/>
        <v>0</v>
      </c>
      <c r="G867" s="40" t="str">
        <f t="shared" si="27"/>
        <v>Sat</v>
      </c>
    </row>
    <row r="868" spans="1:7" ht="14.4" x14ac:dyDescent="0.3">
      <c r="A868" s="22">
        <v>44296</v>
      </c>
      <c r="B868" s="23" t="s">
        <v>84</v>
      </c>
      <c r="C868" s="23" t="s">
        <v>98</v>
      </c>
      <c r="D868" s="24">
        <v>1</v>
      </c>
      <c r="E868" s="17">
        <f>VLOOKUP(B868,'SKU Master'!$B$2:$E$31,4,0)</f>
        <v>374</v>
      </c>
      <c r="F868" s="25">
        <f t="shared" si="26"/>
        <v>374</v>
      </c>
      <c r="G868" s="40" t="str">
        <f t="shared" si="27"/>
        <v>Sat</v>
      </c>
    </row>
    <row r="869" spans="1:7" ht="14.4" x14ac:dyDescent="0.3">
      <c r="A869" s="22">
        <v>44296</v>
      </c>
      <c r="B869" s="23" t="s">
        <v>87</v>
      </c>
      <c r="C869" s="23" t="s">
        <v>98</v>
      </c>
      <c r="D869" s="24">
        <v>0</v>
      </c>
      <c r="E869" s="17">
        <f>VLOOKUP(B869,'SKU Master'!$B$2:$E$31,4,0)</f>
        <v>1500</v>
      </c>
      <c r="F869" s="25">
        <f t="shared" si="26"/>
        <v>0</v>
      </c>
      <c r="G869" s="40" t="str">
        <f t="shared" si="27"/>
        <v>Sat</v>
      </c>
    </row>
    <row r="870" spans="1:7" ht="14.4" x14ac:dyDescent="0.3">
      <c r="A870" s="22">
        <v>44296</v>
      </c>
      <c r="B870" s="23" t="s">
        <v>90</v>
      </c>
      <c r="C870" s="23" t="s">
        <v>98</v>
      </c>
      <c r="D870" s="24">
        <v>0</v>
      </c>
      <c r="E870" s="17">
        <f>VLOOKUP(B870,'SKU Master'!$B$2:$E$31,4,0)</f>
        <v>1800</v>
      </c>
      <c r="F870" s="25">
        <f t="shared" si="26"/>
        <v>0</v>
      </c>
      <c r="G870" s="40" t="str">
        <f t="shared" si="27"/>
        <v>Sat</v>
      </c>
    </row>
    <row r="871" spans="1:7" ht="14.4" x14ac:dyDescent="0.3">
      <c r="A871" s="22">
        <v>44296</v>
      </c>
      <c r="B871" s="23" t="s">
        <v>93</v>
      </c>
      <c r="C871" s="23" t="s">
        <v>98</v>
      </c>
      <c r="D871" s="24">
        <v>2</v>
      </c>
      <c r="E871" s="17">
        <f>VLOOKUP(B871,'SKU Master'!$B$2:$E$31,4,0)</f>
        <v>1477</v>
      </c>
      <c r="F871" s="25">
        <f t="shared" si="26"/>
        <v>2954</v>
      </c>
      <c r="G871" s="40" t="str">
        <f t="shared" si="27"/>
        <v>Sat</v>
      </c>
    </row>
    <row r="872" spans="1:7" ht="14.4" x14ac:dyDescent="0.3">
      <c r="A872" s="22">
        <v>44296</v>
      </c>
      <c r="B872" s="23" t="s">
        <v>6</v>
      </c>
      <c r="C872" s="23" t="s">
        <v>97</v>
      </c>
      <c r="D872" s="24">
        <v>2</v>
      </c>
      <c r="E872" s="17">
        <f>VLOOKUP(B872,'SKU Master'!$B$2:$E$31,4,0)</f>
        <v>210</v>
      </c>
      <c r="F872" s="25">
        <f t="shared" si="26"/>
        <v>420</v>
      </c>
      <c r="G872" s="40" t="str">
        <f t="shared" si="27"/>
        <v>Sat</v>
      </c>
    </row>
    <row r="873" spans="1:7" ht="14.4" x14ac:dyDescent="0.3">
      <c r="A873" s="22">
        <v>44296</v>
      </c>
      <c r="B873" s="23" t="s">
        <v>9</v>
      </c>
      <c r="C873" s="23" t="s">
        <v>97</v>
      </c>
      <c r="D873" s="24">
        <v>5</v>
      </c>
      <c r="E873" s="17">
        <f>VLOOKUP(B873,'SKU Master'!$B$2:$E$31,4,0)</f>
        <v>199</v>
      </c>
      <c r="F873" s="25">
        <f t="shared" si="26"/>
        <v>995</v>
      </c>
      <c r="G873" s="40" t="str">
        <f t="shared" si="27"/>
        <v>Sat</v>
      </c>
    </row>
    <row r="874" spans="1:7" ht="14.4" x14ac:dyDescent="0.3">
      <c r="A874" s="22">
        <v>44296</v>
      </c>
      <c r="B874" s="23" t="s">
        <v>12</v>
      </c>
      <c r="C874" s="23" t="s">
        <v>97</v>
      </c>
      <c r="D874" s="24">
        <v>3</v>
      </c>
      <c r="E874" s="17">
        <f>VLOOKUP(B874,'SKU Master'!$B$2:$E$31,4,0)</f>
        <v>322</v>
      </c>
      <c r="F874" s="25">
        <f t="shared" si="26"/>
        <v>966</v>
      </c>
      <c r="G874" s="40" t="str">
        <f t="shared" si="27"/>
        <v>Sat</v>
      </c>
    </row>
    <row r="875" spans="1:7" ht="14.4" x14ac:dyDescent="0.3">
      <c r="A875" s="22">
        <v>44296</v>
      </c>
      <c r="B875" s="23" t="s">
        <v>15</v>
      </c>
      <c r="C875" s="23" t="s">
        <v>97</v>
      </c>
      <c r="D875" s="24">
        <v>4</v>
      </c>
      <c r="E875" s="17">
        <f>VLOOKUP(B875,'SKU Master'!$B$2:$E$31,4,0)</f>
        <v>161</v>
      </c>
      <c r="F875" s="25">
        <f t="shared" si="26"/>
        <v>644</v>
      </c>
      <c r="G875" s="40" t="str">
        <f t="shared" si="27"/>
        <v>Sat</v>
      </c>
    </row>
    <row r="876" spans="1:7" ht="14.4" x14ac:dyDescent="0.3">
      <c r="A876" s="22">
        <v>44296</v>
      </c>
      <c r="B876" s="23" t="s">
        <v>17</v>
      </c>
      <c r="C876" s="23" t="s">
        <v>97</v>
      </c>
      <c r="D876" s="24">
        <v>3</v>
      </c>
      <c r="E876" s="17">
        <f>VLOOKUP(B876,'SKU Master'!$B$2:$E$31,4,0)</f>
        <v>109</v>
      </c>
      <c r="F876" s="25">
        <f t="shared" si="26"/>
        <v>327</v>
      </c>
      <c r="G876" s="40" t="str">
        <f t="shared" si="27"/>
        <v>Sat</v>
      </c>
    </row>
    <row r="877" spans="1:7" ht="14.4" x14ac:dyDescent="0.3">
      <c r="A877" s="22">
        <v>44296</v>
      </c>
      <c r="B877" s="23" t="s">
        <v>20</v>
      </c>
      <c r="C877" s="23" t="s">
        <v>97</v>
      </c>
      <c r="D877" s="24">
        <v>3</v>
      </c>
      <c r="E877" s="17">
        <f>VLOOKUP(B877,'SKU Master'!$B$2:$E$31,4,0)</f>
        <v>122</v>
      </c>
      <c r="F877" s="25">
        <f t="shared" si="26"/>
        <v>366</v>
      </c>
      <c r="G877" s="40" t="str">
        <f t="shared" si="27"/>
        <v>Sat</v>
      </c>
    </row>
    <row r="878" spans="1:7" ht="14.4" x14ac:dyDescent="0.3">
      <c r="A878" s="22">
        <v>44296</v>
      </c>
      <c r="B878" s="23" t="s">
        <v>23</v>
      </c>
      <c r="C878" s="23" t="s">
        <v>97</v>
      </c>
      <c r="D878" s="24">
        <v>1</v>
      </c>
      <c r="E878" s="17">
        <f>VLOOKUP(B878,'SKU Master'!$B$2:$E$31,4,0)</f>
        <v>96</v>
      </c>
      <c r="F878" s="25">
        <f t="shared" si="26"/>
        <v>96</v>
      </c>
      <c r="G878" s="40" t="str">
        <f t="shared" si="27"/>
        <v>Sat</v>
      </c>
    </row>
    <row r="879" spans="1:7" ht="14.4" x14ac:dyDescent="0.3">
      <c r="A879" s="22">
        <v>44296</v>
      </c>
      <c r="B879" s="23" t="s">
        <v>26</v>
      </c>
      <c r="C879" s="23" t="s">
        <v>97</v>
      </c>
      <c r="D879" s="24">
        <v>1</v>
      </c>
      <c r="E879" s="17">
        <f>VLOOKUP(B879,'SKU Master'!$B$2:$E$31,4,0)</f>
        <v>73</v>
      </c>
      <c r="F879" s="25">
        <f t="shared" si="26"/>
        <v>73</v>
      </c>
      <c r="G879" s="40" t="str">
        <f t="shared" si="27"/>
        <v>Sat</v>
      </c>
    </row>
    <row r="880" spans="1:7" ht="14.4" x14ac:dyDescent="0.3">
      <c r="A880" s="22">
        <v>44296</v>
      </c>
      <c r="B880" s="23" t="s">
        <v>29</v>
      </c>
      <c r="C880" s="23" t="s">
        <v>97</v>
      </c>
      <c r="D880" s="24">
        <v>2</v>
      </c>
      <c r="E880" s="17">
        <f>VLOOKUP(B880,'SKU Master'!$B$2:$E$31,4,0)</f>
        <v>225</v>
      </c>
      <c r="F880" s="25">
        <f t="shared" si="26"/>
        <v>450</v>
      </c>
      <c r="G880" s="40" t="str">
        <f t="shared" si="27"/>
        <v>Sat</v>
      </c>
    </row>
    <row r="881" spans="1:7" ht="14.4" x14ac:dyDescent="0.3">
      <c r="A881" s="22">
        <v>44296</v>
      </c>
      <c r="B881" s="23" t="s">
        <v>32</v>
      </c>
      <c r="C881" s="23" t="s">
        <v>97</v>
      </c>
      <c r="D881" s="24">
        <v>1</v>
      </c>
      <c r="E881" s="17">
        <f>VLOOKUP(B881,'SKU Master'!$B$2:$E$31,4,0)</f>
        <v>559</v>
      </c>
      <c r="F881" s="25">
        <f t="shared" si="26"/>
        <v>559</v>
      </c>
      <c r="G881" s="40" t="str">
        <f t="shared" si="27"/>
        <v>Sat</v>
      </c>
    </row>
    <row r="882" spans="1:7" ht="14.4" x14ac:dyDescent="0.3">
      <c r="A882" s="22">
        <v>44296</v>
      </c>
      <c r="B882" s="23" t="s">
        <v>36</v>
      </c>
      <c r="C882" s="23" t="s">
        <v>97</v>
      </c>
      <c r="D882" s="24">
        <v>23</v>
      </c>
      <c r="E882" s="17">
        <f>VLOOKUP(B882,'SKU Master'!$B$2:$E$31,4,0)</f>
        <v>3199</v>
      </c>
      <c r="F882" s="25">
        <f t="shared" si="26"/>
        <v>73577</v>
      </c>
      <c r="G882" s="40" t="str">
        <f t="shared" si="27"/>
        <v>Sat</v>
      </c>
    </row>
    <row r="883" spans="1:7" ht="14.4" x14ac:dyDescent="0.3">
      <c r="A883" s="22">
        <v>44296</v>
      </c>
      <c r="B883" s="23" t="s">
        <v>39</v>
      </c>
      <c r="C883" s="23" t="s">
        <v>97</v>
      </c>
      <c r="D883" s="24">
        <v>10</v>
      </c>
      <c r="E883" s="17">
        <f>VLOOKUP(B883,'SKU Master'!$B$2:$E$31,4,0)</f>
        <v>371</v>
      </c>
      <c r="F883" s="25">
        <f t="shared" si="26"/>
        <v>3710</v>
      </c>
      <c r="G883" s="40" t="str">
        <f t="shared" si="27"/>
        <v>Sat</v>
      </c>
    </row>
    <row r="884" spans="1:7" ht="14.4" x14ac:dyDescent="0.3">
      <c r="A884" s="22">
        <v>44296</v>
      </c>
      <c r="B884" s="23" t="s">
        <v>42</v>
      </c>
      <c r="C884" s="23" t="s">
        <v>97</v>
      </c>
      <c r="D884" s="24">
        <v>11</v>
      </c>
      <c r="E884" s="17">
        <f>VLOOKUP(B884,'SKU Master'!$B$2:$E$31,4,0)</f>
        <v>2300</v>
      </c>
      <c r="F884" s="25">
        <f t="shared" si="26"/>
        <v>25300</v>
      </c>
      <c r="G884" s="40" t="str">
        <f t="shared" si="27"/>
        <v>Sat</v>
      </c>
    </row>
    <row r="885" spans="1:7" ht="14.4" x14ac:dyDescent="0.3">
      <c r="A885" s="22">
        <v>44296</v>
      </c>
      <c r="B885" s="23" t="s">
        <v>45</v>
      </c>
      <c r="C885" s="23" t="s">
        <v>97</v>
      </c>
      <c r="D885" s="24">
        <v>3</v>
      </c>
      <c r="E885" s="17">
        <f>VLOOKUP(B885,'SKU Master'!$B$2:$E$31,4,0)</f>
        <v>499</v>
      </c>
      <c r="F885" s="25">
        <f t="shared" si="26"/>
        <v>1497</v>
      </c>
      <c r="G885" s="40" t="str">
        <f t="shared" si="27"/>
        <v>Sat</v>
      </c>
    </row>
    <row r="886" spans="1:7" ht="14.4" x14ac:dyDescent="0.3">
      <c r="A886" s="22">
        <v>44296</v>
      </c>
      <c r="B886" s="23" t="s">
        <v>48</v>
      </c>
      <c r="C886" s="23" t="s">
        <v>97</v>
      </c>
      <c r="D886" s="24">
        <v>2</v>
      </c>
      <c r="E886" s="17">
        <f>VLOOKUP(B886,'SKU Master'!$B$2:$E$31,4,0)</f>
        <v>299</v>
      </c>
      <c r="F886" s="25">
        <f t="shared" si="26"/>
        <v>598</v>
      </c>
      <c r="G886" s="40" t="str">
        <f t="shared" si="27"/>
        <v>Sat</v>
      </c>
    </row>
    <row r="887" spans="1:7" ht="14.4" x14ac:dyDescent="0.3">
      <c r="A887" s="22">
        <v>44296</v>
      </c>
      <c r="B887" s="23" t="s">
        <v>51</v>
      </c>
      <c r="C887" s="23" t="s">
        <v>97</v>
      </c>
      <c r="D887" s="24">
        <v>2</v>
      </c>
      <c r="E887" s="17">
        <f>VLOOKUP(B887,'SKU Master'!$B$2:$E$31,4,0)</f>
        <v>901</v>
      </c>
      <c r="F887" s="25">
        <f t="shared" si="26"/>
        <v>1802</v>
      </c>
      <c r="G887" s="40" t="str">
        <f t="shared" si="27"/>
        <v>Sat</v>
      </c>
    </row>
    <row r="888" spans="1:7" ht="14.4" x14ac:dyDescent="0.3">
      <c r="A888" s="22">
        <v>44296</v>
      </c>
      <c r="B888" s="23" t="s">
        <v>54</v>
      </c>
      <c r="C888" s="23" t="s">
        <v>97</v>
      </c>
      <c r="D888" s="24">
        <v>2</v>
      </c>
      <c r="E888" s="17">
        <f>VLOOKUP(B888,'SKU Master'!$B$2:$E$31,4,0)</f>
        <v>929</v>
      </c>
      <c r="F888" s="25">
        <f t="shared" si="26"/>
        <v>1858</v>
      </c>
      <c r="G888" s="40" t="str">
        <f t="shared" si="27"/>
        <v>Sat</v>
      </c>
    </row>
    <row r="889" spans="1:7" ht="14.4" x14ac:dyDescent="0.3">
      <c r="A889" s="22">
        <v>44296</v>
      </c>
      <c r="B889" s="23" t="s">
        <v>57</v>
      </c>
      <c r="C889" s="23" t="s">
        <v>97</v>
      </c>
      <c r="D889" s="24">
        <v>2</v>
      </c>
      <c r="E889" s="17">
        <f>VLOOKUP(B889,'SKU Master'!$B$2:$E$31,4,0)</f>
        <v>1030</v>
      </c>
      <c r="F889" s="25">
        <f t="shared" si="26"/>
        <v>2060</v>
      </c>
      <c r="G889" s="40" t="str">
        <f t="shared" si="27"/>
        <v>Sat</v>
      </c>
    </row>
    <row r="890" spans="1:7" ht="14.4" x14ac:dyDescent="0.3">
      <c r="A890" s="22">
        <v>44296</v>
      </c>
      <c r="B890" s="23" t="s">
        <v>60</v>
      </c>
      <c r="C890" s="23" t="s">
        <v>97</v>
      </c>
      <c r="D890" s="24">
        <v>1</v>
      </c>
      <c r="E890" s="17">
        <f>VLOOKUP(B890,'SKU Master'!$B$2:$E$31,4,0)</f>
        <v>1222</v>
      </c>
      <c r="F890" s="25">
        <f t="shared" si="26"/>
        <v>1222</v>
      </c>
      <c r="G890" s="40" t="str">
        <f t="shared" si="27"/>
        <v>Sat</v>
      </c>
    </row>
    <row r="891" spans="1:7" ht="14.4" x14ac:dyDescent="0.3">
      <c r="A891" s="22">
        <v>44296</v>
      </c>
      <c r="B891" s="23" t="s">
        <v>63</v>
      </c>
      <c r="C891" s="23" t="s">
        <v>97</v>
      </c>
      <c r="D891" s="24">
        <v>1</v>
      </c>
      <c r="E891" s="17">
        <f>VLOOKUP(B891,'SKU Master'!$B$2:$E$31,4,0)</f>
        <v>649</v>
      </c>
      <c r="F891" s="25">
        <f t="shared" si="26"/>
        <v>649</v>
      </c>
      <c r="G891" s="40" t="str">
        <f t="shared" si="27"/>
        <v>Sat</v>
      </c>
    </row>
    <row r="892" spans="1:7" ht="14.4" x14ac:dyDescent="0.3">
      <c r="A892" s="22">
        <v>44296</v>
      </c>
      <c r="B892" s="23" t="s">
        <v>67</v>
      </c>
      <c r="C892" s="23" t="s">
        <v>97</v>
      </c>
      <c r="D892" s="24">
        <v>4</v>
      </c>
      <c r="E892" s="17">
        <f>VLOOKUP(B892,'SKU Master'!$B$2:$E$31,4,0)</f>
        <v>1800</v>
      </c>
      <c r="F892" s="25">
        <f t="shared" si="26"/>
        <v>7200</v>
      </c>
      <c r="G892" s="40" t="str">
        <f t="shared" si="27"/>
        <v>Sat</v>
      </c>
    </row>
    <row r="893" spans="1:7" ht="14.4" x14ac:dyDescent="0.3">
      <c r="A893" s="22">
        <v>44296</v>
      </c>
      <c r="B893" s="23" t="s">
        <v>70</v>
      </c>
      <c r="C893" s="23" t="s">
        <v>97</v>
      </c>
      <c r="D893" s="24">
        <v>3</v>
      </c>
      <c r="E893" s="17">
        <f>VLOOKUP(B893,'SKU Master'!$B$2:$E$31,4,0)</f>
        <v>345</v>
      </c>
      <c r="F893" s="25">
        <f t="shared" si="26"/>
        <v>1035</v>
      </c>
      <c r="G893" s="40" t="str">
        <f t="shared" si="27"/>
        <v>Sat</v>
      </c>
    </row>
    <row r="894" spans="1:7" ht="14.4" x14ac:dyDescent="0.3">
      <c r="A894" s="22">
        <v>44296</v>
      </c>
      <c r="B894" s="23" t="s">
        <v>73</v>
      </c>
      <c r="C894" s="23" t="s">
        <v>97</v>
      </c>
      <c r="D894" s="24">
        <v>4</v>
      </c>
      <c r="E894" s="17">
        <f>VLOOKUP(B894,'SKU Master'!$B$2:$E$31,4,0)</f>
        <v>350</v>
      </c>
      <c r="F894" s="25">
        <f t="shared" si="26"/>
        <v>1400</v>
      </c>
      <c r="G894" s="40" t="str">
        <f t="shared" si="27"/>
        <v>Sat</v>
      </c>
    </row>
    <row r="895" spans="1:7" ht="14.4" x14ac:dyDescent="0.3">
      <c r="A895" s="22">
        <v>44296</v>
      </c>
      <c r="B895" s="23" t="s">
        <v>76</v>
      </c>
      <c r="C895" s="23" t="s">
        <v>97</v>
      </c>
      <c r="D895" s="24">
        <v>3</v>
      </c>
      <c r="E895" s="17">
        <f>VLOOKUP(B895,'SKU Master'!$B$2:$E$31,4,0)</f>
        <v>1575</v>
      </c>
      <c r="F895" s="25">
        <f t="shared" si="26"/>
        <v>4725</v>
      </c>
      <c r="G895" s="40" t="str">
        <f t="shared" si="27"/>
        <v>Sat</v>
      </c>
    </row>
    <row r="896" spans="1:7" ht="14.4" x14ac:dyDescent="0.3">
      <c r="A896" s="22">
        <v>44296</v>
      </c>
      <c r="B896" s="23" t="s">
        <v>78</v>
      </c>
      <c r="C896" s="23" t="s">
        <v>97</v>
      </c>
      <c r="D896" s="24">
        <v>4</v>
      </c>
      <c r="E896" s="17">
        <f>VLOOKUP(B896,'SKU Master'!$B$2:$E$31,4,0)</f>
        <v>1045</v>
      </c>
      <c r="F896" s="25">
        <f t="shared" si="26"/>
        <v>4180</v>
      </c>
      <c r="G896" s="40" t="str">
        <f t="shared" si="27"/>
        <v>Sat</v>
      </c>
    </row>
    <row r="897" spans="1:7" ht="14.4" x14ac:dyDescent="0.3">
      <c r="A897" s="22">
        <v>44296</v>
      </c>
      <c r="B897" s="23" t="s">
        <v>81</v>
      </c>
      <c r="C897" s="23" t="s">
        <v>97</v>
      </c>
      <c r="D897" s="24">
        <v>4</v>
      </c>
      <c r="E897" s="17">
        <f>VLOOKUP(B897,'SKU Master'!$B$2:$E$31,4,0)</f>
        <v>1186</v>
      </c>
      <c r="F897" s="25">
        <f t="shared" si="26"/>
        <v>4744</v>
      </c>
      <c r="G897" s="40" t="str">
        <f t="shared" si="27"/>
        <v>Sat</v>
      </c>
    </row>
    <row r="898" spans="1:7" ht="14.4" x14ac:dyDescent="0.3">
      <c r="A898" s="22">
        <v>44296</v>
      </c>
      <c r="B898" s="23" t="s">
        <v>84</v>
      </c>
      <c r="C898" s="23" t="s">
        <v>97</v>
      </c>
      <c r="D898" s="24">
        <v>4</v>
      </c>
      <c r="E898" s="17">
        <f>VLOOKUP(B898,'SKU Master'!$B$2:$E$31,4,0)</f>
        <v>374</v>
      </c>
      <c r="F898" s="25">
        <f t="shared" si="26"/>
        <v>1496</v>
      </c>
      <c r="G898" s="40" t="str">
        <f t="shared" si="27"/>
        <v>Sat</v>
      </c>
    </row>
    <row r="899" spans="1:7" ht="14.4" x14ac:dyDescent="0.3">
      <c r="A899" s="22">
        <v>44296</v>
      </c>
      <c r="B899" s="23" t="s">
        <v>87</v>
      </c>
      <c r="C899" s="23" t="s">
        <v>97</v>
      </c>
      <c r="D899" s="24">
        <v>0</v>
      </c>
      <c r="E899" s="17">
        <f>VLOOKUP(B899,'SKU Master'!$B$2:$E$31,4,0)</f>
        <v>1500</v>
      </c>
      <c r="F899" s="25">
        <f t="shared" ref="F899:F962" si="28">D899*E899</f>
        <v>0</v>
      </c>
      <c r="G899" s="40" t="str">
        <f t="shared" si="27"/>
        <v>Sat</v>
      </c>
    </row>
    <row r="900" spans="1:7" ht="14.4" x14ac:dyDescent="0.3">
      <c r="A900" s="22">
        <v>44296</v>
      </c>
      <c r="B900" s="23" t="s">
        <v>90</v>
      </c>
      <c r="C900" s="23" t="s">
        <v>97</v>
      </c>
      <c r="D900" s="24">
        <v>2</v>
      </c>
      <c r="E900" s="17">
        <f>VLOOKUP(B900,'SKU Master'!$B$2:$E$31,4,0)</f>
        <v>1800</v>
      </c>
      <c r="F900" s="25">
        <f t="shared" si="28"/>
        <v>3600</v>
      </c>
      <c r="G900" s="40" t="str">
        <f t="shared" ref="G900:G963" si="29">CHOOSE(WEEKDAY(A900),"Sun","Mon","Tue","Wed","Thu","Fri","Sat")</f>
        <v>Sat</v>
      </c>
    </row>
    <row r="901" spans="1:7" ht="14.4" x14ac:dyDescent="0.3">
      <c r="A901" s="22">
        <v>44296</v>
      </c>
      <c r="B901" s="23" t="s">
        <v>93</v>
      </c>
      <c r="C901" s="23" t="s">
        <v>97</v>
      </c>
      <c r="D901" s="24">
        <v>1</v>
      </c>
      <c r="E901" s="17">
        <f>VLOOKUP(B901,'SKU Master'!$B$2:$E$31,4,0)</f>
        <v>1477</v>
      </c>
      <c r="F901" s="25">
        <f t="shared" si="28"/>
        <v>1477</v>
      </c>
      <c r="G901" s="40" t="str">
        <f t="shared" si="29"/>
        <v>Sat</v>
      </c>
    </row>
    <row r="902" spans="1:7" ht="14.4" x14ac:dyDescent="0.3">
      <c r="A902" s="22">
        <v>44297</v>
      </c>
      <c r="B902" s="23" t="s">
        <v>6</v>
      </c>
      <c r="C902" s="23" t="s">
        <v>96</v>
      </c>
      <c r="D902" s="24">
        <v>25</v>
      </c>
      <c r="E902" s="17">
        <f>VLOOKUP(B902,'SKU Master'!$B$2:$E$31,4,0)</f>
        <v>210</v>
      </c>
      <c r="F902" s="25">
        <f t="shared" si="28"/>
        <v>5250</v>
      </c>
      <c r="G902" s="40" t="str">
        <f t="shared" si="29"/>
        <v>Sun</v>
      </c>
    </row>
    <row r="903" spans="1:7" ht="14.4" x14ac:dyDescent="0.3">
      <c r="A903" s="22">
        <v>44297</v>
      </c>
      <c r="B903" s="23" t="s">
        <v>9</v>
      </c>
      <c r="C903" s="23" t="s">
        <v>96</v>
      </c>
      <c r="D903" s="24">
        <v>16</v>
      </c>
      <c r="E903" s="17">
        <f>VLOOKUP(B903,'SKU Master'!$B$2:$E$31,4,0)</f>
        <v>199</v>
      </c>
      <c r="F903" s="25">
        <f t="shared" si="28"/>
        <v>3184</v>
      </c>
      <c r="G903" s="40" t="str">
        <f t="shared" si="29"/>
        <v>Sun</v>
      </c>
    </row>
    <row r="904" spans="1:7" ht="14.4" x14ac:dyDescent="0.3">
      <c r="A904" s="22">
        <v>44297</v>
      </c>
      <c r="B904" s="23" t="s">
        <v>12</v>
      </c>
      <c r="C904" s="23" t="s">
        <v>96</v>
      </c>
      <c r="D904" s="24">
        <v>11</v>
      </c>
      <c r="E904" s="17">
        <f>VLOOKUP(B904,'SKU Master'!$B$2:$E$31,4,0)</f>
        <v>322</v>
      </c>
      <c r="F904" s="25">
        <f t="shared" si="28"/>
        <v>3542</v>
      </c>
      <c r="G904" s="40" t="str">
        <f t="shared" si="29"/>
        <v>Sun</v>
      </c>
    </row>
    <row r="905" spans="1:7" ht="14.4" x14ac:dyDescent="0.3">
      <c r="A905" s="22">
        <v>44297</v>
      </c>
      <c r="B905" s="23" t="s">
        <v>15</v>
      </c>
      <c r="C905" s="23" t="s">
        <v>96</v>
      </c>
      <c r="D905" s="24">
        <v>9</v>
      </c>
      <c r="E905" s="17">
        <f>VLOOKUP(B905,'SKU Master'!$B$2:$E$31,4,0)</f>
        <v>161</v>
      </c>
      <c r="F905" s="25">
        <f t="shared" si="28"/>
        <v>1449</v>
      </c>
      <c r="G905" s="40" t="str">
        <f t="shared" si="29"/>
        <v>Sun</v>
      </c>
    </row>
    <row r="906" spans="1:7" ht="14.4" x14ac:dyDescent="0.3">
      <c r="A906" s="22">
        <v>44297</v>
      </c>
      <c r="B906" s="23" t="s">
        <v>17</v>
      </c>
      <c r="C906" s="23" t="s">
        <v>96</v>
      </c>
      <c r="D906" s="24">
        <v>5</v>
      </c>
      <c r="E906" s="17">
        <f>VLOOKUP(B906,'SKU Master'!$B$2:$E$31,4,0)</f>
        <v>109</v>
      </c>
      <c r="F906" s="25">
        <f t="shared" si="28"/>
        <v>545</v>
      </c>
      <c r="G906" s="40" t="str">
        <f t="shared" si="29"/>
        <v>Sun</v>
      </c>
    </row>
    <row r="907" spans="1:7" ht="14.4" x14ac:dyDescent="0.3">
      <c r="A907" s="22">
        <v>44297</v>
      </c>
      <c r="B907" s="23" t="s">
        <v>20</v>
      </c>
      <c r="C907" s="23" t="s">
        <v>96</v>
      </c>
      <c r="D907" s="24">
        <v>5</v>
      </c>
      <c r="E907" s="17">
        <f>VLOOKUP(B907,'SKU Master'!$B$2:$E$31,4,0)</f>
        <v>122</v>
      </c>
      <c r="F907" s="25">
        <f t="shared" si="28"/>
        <v>610</v>
      </c>
      <c r="G907" s="40" t="str">
        <f t="shared" si="29"/>
        <v>Sun</v>
      </c>
    </row>
    <row r="908" spans="1:7" ht="14.4" x14ac:dyDescent="0.3">
      <c r="A908" s="22">
        <v>44297</v>
      </c>
      <c r="B908" s="23" t="s">
        <v>23</v>
      </c>
      <c r="C908" s="23" t="s">
        <v>96</v>
      </c>
      <c r="D908" s="24">
        <v>5</v>
      </c>
      <c r="E908" s="17">
        <f>VLOOKUP(B908,'SKU Master'!$B$2:$E$31,4,0)</f>
        <v>96</v>
      </c>
      <c r="F908" s="25">
        <f t="shared" si="28"/>
        <v>480</v>
      </c>
      <c r="G908" s="40" t="str">
        <f t="shared" si="29"/>
        <v>Sun</v>
      </c>
    </row>
    <row r="909" spans="1:7" ht="14.4" x14ac:dyDescent="0.3">
      <c r="A909" s="22">
        <v>44297</v>
      </c>
      <c r="B909" s="23" t="s">
        <v>26</v>
      </c>
      <c r="C909" s="23" t="s">
        <v>96</v>
      </c>
      <c r="D909" s="24">
        <v>0</v>
      </c>
      <c r="E909" s="17">
        <f>VLOOKUP(B909,'SKU Master'!$B$2:$E$31,4,0)</f>
        <v>73</v>
      </c>
      <c r="F909" s="25">
        <f t="shared" si="28"/>
        <v>0</v>
      </c>
      <c r="G909" s="40" t="str">
        <f t="shared" si="29"/>
        <v>Sun</v>
      </c>
    </row>
    <row r="910" spans="1:7" ht="14.4" x14ac:dyDescent="0.3">
      <c r="A910" s="22">
        <v>44297</v>
      </c>
      <c r="B910" s="23" t="s">
        <v>29</v>
      </c>
      <c r="C910" s="23" t="s">
        <v>96</v>
      </c>
      <c r="D910" s="24">
        <v>1</v>
      </c>
      <c r="E910" s="17">
        <f>VLOOKUP(B910,'SKU Master'!$B$2:$E$31,4,0)</f>
        <v>225</v>
      </c>
      <c r="F910" s="25">
        <f t="shared" si="28"/>
        <v>225</v>
      </c>
      <c r="G910" s="40" t="str">
        <f t="shared" si="29"/>
        <v>Sun</v>
      </c>
    </row>
    <row r="911" spans="1:7" ht="14.4" x14ac:dyDescent="0.3">
      <c r="A911" s="22">
        <v>44297</v>
      </c>
      <c r="B911" s="23" t="s">
        <v>32</v>
      </c>
      <c r="C911" s="23" t="s">
        <v>96</v>
      </c>
      <c r="D911" s="24">
        <v>0</v>
      </c>
      <c r="E911" s="17">
        <f>VLOOKUP(B911,'SKU Master'!$B$2:$E$31,4,0)</f>
        <v>559</v>
      </c>
      <c r="F911" s="25">
        <f t="shared" si="28"/>
        <v>0</v>
      </c>
      <c r="G911" s="40" t="str">
        <f t="shared" si="29"/>
        <v>Sun</v>
      </c>
    </row>
    <row r="912" spans="1:7" ht="14.4" x14ac:dyDescent="0.3">
      <c r="A912" s="22">
        <v>44297</v>
      </c>
      <c r="B912" s="23" t="s">
        <v>36</v>
      </c>
      <c r="C912" s="23" t="s">
        <v>96</v>
      </c>
      <c r="D912" s="24">
        <v>27</v>
      </c>
      <c r="E912" s="17">
        <f>VLOOKUP(B912,'SKU Master'!$B$2:$E$31,4,0)</f>
        <v>3199</v>
      </c>
      <c r="F912" s="25">
        <f t="shared" si="28"/>
        <v>86373</v>
      </c>
      <c r="G912" s="40" t="str">
        <f t="shared" si="29"/>
        <v>Sun</v>
      </c>
    </row>
    <row r="913" spans="1:7" ht="14.4" x14ac:dyDescent="0.3">
      <c r="A913" s="22">
        <v>44297</v>
      </c>
      <c r="B913" s="23" t="s">
        <v>39</v>
      </c>
      <c r="C913" s="23" t="s">
        <v>96</v>
      </c>
      <c r="D913" s="24">
        <v>15</v>
      </c>
      <c r="E913" s="17">
        <f>VLOOKUP(B913,'SKU Master'!$B$2:$E$31,4,0)</f>
        <v>371</v>
      </c>
      <c r="F913" s="25">
        <f t="shared" si="28"/>
        <v>5565</v>
      </c>
      <c r="G913" s="40" t="str">
        <f t="shared" si="29"/>
        <v>Sun</v>
      </c>
    </row>
    <row r="914" spans="1:7" ht="14.4" x14ac:dyDescent="0.3">
      <c r="A914" s="22">
        <v>44297</v>
      </c>
      <c r="B914" s="23" t="s">
        <v>42</v>
      </c>
      <c r="C914" s="23" t="s">
        <v>96</v>
      </c>
      <c r="D914" s="24">
        <v>13</v>
      </c>
      <c r="E914" s="17">
        <f>VLOOKUP(B914,'SKU Master'!$B$2:$E$31,4,0)</f>
        <v>2300</v>
      </c>
      <c r="F914" s="25">
        <f t="shared" si="28"/>
        <v>29900</v>
      </c>
      <c r="G914" s="40" t="str">
        <f t="shared" si="29"/>
        <v>Sun</v>
      </c>
    </row>
    <row r="915" spans="1:7" ht="14.4" x14ac:dyDescent="0.3">
      <c r="A915" s="22">
        <v>44297</v>
      </c>
      <c r="B915" s="23" t="s">
        <v>45</v>
      </c>
      <c r="C915" s="23" t="s">
        <v>96</v>
      </c>
      <c r="D915" s="24">
        <v>10</v>
      </c>
      <c r="E915" s="17">
        <f>VLOOKUP(B915,'SKU Master'!$B$2:$E$31,4,0)</f>
        <v>499</v>
      </c>
      <c r="F915" s="25">
        <f t="shared" si="28"/>
        <v>4990</v>
      </c>
      <c r="G915" s="40" t="str">
        <f t="shared" si="29"/>
        <v>Sun</v>
      </c>
    </row>
    <row r="916" spans="1:7" ht="14.4" x14ac:dyDescent="0.3">
      <c r="A916" s="22">
        <v>44297</v>
      </c>
      <c r="B916" s="23" t="s">
        <v>48</v>
      </c>
      <c r="C916" s="23" t="s">
        <v>96</v>
      </c>
      <c r="D916" s="24">
        <v>5</v>
      </c>
      <c r="E916" s="17">
        <f>VLOOKUP(B916,'SKU Master'!$B$2:$E$31,4,0)</f>
        <v>299</v>
      </c>
      <c r="F916" s="25">
        <f t="shared" si="28"/>
        <v>1495</v>
      </c>
      <c r="G916" s="40" t="str">
        <f t="shared" si="29"/>
        <v>Sun</v>
      </c>
    </row>
    <row r="917" spans="1:7" ht="14.4" x14ac:dyDescent="0.3">
      <c r="A917" s="22">
        <v>44297</v>
      </c>
      <c r="B917" s="23" t="s">
        <v>51</v>
      </c>
      <c r="C917" s="23" t="s">
        <v>96</v>
      </c>
      <c r="D917" s="24">
        <v>2</v>
      </c>
      <c r="E917" s="17">
        <f>VLOOKUP(B917,'SKU Master'!$B$2:$E$31,4,0)</f>
        <v>901</v>
      </c>
      <c r="F917" s="25">
        <f t="shared" si="28"/>
        <v>1802</v>
      </c>
      <c r="G917" s="40" t="str">
        <f t="shared" si="29"/>
        <v>Sun</v>
      </c>
    </row>
    <row r="918" spans="1:7" ht="14.4" x14ac:dyDescent="0.3">
      <c r="A918" s="22">
        <v>44297</v>
      </c>
      <c r="B918" s="23" t="s">
        <v>54</v>
      </c>
      <c r="C918" s="23" t="s">
        <v>96</v>
      </c>
      <c r="D918" s="24">
        <v>5</v>
      </c>
      <c r="E918" s="17">
        <f>VLOOKUP(B918,'SKU Master'!$B$2:$E$31,4,0)</f>
        <v>929</v>
      </c>
      <c r="F918" s="25">
        <f t="shared" si="28"/>
        <v>4645</v>
      </c>
      <c r="G918" s="40" t="str">
        <f t="shared" si="29"/>
        <v>Sun</v>
      </c>
    </row>
    <row r="919" spans="1:7" ht="14.4" x14ac:dyDescent="0.3">
      <c r="A919" s="22">
        <v>44297</v>
      </c>
      <c r="B919" s="23" t="s">
        <v>57</v>
      </c>
      <c r="C919" s="23" t="s">
        <v>96</v>
      </c>
      <c r="D919" s="24">
        <v>0</v>
      </c>
      <c r="E919" s="17">
        <f>VLOOKUP(B919,'SKU Master'!$B$2:$E$31,4,0)</f>
        <v>1030</v>
      </c>
      <c r="F919" s="25">
        <f t="shared" si="28"/>
        <v>0</v>
      </c>
      <c r="G919" s="40" t="str">
        <f t="shared" si="29"/>
        <v>Sun</v>
      </c>
    </row>
    <row r="920" spans="1:7" ht="14.4" x14ac:dyDescent="0.3">
      <c r="A920" s="22">
        <v>44297</v>
      </c>
      <c r="B920" s="23" t="s">
        <v>60</v>
      </c>
      <c r="C920" s="23" t="s">
        <v>96</v>
      </c>
      <c r="D920" s="24">
        <v>1</v>
      </c>
      <c r="E920" s="17">
        <f>VLOOKUP(B920,'SKU Master'!$B$2:$E$31,4,0)</f>
        <v>1222</v>
      </c>
      <c r="F920" s="25">
        <f t="shared" si="28"/>
        <v>1222</v>
      </c>
      <c r="G920" s="40" t="str">
        <f t="shared" si="29"/>
        <v>Sun</v>
      </c>
    </row>
    <row r="921" spans="1:7" ht="14.4" x14ac:dyDescent="0.3">
      <c r="A921" s="22">
        <v>44297</v>
      </c>
      <c r="B921" s="23" t="s">
        <v>63</v>
      </c>
      <c r="C921" s="23" t="s">
        <v>96</v>
      </c>
      <c r="D921" s="24">
        <v>0</v>
      </c>
      <c r="E921" s="17">
        <f>VLOOKUP(B921,'SKU Master'!$B$2:$E$31,4,0)</f>
        <v>649</v>
      </c>
      <c r="F921" s="25">
        <f t="shared" si="28"/>
        <v>0</v>
      </c>
      <c r="G921" s="40" t="str">
        <f t="shared" si="29"/>
        <v>Sun</v>
      </c>
    </row>
    <row r="922" spans="1:7" ht="14.4" x14ac:dyDescent="0.3">
      <c r="A922" s="22">
        <v>44297</v>
      </c>
      <c r="B922" s="23" t="s">
        <v>67</v>
      </c>
      <c r="C922" s="23" t="s">
        <v>96</v>
      </c>
      <c r="D922" s="24">
        <v>31</v>
      </c>
      <c r="E922" s="17">
        <f>VLOOKUP(B922,'SKU Master'!$B$2:$E$31,4,0)</f>
        <v>1800</v>
      </c>
      <c r="F922" s="25">
        <f t="shared" si="28"/>
        <v>55800</v>
      </c>
      <c r="G922" s="40" t="str">
        <f t="shared" si="29"/>
        <v>Sun</v>
      </c>
    </row>
    <row r="923" spans="1:7" ht="14.4" x14ac:dyDescent="0.3">
      <c r="A923" s="22">
        <v>44297</v>
      </c>
      <c r="B923" s="23" t="s">
        <v>70</v>
      </c>
      <c r="C923" s="23" t="s">
        <v>96</v>
      </c>
      <c r="D923" s="24">
        <v>11</v>
      </c>
      <c r="E923" s="17">
        <f>VLOOKUP(B923,'SKU Master'!$B$2:$E$31,4,0)</f>
        <v>345</v>
      </c>
      <c r="F923" s="25">
        <f t="shared" si="28"/>
        <v>3795</v>
      </c>
      <c r="G923" s="40" t="str">
        <f t="shared" si="29"/>
        <v>Sun</v>
      </c>
    </row>
    <row r="924" spans="1:7" ht="14.4" x14ac:dyDescent="0.3">
      <c r="A924" s="22">
        <v>44297</v>
      </c>
      <c r="B924" s="23" t="s">
        <v>73</v>
      </c>
      <c r="C924" s="23" t="s">
        <v>96</v>
      </c>
      <c r="D924" s="24">
        <v>10</v>
      </c>
      <c r="E924" s="17">
        <f>VLOOKUP(B924,'SKU Master'!$B$2:$E$31,4,0)</f>
        <v>350</v>
      </c>
      <c r="F924" s="25">
        <f t="shared" si="28"/>
        <v>3500</v>
      </c>
      <c r="G924" s="40" t="str">
        <f t="shared" si="29"/>
        <v>Sun</v>
      </c>
    </row>
    <row r="925" spans="1:7" ht="14.4" x14ac:dyDescent="0.3">
      <c r="A925" s="22">
        <v>44297</v>
      </c>
      <c r="B925" s="23" t="s">
        <v>76</v>
      </c>
      <c r="C925" s="23" t="s">
        <v>96</v>
      </c>
      <c r="D925" s="24">
        <v>7</v>
      </c>
      <c r="E925" s="17">
        <f>VLOOKUP(B925,'SKU Master'!$B$2:$E$31,4,0)</f>
        <v>1575</v>
      </c>
      <c r="F925" s="25">
        <f t="shared" si="28"/>
        <v>11025</v>
      </c>
      <c r="G925" s="40" t="str">
        <f t="shared" si="29"/>
        <v>Sun</v>
      </c>
    </row>
    <row r="926" spans="1:7" ht="14.4" x14ac:dyDescent="0.3">
      <c r="A926" s="22">
        <v>44297</v>
      </c>
      <c r="B926" s="23" t="s">
        <v>78</v>
      </c>
      <c r="C926" s="23" t="s">
        <v>96</v>
      </c>
      <c r="D926" s="24">
        <v>7</v>
      </c>
      <c r="E926" s="17">
        <f>VLOOKUP(B926,'SKU Master'!$B$2:$E$31,4,0)</f>
        <v>1045</v>
      </c>
      <c r="F926" s="25">
        <f t="shared" si="28"/>
        <v>7315</v>
      </c>
      <c r="G926" s="40" t="str">
        <f t="shared" si="29"/>
        <v>Sun</v>
      </c>
    </row>
    <row r="927" spans="1:7" ht="14.4" x14ac:dyDescent="0.3">
      <c r="A927" s="22">
        <v>44297</v>
      </c>
      <c r="B927" s="23" t="s">
        <v>81</v>
      </c>
      <c r="C927" s="23" t="s">
        <v>96</v>
      </c>
      <c r="D927" s="24">
        <v>5</v>
      </c>
      <c r="E927" s="17">
        <f>VLOOKUP(B927,'SKU Master'!$B$2:$E$31,4,0)</f>
        <v>1186</v>
      </c>
      <c r="F927" s="25">
        <f t="shared" si="28"/>
        <v>5930</v>
      </c>
      <c r="G927" s="40" t="str">
        <f t="shared" si="29"/>
        <v>Sun</v>
      </c>
    </row>
    <row r="928" spans="1:7" ht="14.4" x14ac:dyDescent="0.3">
      <c r="A928" s="22">
        <v>44297</v>
      </c>
      <c r="B928" s="23" t="s">
        <v>84</v>
      </c>
      <c r="C928" s="23" t="s">
        <v>96</v>
      </c>
      <c r="D928" s="24">
        <v>2</v>
      </c>
      <c r="E928" s="17">
        <f>VLOOKUP(B928,'SKU Master'!$B$2:$E$31,4,0)</f>
        <v>374</v>
      </c>
      <c r="F928" s="25">
        <f t="shared" si="28"/>
        <v>748</v>
      </c>
      <c r="G928" s="40" t="str">
        <f t="shared" si="29"/>
        <v>Sun</v>
      </c>
    </row>
    <row r="929" spans="1:7" ht="14.4" x14ac:dyDescent="0.3">
      <c r="A929" s="22">
        <v>44297</v>
      </c>
      <c r="B929" s="23" t="s">
        <v>87</v>
      </c>
      <c r="C929" s="23" t="s">
        <v>96</v>
      </c>
      <c r="D929" s="24">
        <v>1</v>
      </c>
      <c r="E929" s="17">
        <f>VLOOKUP(B929,'SKU Master'!$B$2:$E$31,4,0)</f>
        <v>1500</v>
      </c>
      <c r="F929" s="25">
        <f t="shared" si="28"/>
        <v>1500</v>
      </c>
      <c r="G929" s="40" t="str">
        <f t="shared" si="29"/>
        <v>Sun</v>
      </c>
    </row>
    <row r="930" spans="1:7" ht="14.4" x14ac:dyDescent="0.3">
      <c r="A930" s="22">
        <v>44297</v>
      </c>
      <c r="B930" s="23" t="s">
        <v>90</v>
      </c>
      <c r="C930" s="23" t="s">
        <v>96</v>
      </c>
      <c r="D930" s="24">
        <v>0</v>
      </c>
      <c r="E930" s="17">
        <f>VLOOKUP(B930,'SKU Master'!$B$2:$E$31,4,0)</f>
        <v>1800</v>
      </c>
      <c r="F930" s="25">
        <f t="shared" si="28"/>
        <v>0</v>
      </c>
      <c r="G930" s="40" t="str">
        <f t="shared" si="29"/>
        <v>Sun</v>
      </c>
    </row>
    <row r="931" spans="1:7" ht="14.4" x14ac:dyDescent="0.3">
      <c r="A931" s="22">
        <v>44297</v>
      </c>
      <c r="B931" s="23" t="s">
        <v>93</v>
      </c>
      <c r="C931" s="23" t="s">
        <v>96</v>
      </c>
      <c r="D931" s="24">
        <v>0</v>
      </c>
      <c r="E931" s="17">
        <f>VLOOKUP(B931,'SKU Master'!$B$2:$E$31,4,0)</f>
        <v>1477</v>
      </c>
      <c r="F931" s="25">
        <f t="shared" si="28"/>
        <v>0</v>
      </c>
      <c r="G931" s="40" t="str">
        <f t="shared" si="29"/>
        <v>Sun</v>
      </c>
    </row>
    <row r="932" spans="1:7" ht="14.4" x14ac:dyDescent="0.3">
      <c r="A932" s="22">
        <v>44297</v>
      </c>
      <c r="B932" s="23" t="s">
        <v>6</v>
      </c>
      <c r="C932" s="23" t="s">
        <v>98</v>
      </c>
      <c r="D932" s="24">
        <v>23</v>
      </c>
      <c r="E932" s="17">
        <f>VLOOKUP(B932,'SKU Master'!$B$2:$E$31,4,0)</f>
        <v>210</v>
      </c>
      <c r="F932" s="25">
        <f t="shared" si="28"/>
        <v>4830</v>
      </c>
      <c r="G932" s="40" t="str">
        <f t="shared" si="29"/>
        <v>Sun</v>
      </c>
    </row>
    <row r="933" spans="1:7" ht="14.4" x14ac:dyDescent="0.3">
      <c r="A933" s="22">
        <v>44297</v>
      </c>
      <c r="B933" s="23" t="s">
        <v>9</v>
      </c>
      <c r="C933" s="23" t="s">
        <v>98</v>
      </c>
      <c r="D933" s="24">
        <v>13</v>
      </c>
      <c r="E933" s="17">
        <f>VLOOKUP(B933,'SKU Master'!$B$2:$E$31,4,0)</f>
        <v>199</v>
      </c>
      <c r="F933" s="25">
        <f t="shared" si="28"/>
        <v>2587</v>
      </c>
      <c r="G933" s="40" t="str">
        <f t="shared" si="29"/>
        <v>Sun</v>
      </c>
    </row>
    <row r="934" spans="1:7" ht="14.4" x14ac:dyDescent="0.3">
      <c r="A934" s="22">
        <v>44297</v>
      </c>
      <c r="B934" s="23" t="s">
        <v>12</v>
      </c>
      <c r="C934" s="23" t="s">
        <v>98</v>
      </c>
      <c r="D934" s="24">
        <v>8</v>
      </c>
      <c r="E934" s="17">
        <f>VLOOKUP(B934,'SKU Master'!$B$2:$E$31,4,0)</f>
        <v>322</v>
      </c>
      <c r="F934" s="25">
        <f t="shared" si="28"/>
        <v>2576</v>
      </c>
      <c r="G934" s="40" t="str">
        <f t="shared" si="29"/>
        <v>Sun</v>
      </c>
    </row>
    <row r="935" spans="1:7" ht="14.4" x14ac:dyDescent="0.3">
      <c r="A935" s="22">
        <v>44297</v>
      </c>
      <c r="B935" s="23" t="s">
        <v>15</v>
      </c>
      <c r="C935" s="23" t="s">
        <v>98</v>
      </c>
      <c r="D935" s="24">
        <v>5</v>
      </c>
      <c r="E935" s="17">
        <f>VLOOKUP(B935,'SKU Master'!$B$2:$E$31,4,0)</f>
        <v>161</v>
      </c>
      <c r="F935" s="25">
        <f t="shared" si="28"/>
        <v>805</v>
      </c>
      <c r="G935" s="40" t="str">
        <f t="shared" si="29"/>
        <v>Sun</v>
      </c>
    </row>
    <row r="936" spans="1:7" ht="14.4" x14ac:dyDescent="0.3">
      <c r="A936" s="22">
        <v>44297</v>
      </c>
      <c r="B936" s="23" t="s">
        <v>17</v>
      </c>
      <c r="C936" s="23" t="s">
        <v>98</v>
      </c>
      <c r="D936" s="24">
        <v>4</v>
      </c>
      <c r="E936" s="17">
        <f>VLOOKUP(B936,'SKU Master'!$B$2:$E$31,4,0)</f>
        <v>109</v>
      </c>
      <c r="F936" s="25">
        <f t="shared" si="28"/>
        <v>436</v>
      </c>
      <c r="G936" s="40" t="str">
        <f t="shared" si="29"/>
        <v>Sun</v>
      </c>
    </row>
    <row r="937" spans="1:7" ht="14.4" x14ac:dyDescent="0.3">
      <c r="A937" s="22">
        <v>44297</v>
      </c>
      <c r="B937" s="23" t="s">
        <v>20</v>
      </c>
      <c r="C937" s="23" t="s">
        <v>98</v>
      </c>
      <c r="D937" s="24">
        <v>3</v>
      </c>
      <c r="E937" s="17">
        <f>VLOOKUP(B937,'SKU Master'!$B$2:$E$31,4,0)</f>
        <v>122</v>
      </c>
      <c r="F937" s="25">
        <f t="shared" si="28"/>
        <v>366</v>
      </c>
      <c r="G937" s="40" t="str">
        <f t="shared" si="29"/>
        <v>Sun</v>
      </c>
    </row>
    <row r="938" spans="1:7" ht="14.4" x14ac:dyDescent="0.3">
      <c r="A938" s="22">
        <v>44297</v>
      </c>
      <c r="B938" s="23" t="s">
        <v>23</v>
      </c>
      <c r="C938" s="23" t="s">
        <v>98</v>
      </c>
      <c r="D938" s="24">
        <v>3</v>
      </c>
      <c r="E938" s="17">
        <f>VLOOKUP(B938,'SKU Master'!$B$2:$E$31,4,0)</f>
        <v>96</v>
      </c>
      <c r="F938" s="25">
        <f t="shared" si="28"/>
        <v>288</v>
      </c>
      <c r="G938" s="40" t="str">
        <f t="shared" si="29"/>
        <v>Sun</v>
      </c>
    </row>
    <row r="939" spans="1:7" ht="14.4" x14ac:dyDescent="0.3">
      <c r="A939" s="22">
        <v>44297</v>
      </c>
      <c r="B939" s="23" t="s">
        <v>26</v>
      </c>
      <c r="C939" s="23" t="s">
        <v>98</v>
      </c>
      <c r="D939" s="24">
        <v>0</v>
      </c>
      <c r="E939" s="17">
        <f>VLOOKUP(B939,'SKU Master'!$B$2:$E$31,4,0)</f>
        <v>73</v>
      </c>
      <c r="F939" s="25">
        <f t="shared" si="28"/>
        <v>0</v>
      </c>
      <c r="G939" s="40" t="str">
        <f t="shared" si="29"/>
        <v>Sun</v>
      </c>
    </row>
    <row r="940" spans="1:7" ht="14.4" x14ac:dyDescent="0.3">
      <c r="A940" s="22">
        <v>44297</v>
      </c>
      <c r="B940" s="23" t="s">
        <v>29</v>
      </c>
      <c r="C940" s="23" t="s">
        <v>98</v>
      </c>
      <c r="D940" s="24">
        <v>1</v>
      </c>
      <c r="E940" s="17">
        <f>VLOOKUP(B940,'SKU Master'!$B$2:$E$31,4,0)</f>
        <v>225</v>
      </c>
      <c r="F940" s="25">
        <f t="shared" si="28"/>
        <v>225</v>
      </c>
      <c r="G940" s="40" t="str">
        <f t="shared" si="29"/>
        <v>Sun</v>
      </c>
    </row>
    <row r="941" spans="1:7" ht="14.4" x14ac:dyDescent="0.3">
      <c r="A941" s="22">
        <v>44297</v>
      </c>
      <c r="B941" s="23" t="s">
        <v>32</v>
      </c>
      <c r="C941" s="23" t="s">
        <v>98</v>
      </c>
      <c r="D941" s="24">
        <v>0</v>
      </c>
      <c r="E941" s="17">
        <f>VLOOKUP(B941,'SKU Master'!$B$2:$E$31,4,0)</f>
        <v>559</v>
      </c>
      <c r="F941" s="25">
        <f t="shared" si="28"/>
        <v>0</v>
      </c>
      <c r="G941" s="40" t="str">
        <f t="shared" si="29"/>
        <v>Sun</v>
      </c>
    </row>
    <row r="942" spans="1:7" ht="14.4" x14ac:dyDescent="0.3">
      <c r="A942" s="22">
        <v>44297</v>
      </c>
      <c r="B942" s="23" t="s">
        <v>36</v>
      </c>
      <c r="C942" s="23" t="s">
        <v>98</v>
      </c>
      <c r="D942" s="24">
        <v>9</v>
      </c>
      <c r="E942" s="17">
        <f>VLOOKUP(B942,'SKU Master'!$B$2:$E$31,4,0)</f>
        <v>3199</v>
      </c>
      <c r="F942" s="25">
        <f t="shared" si="28"/>
        <v>28791</v>
      </c>
      <c r="G942" s="40" t="str">
        <f t="shared" si="29"/>
        <v>Sun</v>
      </c>
    </row>
    <row r="943" spans="1:7" ht="14.4" x14ac:dyDescent="0.3">
      <c r="A943" s="22">
        <v>44297</v>
      </c>
      <c r="B943" s="23" t="s">
        <v>39</v>
      </c>
      <c r="C943" s="23" t="s">
        <v>98</v>
      </c>
      <c r="D943" s="24">
        <v>13</v>
      </c>
      <c r="E943" s="17">
        <f>VLOOKUP(B943,'SKU Master'!$B$2:$E$31,4,0)</f>
        <v>371</v>
      </c>
      <c r="F943" s="25">
        <f t="shared" si="28"/>
        <v>4823</v>
      </c>
      <c r="G943" s="40" t="str">
        <f t="shared" si="29"/>
        <v>Sun</v>
      </c>
    </row>
    <row r="944" spans="1:7" ht="14.4" x14ac:dyDescent="0.3">
      <c r="A944" s="22">
        <v>44297</v>
      </c>
      <c r="B944" s="23" t="s">
        <v>42</v>
      </c>
      <c r="C944" s="23" t="s">
        <v>98</v>
      </c>
      <c r="D944" s="24">
        <v>1</v>
      </c>
      <c r="E944" s="17">
        <f>VLOOKUP(B944,'SKU Master'!$B$2:$E$31,4,0)</f>
        <v>2300</v>
      </c>
      <c r="F944" s="25">
        <f t="shared" si="28"/>
        <v>2300</v>
      </c>
      <c r="G944" s="40" t="str">
        <f t="shared" si="29"/>
        <v>Sun</v>
      </c>
    </row>
    <row r="945" spans="1:7" ht="14.4" x14ac:dyDescent="0.3">
      <c r="A945" s="22">
        <v>44297</v>
      </c>
      <c r="B945" s="23" t="s">
        <v>45</v>
      </c>
      <c r="C945" s="23" t="s">
        <v>98</v>
      </c>
      <c r="D945" s="24">
        <v>4</v>
      </c>
      <c r="E945" s="17">
        <f>VLOOKUP(B945,'SKU Master'!$B$2:$E$31,4,0)</f>
        <v>499</v>
      </c>
      <c r="F945" s="25">
        <f t="shared" si="28"/>
        <v>1996</v>
      </c>
      <c r="G945" s="40" t="str">
        <f t="shared" si="29"/>
        <v>Sun</v>
      </c>
    </row>
    <row r="946" spans="1:7" ht="14.4" x14ac:dyDescent="0.3">
      <c r="A946" s="22">
        <v>44297</v>
      </c>
      <c r="B946" s="23" t="s">
        <v>48</v>
      </c>
      <c r="C946" s="23" t="s">
        <v>98</v>
      </c>
      <c r="D946" s="24">
        <v>3</v>
      </c>
      <c r="E946" s="17">
        <f>VLOOKUP(B946,'SKU Master'!$B$2:$E$31,4,0)</f>
        <v>299</v>
      </c>
      <c r="F946" s="25">
        <f t="shared" si="28"/>
        <v>897</v>
      </c>
      <c r="G946" s="40" t="str">
        <f t="shared" si="29"/>
        <v>Sun</v>
      </c>
    </row>
    <row r="947" spans="1:7" ht="14.4" x14ac:dyDescent="0.3">
      <c r="A947" s="22">
        <v>44297</v>
      </c>
      <c r="B947" s="23" t="s">
        <v>51</v>
      </c>
      <c r="C947" s="23" t="s">
        <v>98</v>
      </c>
      <c r="D947" s="24">
        <v>3</v>
      </c>
      <c r="E947" s="17">
        <f>VLOOKUP(B947,'SKU Master'!$B$2:$E$31,4,0)</f>
        <v>901</v>
      </c>
      <c r="F947" s="25">
        <f t="shared" si="28"/>
        <v>2703</v>
      </c>
      <c r="G947" s="40" t="str">
        <f t="shared" si="29"/>
        <v>Sun</v>
      </c>
    </row>
    <row r="948" spans="1:7" ht="14.4" x14ac:dyDescent="0.3">
      <c r="A948" s="22">
        <v>44297</v>
      </c>
      <c r="B948" s="23" t="s">
        <v>54</v>
      </c>
      <c r="C948" s="23" t="s">
        <v>98</v>
      </c>
      <c r="D948" s="24">
        <v>2</v>
      </c>
      <c r="E948" s="17">
        <f>VLOOKUP(B948,'SKU Master'!$B$2:$E$31,4,0)</f>
        <v>929</v>
      </c>
      <c r="F948" s="25">
        <f t="shared" si="28"/>
        <v>1858</v>
      </c>
      <c r="G948" s="40" t="str">
        <f t="shared" si="29"/>
        <v>Sun</v>
      </c>
    </row>
    <row r="949" spans="1:7" ht="14.4" x14ac:dyDescent="0.3">
      <c r="A949" s="22">
        <v>44297</v>
      </c>
      <c r="B949" s="23" t="s">
        <v>57</v>
      </c>
      <c r="C949" s="23" t="s">
        <v>98</v>
      </c>
      <c r="D949" s="24">
        <v>0</v>
      </c>
      <c r="E949" s="17">
        <f>VLOOKUP(B949,'SKU Master'!$B$2:$E$31,4,0)</f>
        <v>1030</v>
      </c>
      <c r="F949" s="25">
        <f t="shared" si="28"/>
        <v>0</v>
      </c>
      <c r="G949" s="40" t="str">
        <f t="shared" si="29"/>
        <v>Sun</v>
      </c>
    </row>
    <row r="950" spans="1:7" ht="14.4" x14ac:dyDescent="0.3">
      <c r="A950" s="22">
        <v>44297</v>
      </c>
      <c r="B950" s="23" t="s">
        <v>60</v>
      </c>
      <c r="C950" s="23" t="s">
        <v>98</v>
      </c>
      <c r="D950" s="24">
        <v>0</v>
      </c>
      <c r="E950" s="17">
        <f>VLOOKUP(B950,'SKU Master'!$B$2:$E$31,4,0)</f>
        <v>1222</v>
      </c>
      <c r="F950" s="25">
        <f t="shared" si="28"/>
        <v>0</v>
      </c>
      <c r="G950" s="40" t="str">
        <f t="shared" si="29"/>
        <v>Sun</v>
      </c>
    </row>
    <row r="951" spans="1:7" ht="14.4" x14ac:dyDescent="0.3">
      <c r="A951" s="22">
        <v>44297</v>
      </c>
      <c r="B951" s="23" t="s">
        <v>63</v>
      </c>
      <c r="C951" s="23" t="s">
        <v>98</v>
      </c>
      <c r="D951" s="24">
        <v>0</v>
      </c>
      <c r="E951" s="17">
        <f>VLOOKUP(B951,'SKU Master'!$B$2:$E$31,4,0)</f>
        <v>649</v>
      </c>
      <c r="F951" s="25">
        <f t="shared" si="28"/>
        <v>0</v>
      </c>
      <c r="G951" s="40" t="str">
        <f t="shared" si="29"/>
        <v>Sun</v>
      </c>
    </row>
    <row r="952" spans="1:7" ht="14.4" x14ac:dyDescent="0.3">
      <c r="A952" s="22">
        <v>44297</v>
      </c>
      <c r="B952" s="23" t="s">
        <v>67</v>
      </c>
      <c r="C952" s="23" t="s">
        <v>98</v>
      </c>
      <c r="D952" s="24">
        <v>20</v>
      </c>
      <c r="E952" s="17">
        <f>VLOOKUP(B952,'SKU Master'!$B$2:$E$31,4,0)</f>
        <v>1800</v>
      </c>
      <c r="F952" s="25">
        <f t="shared" si="28"/>
        <v>36000</v>
      </c>
      <c r="G952" s="40" t="str">
        <f t="shared" si="29"/>
        <v>Sun</v>
      </c>
    </row>
    <row r="953" spans="1:7" ht="14.4" x14ac:dyDescent="0.3">
      <c r="A953" s="22">
        <v>44297</v>
      </c>
      <c r="B953" s="23" t="s">
        <v>70</v>
      </c>
      <c r="C953" s="23" t="s">
        <v>98</v>
      </c>
      <c r="D953" s="24">
        <v>8</v>
      </c>
      <c r="E953" s="17">
        <f>VLOOKUP(B953,'SKU Master'!$B$2:$E$31,4,0)</f>
        <v>345</v>
      </c>
      <c r="F953" s="25">
        <f t="shared" si="28"/>
        <v>2760</v>
      </c>
      <c r="G953" s="40" t="str">
        <f t="shared" si="29"/>
        <v>Sun</v>
      </c>
    </row>
    <row r="954" spans="1:7" ht="14.4" x14ac:dyDescent="0.3">
      <c r="A954" s="22">
        <v>44297</v>
      </c>
      <c r="B954" s="23" t="s">
        <v>73</v>
      </c>
      <c r="C954" s="23" t="s">
        <v>98</v>
      </c>
      <c r="D954" s="24">
        <v>6</v>
      </c>
      <c r="E954" s="17">
        <f>VLOOKUP(B954,'SKU Master'!$B$2:$E$31,4,0)</f>
        <v>350</v>
      </c>
      <c r="F954" s="25">
        <f t="shared" si="28"/>
        <v>2100</v>
      </c>
      <c r="G954" s="40" t="str">
        <f t="shared" si="29"/>
        <v>Sun</v>
      </c>
    </row>
    <row r="955" spans="1:7" ht="14.4" x14ac:dyDescent="0.3">
      <c r="A955" s="22">
        <v>44297</v>
      </c>
      <c r="B955" s="23" t="s">
        <v>76</v>
      </c>
      <c r="C955" s="23" t="s">
        <v>98</v>
      </c>
      <c r="D955" s="24">
        <v>5</v>
      </c>
      <c r="E955" s="17">
        <f>VLOOKUP(B955,'SKU Master'!$B$2:$E$31,4,0)</f>
        <v>1575</v>
      </c>
      <c r="F955" s="25">
        <f t="shared" si="28"/>
        <v>7875</v>
      </c>
      <c r="G955" s="40" t="str">
        <f t="shared" si="29"/>
        <v>Sun</v>
      </c>
    </row>
    <row r="956" spans="1:7" ht="14.4" x14ac:dyDescent="0.3">
      <c r="A956" s="22">
        <v>44297</v>
      </c>
      <c r="B956" s="23" t="s">
        <v>78</v>
      </c>
      <c r="C956" s="23" t="s">
        <v>98</v>
      </c>
      <c r="D956" s="24">
        <v>2</v>
      </c>
      <c r="E956" s="17">
        <f>VLOOKUP(B956,'SKU Master'!$B$2:$E$31,4,0)</f>
        <v>1045</v>
      </c>
      <c r="F956" s="25">
        <f t="shared" si="28"/>
        <v>2090</v>
      </c>
      <c r="G956" s="40" t="str">
        <f t="shared" si="29"/>
        <v>Sun</v>
      </c>
    </row>
    <row r="957" spans="1:7" ht="14.4" x14ac:dyDescent="0.3">
      <c r="A957" s="22">
        <v>44297</v>
      </c>
      <c r="B957" s="23" t="s">
        <v>81</v>
      </c>
      <c r="C957" s="23" t="s">
        <v>98</v>
      </c>
      <c r="D957" s="24">
        <v>0</v>
      </c>
      <c r="E957" s="17">
        <f>VLOOKUP(B957,'SKU Master'!$B$2:$E$31,4,0)</f>
        <v>1186</v>
      </c>
      <c r="F957" s="25">
        <f t="shared" si="28"/>
        <v>0</v>
      </c>
      <c r="G957" s="40" t="str">
        <f t="shared" si="29"/>
        <v>Sun</v>
      </c>
    </row>
    <row r="958" spans="1:7" ht="14.4" x14ac:dyDescent="0.3">
      <c r="A958" s="22">
        <v>44297</v>
      </c>
      <c r="B958" s="23" t="s">
        <v>84</v>
      </c>
      <c r="C958" s="23" t="s">
        <v>98</v>
      </c>
      <c r="D958" s="24">
        <v>0</v>
      </c>
      <c r="E958" s="17">
        <f>VLOOKUP(B958,'SKU Master'!$B$2:$E$31,4,0)</f>
        <v>374</v>
      </c>
      <c r="F958" s="25">
        <f t="shared" si="28"/>
        <v>0</v>
      </c>
      <c r="G958" s="40" t="str">
        <f t="shared" si="29"/>
        <v>Sun</v>
      </c>
    </row>
    <row r="959" spans="1:7" ht="14.4" x14ac:dyDescent="0.3">
      <c r="A959" s="22">
        <v>44297</v>
      </c>
      <c r="B959" s="23" t="s">
        <v>87</v>
      </c>
      <c r="C959" s="23" t="s">
        <v>98</v>
      </c>
      <c r="D959" s="24">
        <v>0</v>
      </c>
      <c r="E959" s="17">
        <f>VLOOKUP(B959,'SKU Master'!$B$2:$E$31,4,0)</f>
        <v>1500</v>
      </c>
      <c r="F959" s="25">
        <f t="shared" si="28"/>
        <v>0</v>
      </c>
      <c r="G959" s="40" t="str">
        <f t="shared" si="29"/>
        <v>Sun</v>
      </c>
    </row>
    <row r="960" spans="1:7" ht="14.4" x14ac:dyDescent="0.3">
      <c r="A960" s="22">
        <v>44297</v>
      </c>
      <c r="B960" s="23" t="s">
        <v>90</v>
      </c>
      <c r="C960" s="23" t="s">
        <v>98</v>
      </c>
      <c r="D960" s="24">
        <v>0</v>
      </c>
      <c r="E960" s="17">
        <f>VLOOKUP(B960,'SKU Master'!$B$2:$E$31,4,0)</f>
        <v>1800</v>
      </c>
      <c r="F960" s="25">
        <f t="shared" si="28"/>
        <v>0</v>
      </c>
      <c r="G960" s="40" t="str">
        <f t="shared" si="29"/>
        <v>Sun</v>
      </c>
    </row>
    <row r="961" spans="1:7" ht="14.4" x14ac:dyDescent="0.3">
      <c r="A961" s="22">
        <v>44297</v>
      </c>
      <c r="B961" s="23" t="s">
        <v>93</v>
      </c>
      <c r="C961" s="23" t="s">
        <v>98</v>
      </c>
      <c r="D961" s="24">
        <v>0</v>
      </c>
      <c r="E961" s="17">
        <f>VLOOKUP(B961,'SKU Master'!$B$2:$E$31,4,0)</f>
        <v>1477</v>
      </c>
      <c r="F961" s="25">
        <f t="shared" si="28"/>
        <v>0</v>
      </c>
      <c r="G961" s="40" t="str">
        <f t="shared" si="29"/>
        <v>Sun</v>
      </c>
    </row>
    <row r="962" spans="1:7" ht="14.4" x14ac:dyDescent="0.3">
      <c r="A962" s="22">
        <v>44297</v>
      </c>
      <c r="B962" s="23" t="s">
        <v>6</v>
      </c>
      <c r="C962" s="23" t="s">
        <v>97</v>
      </c>
      <c r="D962" s="24">
        <v>11</v>
      </c>
      <c r="E962" s="17">
        <f>VLOOKUP(B962,'SKU Master'!$B$2:$E$31,4,0)</f>
        <v>210</v>
      </c>
      <c r="F962" s="25">
        <f t="shared" si="28"/>
        <v>2310</v>
      </c>
      <c r="G962" s="40" t="str">
        <f t="shared" si="29"/>
        <v>Sun</v>
      </c>
    </row>
    <row r="963" spans="1:7" ht="14.4" x14ac:dyDescent="0.3">
      <c r="A963" s="22">
        <v>44297</v>
      </c>
      <c r="B963" s="23" t="s">
        <v>9</v>
      </c>
      <c r="C963" s="23" t="s">
        <v>97</v>
      </c>
      <c r="D963" s="24">
        <v>6</v>
      </c>
      <c r="E963" s="17">
        <f>VLOOKUP(B963,'SKU Master'!$B$2:$E$31,4,0)</f>
        <v>199</v>
      </c>
      <c r="F963" s="25">
        <f t="shared" ref="F963:F1026" si="30">D963*E963</f>
        <v>1194</v>
      </c>
      <c r="G963" s="40" t="str">
        <f t="shared" si="29"/>
        <v>Sun</v>
      </c>
    </row>
    <row r="964" spans="1:7" ht="14.4" x14ac:dyDescent="0.3">
      <c r="A964" s="22">
        <v>44297</v>
      </c>
      <c r="B964" s="23" t="s">
        <v>12</v>
      </c>
      <c r="C964" s="23" t="s">
        <v>97</v>
      </c>
      <c r="D964" s="24">
        <v>5</v>
      </c>
      <c r="E964" s="17">
        <f>VLOOKUP(B964,'SKU Master'!$B$2:$E$31,4,0)</f>
        <v>322</v>
      </c>
      <c r="F964" s="25">
        <f t="shared" si="30"/>
        <v>1610</v>
      </c>
      <c r="G964" s="40" t="str">
        <f t="shared" ref="G964:G1027" si="31">CHOOSE(WEEKDAY(A964),"Sun","Mon","Tue","Wed","Thu","Fri","Sat")</f>
        <v>Sun</v>
      </c>
    </row>
    <row r="965" spans="1:7" ht="14.4" x14ac:dyDescent="0.3">
      <c r="A965" s="22">
        <v>44297</v>
      </c>
      <c r="B965" s="23" t="s">
        <v>15</v>
      </c>
      <c r="C965" s="23" t="s">
        <v>97</v>
      </c>
      <c r="D965" s="24">
        <v>3</v>
      </c>
      <c r="E965" s="17">
        <f>VLOOKUP(B965,'SKU Master'!$B$2:$E$31,4,0)</f>
        <v>161</v>
      </c>
      <c r="F965" s="25">
        <f t="shared" si="30"/>
        <v>483</v>
      </c>
      <c r="G965" s="40" t="str">
        <f t="shared" si="31"/>
        <v>Sun</v>
      </c>
    </row>
    <row r="966" spans="1:7" ht="14.4" x14ac:dyDescent="0.3">
      <c r="A966" s="22">
        <v>44297</v>
      </c>
      <c r="B966" s="23" t="s">
        <v>17</v>
      </c>
      <c r="C966" s="23" t="s">
        <v>97</v>
      </c>
      <c r="D966" s="24">
        <v>3</v>
      </c>
      <c r="E966" s="17">
        <f>VLOOKUP(B966,'SKU Master'!$B$2:$E$31,4,0)</f>
        <v>109</v>
      </c>
      <c r="F966" s="25">
        <f t="shared" si="30"/>
        <v>327</v>
      </c>
      <c r="G966" s="40" t="str">
        <f t="shared" si="31"/>
        <v>Sun</v>
      </c>
    </row>
    <row r="967" spans="1:7" ht="14.4" x14ac:dyDescent="0.3">
      <c r="A967" s="22">
        <v>44297</v>
      </c>
      <c r="B967" s="23" t="s">
        <v>20</v>
      </c>
      <c r="C967" s="23" t="s">
        <v>97</v>
      </c>
      <c r="D967" s="24">
        <v>2</v>
      </c>
      <c r="E967" s="17">
        <f>VLOOKUP(B967,'SKU Master'!$B$2:$E$31,4,0)</f>
        <v>122</v>
      </c>
      <c r="F967" s="25">
        <f t="shared" si="30"/>
        <v>244</v>
      </c>
      <c r="G967" s="40" t="str">
        <f t="shared" si="31"/>
        <v>Sun</v>
      </c>
    </row>
    <row r="968" spans="1:7" ht="14.4" x14ac:dyDescent="0.3">
      <c r="A968" s="22">
        <v>44297</v>
      </c>
      <c r="B968" s="23" t="s">
        <v>23</v>
      </c>
      <c r="C968" s="23" t="s">
        <v>97</v>
      </c>
      <c r="D968" s="24">
        <v>2</v>
      </c>
      <c r="E968" s="17">
        <f>VLOOKUP(B968,'SKU Master'!$B$2:$E$31,4,0)</f>
        <v>96</v>
      </c>
      <c r="F968" s="25">
        <f t="shared" si="30"/>
        <v>192</v>
      </c>
      <c r="G968" s="40" t="str">
        <f t="shared" si="31"/>
        <v>Sun</v>
      </c>
    </row>
    <row r="969" spans="1:7" ht="14.4" x14ac:dyDescent="0.3">
      <c r="A969" s="22">
        <v>44297</v>
      </c>
      <c r="B969" s="23" t="s">
        <v>26</v>
      </c>
      <c r="C969" s="23" t="s">
        <v>97</v>
      </c>
      <c r="D969" s="24">
        <v>0</v>
      </c>
      <c r="E969" s="17">
        <f>VLOOKUP(B969,'SKU Master'!$B$2:$E$31,4,0)</f>
        <v>73</v>
      </c>
      <c r="F969" s="25">
        <f t="shared" si="30"/>
        <v>0</v>
      </c>
      <c r="G969" s="40" t="str">
        <f t="shared" si="31"/>
        <v>Sun</v>
      </c>
    </row>
    <row r="970" spans="1:7" ht="14.4" x14ac:dyDescent="0.3">
      <c r="A970" s="22">
        <v>44297</v>
      </c>
      <c r="B970" s="23" t="s">
        <v>29</v>
      </c>
      <c r="C970" s="23" t="s">
        <v>97</v>
      </c>
      <c r="D970" s="24">
        <v>2</v>
      </c>
      <c r="E970" s="17">
        <f>VLOOKUP(B970,'SKU Master'!$B$2:$E$31,4,0)</f>
        <v>225</v>
      </c>
      <c r="F970" s="25">
        <f t="shared" si="30"/>
        <v>450</v>
      </c>
      <c r="G970" s="40" t="str">
        <f t="shared" si="31"/>
        <v>Sun</v>
      </c>
    </row>
    <row r="971" spans="1:7" ht="14.4" x14ac:dyDescent="0.3">
      <c r="A971" s="22">
        <v>44297</v>
      </c>
      <c r="B971" s="23" t="s">
        <v>32</v>
      </c>
      <c r="C971" s="23" t="s">
        <v>97</v>
      </c>
      <c r="D971" s="24">
        <v>2</v>
      </c>
      <c r="E971" s="17">
        <f>VLOOKUP(B971,'SKU Master'!$B$2:$E$31,4,0)</f>
        <v>559</v>
      </c>
      <c r="F971" s="25">
        <f t="shared" si="30"/>
        <v>1118</v>
      </c>
      <c r="G971" s="40" t="str">
        <f t="shared" si="31"/>
        <v>Sun</v>
      </c>
    </row>
    <row r="972" spans="1:7" ht="14.4" x14ac:dyDescent="0.3">
      <c r="A972" s="22">
        <v>44297</v>
      </c>
      <c r="B972" s="23" t="s">
        <v>36</v>
      </c>
      <c r="C972" s="23" t="s">
        <v>97</v>
      </c>
      <c r="D972" s="24">
        <v>21</v>
      </c>
      <c r="E972" s="17">
        <f>VLOOKUP(B972,'SKU Master'!$B$2:$E$31,4,0)</f>
        <v>3199</v>
      </c>
      <c r="F972" s="25">
        <f t="shared" si="30"/>
        <v>67179</v>
      </c>
      <c r="G972" s="40" t="str">
        <f t="shared" si="31"/>
        <v>Sun</v>
      </c>
    </row>
    <row r="973" spans="1:7" ht="14.4" x14ac:dyDescent="0.3">
      <c r="A973" s="22">
        <v>44297</v>
      </c>
      <c r="B973" s="23" t="s">
        <v>39</v>
      </c>
      <c r="C973" s="23" t="s">
        <v>97</v>
      </c>
      <c r="D973" s="24">
        <v>1</v>
      </c>
      <c r="E973" s="17">
        <f>VLOOKUP(B973,'SKU Master'!$B$2:$E$31,4,0)</f>
        <v>371</v>
      </c>
      <c r="F973" s="25">
        <f t="shared" si="30"/>
        <v>371</v>
      </c>
      <c r="G973" s="40" t="str">
        <f t="shared" si="31"/>
        <v>Sun</v>
      </c>
    </row>
    <row r="974" spans="1:7" ht="14.4" x14ac:dyDescent="0.3">
      <c r="A974" s="22">
        <v>44297</v>
      </c>
      <c r="B974" s="23" t="s">
        <v>42</v>
      </c>
      <c r="C974" s="23" t="s">
        <v>97</v>
      </c>
      <c r="D974" s="24">
        <v>10</v>
      </c>
      <c r="E974" s="17">
        <f>VLOOKUP(B974,'SKU Master'!$B$2:$E$31,4,0)</f>
        <v>2300</v>
      </c>
      <c r="F974" s="25">
        <f t="shared" si="30"/>
        <v>23000</v>
      </c>
      <c r="G974" s="40" t="str">
        <f t="shared" si="31"/>
        <v>Sun</v>
      </c>
    </row>
    <row r="975" spans="1:7" ht="14.4" x14ac:dyDescent="0.3">
      <c r="A975" s="22">
        <v>44297</v>
      </c>
      <c r="B975" s="23" t="s">
        <v>45</v>
      </c>
      <c r="C975" s="23" t="s">
        <v>97</v>
      </c>
      <c r="D975" s="24">
        <v>5</v>
      </c>
      <c r="E975" s="17">
        <f>VLOOKUP(B975,'SKU Master'!$B$2:$E$31,4,0)</f>
        <v>499</v>
      </c>
      <c r="F975" s="25">
        <f t="shared" si="30"/>
        <v>2495</v>
      </c>
      <c r="G975" s="40" t="str">
        <f t="shared" si="31"/>
        <v>Sun</v>
      </c>
    </row>
    <row r="976" spans="1:7" ht="14.4" x14ac:dyDescent="0.3">
      <c r="A976" s="22">
        <v>44297</v>
      </c>
      <c r="B976" s="23" t="s">
        <v>48</v>
      </c>
      <c r="C976" s="23" t="s">
        <v>97</v>
      </c>
      <c r="D976" s="24">
        <v>3</v>
      </c>
      <c r="E976" s="17">
        <f>VLOOKUP(B976,'SKU Master'!$B$2:$E$31,4,0)</f>
        <v>299</v>
      </c>
      <c r="F976" s="25">
        <f t="shared" si="30"/>
        <v>897</v>
      </c>
      <c r="G976" s="40" t="str">
        <f t="shared" si="31"/>
        <v>Sun</v>
      </c>
    </row>
    <row r="977" spans="1:7" ht="14.4" x14ac:dyDescent="0.3">
      <c r="A977" s="22">
        <v>44297</v>
      </c>
      <c r="B977" s="23" t="s">
        <v>51</v>
      </c>
      <c r="C977" s="23" t="s">
        <v>97</v>
      </c>
      <c r="D977" s="24">
        <v>1</v>
      </c>
      <c r="E977" s="17">
        <f>VLOOKUP(B977,'SKU Master'!$B$2:$E$31,4,0)</f>
        <v>901</v>
      </c>
      <c r="F977" s="25">
        <f t="shared" si="30"/>
        <v>901</v>
      </c>
      <c r="G977" s="40" t="str">
        <f t="shared" si="31"/>
        <v>Sun</v>
      </c>
    </row>
    <row r="978" spans="1:7" ht="14.4" x14ac:dyDescent="0.3">
      <c r="A978" s="22">
        <v>44297</v>
      </c>
      <c r="B978" s="23" t="s">
        <v>54</v>
      </c>
      <c r="C978" s="23" t="s">
        <v>97</v>
      </c>
      <c r="D978" s="24">
        <v>3</v>
      </c>
      <c r="E978" s="17">
        <f>VLOOKUP(B978,'SKU Master'!$B$2:$E$31,4,0)</f>
        <v>929</v>
      </c>
      <c r="F978" s="25">
        <f t="shared" si="30"/>
        <v>2787</v>
      </c>
      <c r="G978" s="40" t="str">
        <f t="shared" si="31"/>
        <v>Sun</v>
      </c>
    </row>
    <row r="979" spans="1:7" ht="14.4" x14ac:dyDescent="0.3">
      <c r="A979" s="22">
        <v>44297</v>
      </c>
      <c r="B979" s="23" t="s">
        <v>57</v>
      </c>
      <c r="C979" s="23" t="s">
        <v>97</v>
      </c>
      <c r="D979" s="24">
        <v>1</v>
      </c>
      <c r="E979" s="17">
        <f>VLOOKUP(B979,'SKU Master'!$B$2:$E$31,4,0)</f>
        <v>1030</v>
      </c>
      <c r="F979" s="25">
        <f t="shared" si="30"/>
        <v>1030</v>
      </c>
      <c r="G979" s="40" t="str">
        <f t="shared" si="31"/>
        <v>Sun</v>
      </c>
    </row>
    <row r="980" spans="1:7" ht="14.4" x14ac:dyDescent="0.3">
      <c r="A980" s="22">
        <v>44297</v>
      </c>
      <c r="B980" s="23" t="s">
        <v>60</v>
      </c>
      <c r="C980" s="23" t="s">
        <v>97</v>
      </c>
      <c r="D980" s="24">
        <v>1</v>
      </c>
      <c r="E980" s="17">
        <f>VLOOKUP(B980,'SKU Master'!$B$2:$E$31,4,0)</f>
        <v>1222</v>
      </c>
      <c r="F980" s="25">
        <f t="shared" si="30"/>
        <v>1222</v>
      </c>
      <c r="G980" s="40" t="str">
        <f t="shared" si="31"/>
        <v>Sun</v>
      </c>
    </row>
    <row r="981" spans="1:7" ht="14.4" x14ac:dyDescent="0.3">
      <c r="A981" s="22">
        <v>44297</v>
      </c>
      <c r="B981" s="23" t="s">
        <v>63</v>
      </c>
      <c r="C981" s="23" t="s">
        <v>97</v>
      </c>
      <c r="D981" s="24">
        <v>2</v>
      </c>
      <c r="E981" s="17">
        <f>VLOOKUP(B981,'SKU Master'!$B$2:$E$31,4,0)</f>
        <v>649</v>
      </c>
      <c r="F981" s="25">
        <f t="shared" si="30"/>
        <v>1298</v>
      </c>
      <c r="G981" s="40" t="str">
        <f t="shared" si="31"/>
        <v>Sun</v>
      </c>
    </row>
    <row r="982" spans="1:7" ht="14.4" x14ac:dyDescent="0.3">
      <c r="A982" s="22">
        <v>44297</v>
      </c>
      <c r="B982" s="23" t="s">
        <v>67</v>
      </c>
      <c r="C982" s="23" t="s">
        <v>97</v>
      </c>
      <c r="D982" s="24">
        <v>12</v>
      </c>
      <c r="E982" s="17">
        <f>VLOOKUP(B982,'SKU Master'!$B$2:$E$31,4,0)</f>
        <v>1800</v>
      </c>
      <c r="F982" s="25">
        <f t="shared" si="30"/>
        <v>21600</v>
      </c>
      <c r="G982" s="40" t="str">
        <f t="shared" si="31"/>
        <v>Sun</v>
      </c>
    </row>
    <row r="983" spans="1:7" ht="14.4" x14ac:dyDescent="0.3">
      <c r="A983" s="22">
        <v>44297</v>
      </c>
      <c r="B983" s="23" t="s">
        <v>70</v>
      </c>
      <c r="C983" s="23" t="s">
        <v>97</v>
      </c>
      <c r="D983" s="24">
        <v>8</v>
      </c>
      <c r="E983" s="17">
        <f>VLOOKUP(B983,'SKU Master'!$B$2:$E$31,4,0)</f>
        <v>345</v>
      </c>
      <c r="F983" s="25">
        <f t="shared" si="30"/>
        <v>2760</v>
      </c>
      <c r="G983" s="40" t="str">
        <f t="shared" si="31"/>
        <v>Sun</v>
      </c>
    </row>
    <row r="984" spans="1:7" ht="14.4" x14ac:dyDescent="0.3">
      <c r="A984" s="22">
        <v>44297</v>
      </c>
      <c r="B984" s="23" t="s">
        <v>73</v>
      </c>
      <c r="C984" s="23" t="s">
        <v>97</v>
      </c>
      <c r="D984" s="24">
        <v>4</v>
      </c>
      <c r="E984" s="17">
        <f>VLOOKUP(B984,'SKU Master'!$B$2:$E$31,4,0)</f>
        <v>350</v>
      </c>
      <c r="F984" s="25">
        <f t="shared" si="30"/>
        <v>1400</v>
      </c>
      <c r="G984" s="40" t="str">
        <f t="shared" si="31"/>
        <v>Sun</v>
      </c>
    </row>
    <row r="985" spans="1:7" ht="14.4" x14ac:dyDescent="0.3">
      <c r="A985" s="22">
        <v>44297</v>
      </c>
      <c r="B985" s="23" t="s">
        <v>76</v>
      </c>
      <c r="C985" s="23" t="s">
        <v>97</v>
      </c>
      <c r="D985" s="24">
        <v>3</v>
      </c>
      <c r="E985" s="17">
        <f>VLOOKUP(B985,'SKU Master'!$B$2:$E$31,4,0)</f>
        <v>1575</v>
      </c>
      <c r="F985" s="25">
        <f t="shared" si="30"/>
        <v>4725</v>
      </c>
      <c r="G985" s="40" t="str">
        <f t="shared" si="31"/>
        <v>Sun</v>
      </c>
    </row>
    <row r="986" spans="1:7" ht="14.4" x14ac:dyDescent="0.3">
      <c r="A986" s="22">
        <v>44297</v>
      </c>
      <c r="B986" s="23" t="s">
        <v>78</v>
      </c>
      <c r="C986" s="23" t="s">
        <v>97</v>
      </c>
      <c r="D986" s="24">
        <v>5</v>
      </c>
      <c r="E986" s="17">
        <f>VLOOKUP(B986,'SKU Master'!$B$2:$E$31,4,0)</f>
        <v>1045</v>
      </c>
      <c r="F986" s="25">
        <f t="shared" si="30"/>
        <v>5225</v>
      </c>
      <c r="G986" s="40" t="str">
        <f t="shared" si="31"/>
        <v>Sun</v>
      </c>
    </row>
    <row r="987" spans="1:7" ht="14.4" x14ac:dyDescent="0.3">
      <c r="A987" s="22">
        <v>44297</v>
      </c>
      <c r="B987" s="23" t="s">
        <v>81</v>
      </c>
      <c r="C987" s="23" t="s">
        <v>97</v>
      </c>
      <c r="D987" s="24">
        <v>5</v>
      </c>
      <c r="E987" s="17">
        <f>VLOOKUP(B987,'SKU Master'!$B$2:$E$31,4,0)</f>
        <v>1186</v>
      </c>
      <c r="F987" s="25">
        <f t="shared" si="30"/>
        <v>5930</v>
      </c>
      <c r="G987" s="40" t="str">
        <f t="shared" si="31"/>
        <v>Sun</v>
      </c>
    </row>
    <row r="988" spans="1:7" ht="14.4" x14ac:dyDescent="0.3">
      <c r="A988" s="22">
        <v>44297</v>
      </c>
      <c r="B988" s="23" t="s">
        <v>84</v>
      </c>
      <c r="C988" s="23" t="s">
        <v>97</v>
      </c>
      <c r="D988" s="24">
        <v>3</v>
      </c>
      <c r="E988" s="17">
        <f>VLOOKUP(B988,'SKU Master'!$B$2:$E$31,4,0)</f>
        <v>374</v>
      </c>
      <c r="F988" s="25">
        <f t="shared" si="30"/>
        <v>1122</v>
      </c>
      <c r="G988" s="40" t="str">
        <f t="shared" si="31"/>
        <v>Sun</v>
      </c>
    </row>
    <row r="989" spans="1:7" ht="14.4" x14ac:dyDescent="0.3">
      <c r="A989" s="22">
        <v>44297</v>
      </c>
      <c r="B989" s="23" t="s">
        <v>87</v>
      </c>
      <c r="C989" s="23" t="s">
        <v>97</v>
      </c>
      <c r="D989" s="24">
        <v>2</v>
      </c>
      <c r="E989" s="17">
        <f>VLOOKUP(B989,'SKU Master'!$B$2:$E$31,4,0)</f>
        <v>1500</v>
      </c>
      <c r="F989" s="25">
        <f t="shared" si="30"/>
        <v>3000</v>
      </c>
      <c r="G989" s="40" t="str">
        <f t="shared" si="31"/>
        <v>Sun</v>
      </c>
    </row>
    <row r="990" spans="1:7" ht="14.4" x14ac:dyDescent="0.3">
      <c r="A990" s="22">
        <v>44297</v>
      </c>
      <c r="B990" s="23" t="s">
        <v>90</v>
      </c>
      <c r="C990" s="23" t="s">
        <v>97</v>
      </c>
      <c r="D990" s="24">
        <v>2</v>
      </c>
      <c r="E990" s="17">
        <f>VLOOKUP(B990,'SKU Master'!$B$2:$E$31,4,0)</f>
        <v>1800</v>
      </c>
      <c r="F990" s="25">
        <f t="shared" si="30"/>
        <v>3600</v>
      </c>
      <c r="G990" s="40" t="str">
        <f t="shared" si="31"/>
        <v>Sun</v>
      </c>
    </row>
    <row r="991" spans="1:7" ht="14.4" x14ac:dyDescent="0.3">
      <c r="A991" s="22">
        <v>44297</v>
      </c>
      <c r="B991" s="23" t="s">
        <v>93</v>
      </c>
      <c r="C991" s="23" t="s">
        <v>97</v>
      </c>
      <c r="D991" s="24">
        <v>0</v>
      </c>
      <c r="E991" s="17">
        <f>VLOOKUP(B991,'SKU Master'!$B$2:$E$31,4,0)</f>
        <v>1477</v>
      </c>
      <c r="F991" s="25">
        <f t="shared" si="30"/>
        <v>0</v>
      </c>
      <c r="G991" s="40" t="str">
        <f t="shared" si="31"/>
        <v>Sun</v>
      </c>
    </row>
    <row r="992" spans="1:7" ht="14.4" x14ac:dyDescent="0.3">
      <c r="A992" s="22">
        <v>44298</v>
      </c>
      <c r="B992" s="23" t="s">
        <v>6</v>
      </c>
      <c r="C992" s="23" t="s">
        <v>96</v>
      </c>
      <c r="D992" s="24">
        <v>35</v>
      </c>
      <c r="E992" s="17">
        <f>VLOOKUP(B992,'SKU Master'!$B$2:$E$31,4,0)</f>
        <v>210</v>
      </c>
      <c r="F992" s="25">
        <f t="shared" si="30"/>
        <v>7350</v>
      </c>
      <c r="G992" s="40" t="str">
        <f t="shared" si="31"/>
        <v>Mon</v>
      </c>
    </row>
    <row r="993" spans="1:7" ht="14.4" x14ac:dyDescent="0.3">
      <c r="A993" s="22">
        <v>44298</v>
      </c>
      <c r="B993" s="23" t="s">
        <v>9</v>
      </c>
      <c r="C993" s="23" t="s">
        <v>96</v>
      </c>
      <c r="D993" s="24">
        <v>12</v>
      </c>
      <c r="E993" s="17">
        <f>VLOOKUP(B993,'SKU Master'!$B$2:$E$31,4,0)</f>
        <v>199</v>
      </c>
      <c r="F993" s="25">
        <f t="shared" si="30"/>
        <v>2388</v>
      </c>
      <c r="G993" s="40" t="str">
        <f t="shared" si="31"/>
        <v>Mon</v>
      </c>
    </row>
    <row r="994" spans="1:7" ht="14.4" x14ac:dyDescent="0.3">
      <c r="A994" s="22">
        <v>44298</v>
      </c>
      <c r="B994" s="23" t="s">
        <v>12</v>
      </c>
      <c r="C994" s="23" t="s">
        <v>96</v>
      </c>
      <c r="D994" s="24">
        <v>10</v>
      </c>
      <c r="E994" s="17">
        <f>VLOOKUP(B994,'SKU Master'!$B$2:$E$31,4,0)</f>
        <v>322</v>
      </c>
      <c r="F994" s="25">
        <f t="shared" si="30"/>
        <v>3220</v>
      </c>
      <c r="G994" s="40" t="str">
        <f t="shared" si="31"/>
        <v>Mon</v>
      </c>
    </row>
    <row r="995" spans="1:7" ht="14.4" x14ac:dyDescent="0.3">
      <c r="A995" s="22">
        <v>44298</v>
      </c>
      <c r="B995" s="23" t="s">
        <v>15</v>
      </c>
      <c r="C995" s="23" t="s">
        <v>96</v>
      </c>
      <c r="D995" s="24">
        <v>8</v>
      </c>
      <c r="E995" s="17">
        <f>VLOOKUP(B995,'SKU Master'!$B$2:$E$31,4,0)</f>
        <v>161</v>
      </c>
      <c r="F995" s="25">
        <f t="shared" si="30"/>
        <v>1288</v>
      </c>
      <c r="G995" s="40" t="str">
        <f t="shared" si="31"/>
        <v>Mon</v>
      </c>
    </row>
    <row r="996" spans="1:7" ht="14.4" x14ac:dyDescent="0.3">
      <c r="A996" s="22">
        <v>44298</v>
      </c>
      <c r="B996" s="23" t="s">
        <v>17</v>
      </c>
      <c r="C996" s="23" t="s">
        <v>96</v>
      </c>
      <c r="D996" s="24">
        <v>4</v>
      </c>
      <c r="E996" s="17">
        <f>VLOOKUP(B996,'SKU Master'!$B$2:$E$31,4,0)</f>
        <v>109</v>
      </c>
      <c r="F996" s="25">
        <f t="shared" si="30"/>
        <v>436</v>
      </c>
      <c r="G996" s="40" t="str">
        <f t="shared" si="31"/>
        <v>Mon</v>
      </c>
    </row>
    <row r="997" spans="1:7" ht="14.4" x14ac:dyDescent="0.3">
      <c r="A997" s="22">
        <v>44298</v>
      </c>
      <c r="B997" s="23" t="s">
        <v>20</v>
      </c>
      <c r="C997" s="23" t="s">
        <v>96</v>
      </c>
      <c r="D997" s="24">
        <v>2</v>
      </c>
      <c r="E997" s="17">
        <f>VLOOKUP(B997,'SKU Master'!$B$2:$E$31,4,0)</f>
        <v>122</v>
      </c>
      <c r="F997" s="25">
        <f t="shared" si="30"/>
        <v>244</v>
      </c>
      <c r="G997" s="40" t="str">
        <f t="shared" si="31"/>
        <v>Mon</v>
      </c>
    </row>
    <row r="998" spans="1:7" ht="14.4" x14ac:dyDescent="0.3">
      <c r="A998" s="22">
        <v>44298</v>
      </c>
      <c r="B998" s="23" t="s">
        <v>23</v>
      </c>
      <c r="C998" s="23" t="s">
        <v>96</v>
      </c>
      <c r="D998" s="24">
        <v>5</v>
      </c>
      <c r="E998" s="17">
        <f>VLOOKUP(B998,'SKU Master'!$B$2:$E$31,4,0)</f>
        <v>96</v>
      </c>
      <c r="F998" s="25">
        <f t="shared" si="30"/>
        <v>480</v>
      </c>
      <c r="G998" s="40" t="str">
        <f t="shared" si="31"/>
        <v>Mon</v>
      </c>
    </row>
    <row r="999" spans="1:7" ht="14.4" x14ac:dyDescent="0.3">
      <c r="A999" s="22">
        <v>44298</v>
      </c>
      <c r="B999" s="23" t="s">
        <v>26</v>
      </c>
      <c r="C999" s="23" t="s">
        <v>96</v>
      </c>
      <c r="D999" s="24">
        <v>0</v>
      </c>
      <c r="E999" s="17">
        <f>VLOOKUP(B999,'SKU Master'!$B$2:$E$31,4,0)</f>
        <v>73</v>
      </c>
      <c r="F999" s="25">
        <f t="shared" si="30"/>
        <v>0</v>
      </c>
      <c r="G999" s="40" t="str">
        <f t="shared" si="31"/>
        <v>Mon</v>
      </c>
    </row>
    <row r="1000" spans="1:7" ht="14.4" x14ac:dyDescent="0.3">
      <c r="A1000" s="22">
        <v>44298</v>
      </c>
      <c r="B1000" s="23" t="s">
        <v>29</v>
      </c>
      <c r="C1000" s="23" t="s">
        <v>96</v>
      </c>
      <c r="D1000" s="24">
        <v>2</v>
      </c>
      <c r="E1000" s="17">
        <f>VLOOKUP(B1000,'SKU Master'!$B$2:$E$31,4,0)</f>
        <v>225</v>
      </c>
      <c r="F1000" s="25">
        <f t="shared" si="30"/>
        <v>450</v>
      </c>
      <c r="G1000" s="40" t="str">
        <f t="shared" si="31"/>
        <v>Mon</v>
      </c>
    </row>
    <row r="1001" spans="1:7" ht="14.4" x14ac:dyDescent="0.3">
      <c r="A1001" s="22">
        <v>44298</v>
      </c>
      <c r="B1001" s="23" t="s">
        <v>32</v>
      </c>
      <c r="C1001" s="23" t="s">
        <v>96</v>
      </c>
      <c r="D1001" s="24">
        <v>1</v>
      </c>
      <c r="E1001" s="17">
        <f>VLOOKUP(B1001,'SKU Master'!$B$2:$E$31,4,0)</f>
        <v>559</v>
      </c>
      <c r="F1001" s="25">
        <f t="shared" si="30"/>
        <v>559</v>
      </c>
      <c r="G1001" s="40" t="str">
        <f t="shared" si="31"/>
        <v>Mon</v>
      </c>
    </row>
    <row r="1002" spans="1:7" ht="14.4" x14ac:dyDescent="0.3">
      <c r="A1002" s="22">
        <v>44298</v>
      </c>
      <c r="B1002" s="23" t="s">
        <v>36</v>
      </c>
      <c r="C1002" s="23" t="s">
        <v>96</v>
      </c>
      <c r="D1002" s="24">
        <v>25</v>
      </c>
      <c r="E1002" s="17">
        <f>VLOOKUP(B1002,'SKU Master'!$B$2:$E$31,4,0)</f>
        <v>3199</v>
      </c>
      <c r="F1002" s="25">
        <f t="shared" si="30"/>
        <v>79975</v>
      </c>
      <c r="G1002" s="40" t="str">
        <f t="shared" si="31"/>
        <v>Mon</v>
      </c>
    </row>
    <row r="1003" spans="1:7" ht="14.4" x14ac:dyDescent="0.3">
      <c r="A1003" s="22">
        <v>44298</v>
      </c>
      <c r="B1003" s="23" t="s">
        <v>39</v>
      </c>
      <c r="C1003" s="23" t="s">
        <v>96</v>
      </c>
      <c r="D1003" s="24">
        <v>10</v>
      </c>
      <c r="E1003" s="17">
        <f>VLOOKUP(B1003,'SKU Master'!$B$2:$E$31,4,0)</f>
        <v>371</v>
      </c>
      <c r="F1003" s="25">
        <f t="shared" si="30"/>
        <v>3710</v>
      </c>
      <c r="G1003" s="40" t="str">
        <f t="shared" si="31"/>
        <v>Mon</v>
      </c>
    </row>
    <row r="1004" spans="1:7" ht="14.4" x14ac:dyDescent="0.3">
      <c r="A1004" s="22">
        <v>44298</v>
      </c>
      <c r="B1004" s="23" t="s">
        <v>42</v>
      </c>
      <c r="C1004" s="23" t="s">
        <v>96</v>
      </c>
      <c r="D1004" s="24">
        <v>9</v>
      </c>
      <c r="E1004" s="17">
        <f>VLOOKUP(B1004,'SKU Master'!$B$2:$E$31,4,0)</f>
        <v>2300</v>
      </c>
      <c r="F1004" s="25">
        <f t="shared" si="30"/>
        <v>20700</v>
      </c>
      <c r="G1004" s="40" t="str">
        <f t="shared" si="31"/>
        <v>Mon</v>
      </c>
    </row>
    <row r="1005" spans="1:7" ht="14.4" x14ac:dyDescent="0.3">
      <c r="A1005" s="22">
        <v>44298</v>
      </c>
      <c r="B1005" s="23" t="s">
        <v>45</v>
      </c>
      <c r="C1005" s="23" t="s">
        <v>96</v>
      </c>
      <c r="D1005" s="24">
        <v>9</v>
      </c>
      <c r="E1005" s="17">
        <f>VLOOKUP(B1005,'SKU Master'!$B$2:$E$31,4,0)</f>
        <v>499</v>
      </c>
      <c r="F1005" s="25">
        <f t="shared" si="30"/>
        <v>4491</v>
      </c>
      <c r="G1005" s="40" t="str">
        <f t="shared" si="31"/>
        <v>Mon</v>
      </c>
    </row>
    <row r="1006" spans="1:7" ht="14.4" x14ac:dyDescent="0.3">
      <c r="A1006" s="22">
        <v>44298</v>
      </c>
      <c r="B1006" s="23" t="s">
        <v>48</v>
      </c>
      <c r="C1006" s="23" t="s">
        <v>96</v>
      </c>
      <c r="D1006" s="24">
        <v>5</v>
      </c>
      <c r="E1006" s="17">
        <f>VLOOKUP(B1006,'SKU Master'!$B$2:$E$31,4,0)</f>
        <v>299</v>
      </c>
      <c r="F1006" s="25">
        <f t="shared" si="30"/>
        <v>1495</v>
      </c>
      <c r="G1006" s="40" t="str">
        <f t="shared" si="31"/>
        <v>Mon</v>
      </c>
    </row>
    <row r="1007" spans="1:7" ht="14.4" x14ac:dyDescent="0.3">
      <c r="A1007" s="22">
        <v>44298</v>
      </c>
      <c r="B1007" s="23" t="s">
        <v>51</v>
      </c>
      <c r="C1007" s="23" t="s">
        <v>96</v>
      </c>
      <c r="D1007" s="24">
        <v>4</v>
      </c>
      <c r="E1007" s="17">
        <f>VLOOKUP(B1007,'SKU Master'!$B$2:$E$31,4,0)</f>
        <v>901</v>
      </c>
      <c r="F1007" s="25">
        <f t="shared" si="30"/>
        <v>3604</v>
      </c>
      <c r="G1007" s="40" t="str">
        <f t="shared" si="31"/>
        <v>Mon</v>
      </c>
    </row>
    <row r="1008" spans="1:7" ht="14.4" x14ac:dyDescent="0.3">
      <c r="A1008" s="22">
        <v>44298</v>
      </c>
      <c r="B1008" s="23" t="s">
        <v>54</v>
      </c>
      <c r="C1008" s="23" t="s">
        <v>96</v>
      </c>
      <c r="D1008" s="24">
        <v>2</v>
      </c>
      <c r="E1008" s="17">
        <f>VLOOKUP(B1008,'SKU Master'!$B$2:$E$31,4,0)</f>
        <v>929</v>
      </c>
      <c r="F1008" s="25">
        <f t="shared" si="30"/>
        <v>1858</v>
      </c>
      <c r="G1008" s="40" t="str">
        <f t="shared" si="31"/>
        <v>Mon</v>
      </c>
    </row>
    <row r="1009" spans="1:7" ht="14.4" x14ac:dyDescent="0.3">
      <c r="A1009" s="22">
        <v>44298</v>
      </c>
      <c r="B1009" s="23" t="s">
        <v>57</v>
      </c>
      <c r="C1009" s="23" t="s">
        <v>96</v>
      </c>
      <c r="D1009" s="24">
        <v>1</v>
      </c>
      <c r="E1009" s="17">
        <f>VLOOKUP(B1009,'SKU Master'!$B$2:$E$31,4,0)</f>
        <v>1030</v>
      </c>
      <c r="F1009" s="25">
        <f t="shared" si="30"/>
        <v>1030</v>
      </c>
      <c r="G1009" s="40" t="str">
        <f t="shared" si="31"/>
        <v>Mon</v>
      </c>
    </row>
    <row r="1010" spans="1:7" ht="14.4" x14ac:dyDescent="0.3">
      <c r="A1010" s="22">
        <v>44298</v>
      </c>
      <c r="B1010" s="23" t="s">
        <v>60</v>
      </c>
      <c r="C1010" s="23" t="s">
        <v>96</v>
      </c>
      <c r="D1010" s="24">
        <v>1</v>
      </c>
      <c r="E1010" s="17">
        <f>VLOOKUP(B1010,'SKU Master'!$B$2:$E$31,4,0)</f>
        <v>1222</v>
      </c>
      <c r="F1010" s="25">
        <f t="shared" si="30"/>
        <v>1222</v>
      </c>
      <c r="G1010" s="40" t="str">
        <f t="shared" si="31"/>
        <v>Mon</v>
      </c>
    </row>
    <row r="1011" spans="1:7" ht="14.4" x14ac:dyDescent="0.3">
      <c r="A1011" s="22">
        <v>44298</v>
      </c>
      <c r="B1011" s="23" t="s">
        <v>63</v>
      </c>
      <c r="C1011" s="23" t="s">
        <v>96</v>
      </c>
      <c r="D1011" s="24">
        <v>2</v>
      </c>
      <c r="E1011" s="17">
        <f>VLOOKUP(B1011,'SKU Master'!$B$2:$E$31,4,0)</f>
        <v>649</v>
      </c>
      <c r="F1011" s="25">
        <f t="shared" si="30"/>
        <v>1298</v>
      </c>
      <c r="G1011" s="40" t="str">
        <f t="shared" si="31"/>
        <v>Mon</v>
      </c>
    </row>
    <row r="1012" spans="1:7" ht="14.4" x14ac:dyDescent="0.3">
      <c r="A1012" s="22">
        <v>44298</v>
      </c>
      <c r="B1012" s="23" t="s">
        <v>67</v>
      </c>
      <c r="C1012" s="23" t="s">
        <v>96</v>
      </c>
      <c r="D1012" s="24">
        <v>25</v>
      </c>
      <c r="E1012" s="17">
        <f>VLOOKUP(B1012,'SKU Master'!$B$2:$E$31,4,0)</f>
        <v>1800</v>
      </c>
      <c r="F1012" s="25">
        <f t="shared" si="30"/>
        <v>45000</v>
      </c>
      <c r="G1012" s="40" t="str">
        <f t="shared" si="31"/>
        <v>Mon</v>
      </c>
    </row>
    <row r="1013" spans="1:7" ht="14.4" x14ac:dyDescent="0.3">
      <c r="A1013" s="22">
        <v>44298</v>
      </c>
      <c r="B1013" s="23" t="s">
        <v>70</v>
      </c>
      <c r="C1013" s="23" t="s">
        <v>96</v>
      </c>
      <c r="D1013" s="24">
        <v>12</v>
      </c>
      <c r="E1013" s="17">
        <f>VLOOKUP(B1013,'SKU Master'!$B$2:$E$31,4,0)</f>
        <v>345</v>
      </c>
      <c r="F1013" s="25">
        <f t="shared" si="30"/>
        <v>4140</v>
      </c>
      <c r="G1013" s="40" t="str">
        <f t="shared" si="31"/>
        <v>Mon</v>
      </c>
    </row>
    <row r="1014" spans="1:7" ht="14.4" x14ac:dyDescent="0.3">
      <c r="A1014" s="22">
        <v>44298</v>
      </c>
      <c r="B1014" s="23" t="s">
        <v>73</v>
      </c>
      <c r="C1014" s="23" t="s">
        <v>96</v>
      </c>
      <c r="D1014" s="24">
        <v>12</v>
      </c>
      <c r="E1014" s="17">
        <f>VLOOKUP(B1014,'SKU Master'!$B$2:$E$31,4,0)</f>
        <v>350</v>
      </c>
      <c r="F1014" s="25">
        <f t="shared" si="30"/>
        <v>4200</v>
      </c>
      <c r="G1014" s="40" t="str">
        <f t="shared" si="31"/>
        <v>Mon</v>
      </c>
    </row>
    <row r="1015" spans="1:7" ht="14.4" x14ac:dyDescent="0.3">
      <c r="A1015" s="22">
        <v>44298</v>
      </c>
      <c r="B1015" s="23" t="s">
        <v>76</v>
      </c>
      <c r="C1015" s="23" t="s">
        <v>96</v>
      </c>
      <c r="D1015" s="24">
        <v>8</v>
      </c>
      <c r="E1015" s="17">
        <f>VLOOKUP(B1015,'SKU Master'!$B$2:$E$31,4,0)</f>
        <v>1575</v>
      </c>
      <c r="F1015" s="25">
        <f t="shared" si="30"/>
        <v>12600</v>
      </c>
      <c r="G1015" s="40" t="str">
        <f t="shared" si="31"/>
        <v>Mon</v>
      </c>
    </row>
    <row r="1016" spans="1:7" ht="14.4" x14ac:dyDescent="0.3">
      <c r="A1016" s="22">
        <v>44298</v>
      </c>
      <c r="B1016" s="23" t="s">
        <v>78</v>
      </c>
      <c r="C1016" s="23" t="s">
        <v>96</v>
      </c>
      <c r="D1016" s="24">
        <v>6</v>
      </c>
      <c r="E1016" s="17">
        <f>VLOOKUP(B1016,'SKU Master'!$B$2:$E$31,4,0)</f>
        <v>1045</v>
      </c>
      <c r="F1016" s="25">
        <f t="shared" si="30"/>
        <v>6270</v>
      </c>
      <c r="G1016" s="40" t="str">
        <f t="shared" si="31"/>
        <v>Mon</v>
      </c>
    </row>
    <row r="1017" spans="1:7" ht="14.4" x14ac:dyDescent="0.3">
      <c r="A1017" s="22">
        <v>44298</v>
      </c>
      <c r="B1017" s="23" t="s">
        <v>81</v>
      </c>
      <c r="C1017" s="23" t="s">
        <v>96</v>
      </c>
      <c r="D1017" s="24">
        <v>4</v>
      </c>
      <c r="E1017" s="17">
        <f>VLOOKUP(B1017,'SKU Master'!$B$2:$E$31,4,0)</f>
        <v>1186</v>
      </c>
      <c r="F1017" s="25">
        <f t="shared" si="30"/>
        <v>4744</v>
      </c>
      <c r="G1017" s="40" t="str">
        <f t="shared" si="31"/>
        <v>Mon</v>
      </c>
    </row>
    <row r="1018" spans="1:7" ht="14.4" x14ac:dyDescent="0.3">
      <c r="A1018" s="22">
        <v>44298</v>
      </c>
      <c r="B1018" s="23" t="s">
        <v>84</v>
      </c>
      <c r="C1018" s="23" t="s">
        <v>96</v>
      </c>
      <c r="D1018" s="24">
        <v>4</v>
      </c>
      <c r="E1018" s="17">
        <f>VLOOKUP(B1018,'SKU Master'!$B$2:$E$31,4,0)</f>
        <v>374</v>
      </c>
      <c r="F1018" s="25">
        <f t="shared" si="30"/>
        <v>1496</v>
      </c>
      <c r="G1018" s="40" t="str">
        <f t="shared" si="31"/>
        <v>Mon</v>
      </c>
    </row>
    <row r="1019" spans="1:7" ht="14.4" x14ac:dyDescent="0.3">
      <c r="A1019" s="22">
        <v>44298</v>
      </c>
      <c r="B1019" s="23" t="s">
        <v>87</v>
      </c>
      <c r="C1019" s="23" t="s">
        <v>96</v>
      </c>
      <c r="D1019" s="24">
        <v>0</v>
      </c>
      <c r="E1019" s="17">
        <f>VLOOKUP(B1019,'SKU Master'!$B$2:$E$31,4,0)</f>
        <v>1500</v>
      </c>
      <c r="F1019" s="25">
        <f t="shared" si="30"/>
        <v>0</v>
      </c>
      <c r="G1019" s="40" t="str">
        <f t="shared" si="31"/>
        <v>Mon</v>
      </c>
    </row>
    <row r="1020" spans="1:7" ht="14.4" x14ac:dyDescent="0.3">
      <c r="A1020" s="22">
        <v>44298</v>
      </c>
      <c r="B1020" s="23" t="s">
        <v>90</v>
      </c>
      <c r="C1020" s="23" t="s">
        <v>96</v>
      </c>
      <c r="D1020" s="24">
        <v>0</v>
      </c>
      <c r="E1020" s="17">
        <f>VLOOKUP(B1020,'SKU Master'!$B$2:$E$31,4,0)</f>
        <v>1800</v>
      </c>
      <c r="F1020" s="25">
        <f t="shared" si="30"/>
        <v>0</v>
      </c>
      <c r="G1020" s="40" t="str">
        <f t="shared" si="31"/>
        <v>Mon</v>
      </c>
    </row>
    <row r="1021" spans="1:7" ht="14.4" x14ac:dyDescent="0.3">
      <c r="A1021" s="22">
        <v>44298</v>
      </c>
      <c r="B1021" s="23" t="s">
        <v>93</v>
      </c>
      <c r="C1021" s="23" t="s">
        <v>96</v>
      </c>
      <c r="D1021" s="24">
        <v>0</v>
      </c>
      <c r="E1021" s="17">
        <f>VLOOKUP(B1021,'SKU Master'!$B$2:$E$31,4,0)</f>
        <v>1477</v>
      </c>
      <c r="F1021" s="25">
        <f t="shared" si="30"/>
        <v>0</v>
      </c>
      <c r="G1021" s="40" t="str">
        <f t="shared" si="31"/>
        <v>Mon</v>
      </c>
    </row>
    <row r="1022" spans="1:7" ht="14.4" x14ac:dyDescent="0.3">
      <c r="A1022" s="22">
        <v>44298</v>
      </c>
      <c r="B1022" s="23" t="s">
        <v>6</v>
      </c>
      <c r="C1022" s="23" t="s">
        <v>98</v>
      </c>
      <c r="D1022" s="24">
        <v>23</v>
      </c>
      <c r="E1022" s="17">
        <f>VLOOKUP(B1022,'SKU Master'!$B$2:$E$31,4,0)</f>
        <v>210</v>
      </c>
      <c r="F1022" s="25">
        <f t="shared" si="30"/>
        <v>4830</v>
      </c>
      <c r="G1022" s="40" t="str">
        <f t="shared" si="31"/>
        <v>Mon</v>
      </c>
    </row>
    <row r="1023" spans="1:7" ht="14.4" x14ac:dyDescent="0.3">
      <c r="A1023" s="22">
        <v>44298</v>
      </c>
      <c r="B1023" s="23" t="s">
        <v>9</v>
      </c>
      <c r="C1023" s="23" t="s">
        <v>98</v>
      </c>
      <c r="D1023" s="24">
        <v>10</v>
      </c>
      <c r="E1023" s="17">
        <f>VLOOKUP(B1023,'SKU Master'!$B$2:$E$31,4,0)</f>
        <v>199</v>
      </c>
      <c r="F1023" s="25">
        <f t="shared" si="30"/>
        <v>1990</v>
      </c>
      <c r="G1023" s="40" t="str">
        <f t="shared" si="31"/>
        <v>Mon</v>
      </c>
    </row>
    <row r="1024" spans="1:7" ht="14.4" x14ac:dyDescent="0.3">
      <c r="A1024" s="22">
        <v>44298</v>
      </c>
      <c r="B1024" s="23" t="s">
        <v>12</v>
      </c>
      <c r="C1024" s="23" t="s">
        <v>98</v>
      </c>
      <c r="D1024" s="24">
        <v>8</v>
      </c>
      <c r="E1024" s="17">
        <f>VLOOKUP(B1024,'SKU Master'!$B$2:$E$31,4,0)</f>
        <v>322</v>
      </c>
      <c r="F1024" s="25">
        <f t="shared" si="30"/>
        <v>2576</v>
      </c>
      <c r="G1024" s="40" t="str">
        <f t="shared" si="31"/>
        <v>Mon</v>
      </c>
    </row>
    <row r="1025" spans="1:7" ht="14.4" x14ac:dyDescent="0.3">
      <c r="A1025" s="22">
        <v>44298</v>
      </c>
      <c r="B1025" s="23" t="s">
        <v>15</v>
      </c>
      <c r="C1025" s="23" t="s">
        <v>98</v>
      </c>
      <c r="D1025" s="24">
        <v>5</v>
      </c>
      <c r="E1025" s="17">
        <f>VLOOKUP(B1025,'SKU Master'!$B$2:$E$31,4,0)</f>
        <v>161</v>
      </c>
      <c r="F1025" s="25">
        <f t="shared" si="30"/>
        <v>805</v>
      </c>
      <c r="G1025" s="40" t="str">
        <f t="shared" si="31"/>
        <v>Mon</v>
      </c>
    </row>
    <row r="1026" spans="1:7" ht="14.4" x14ac:dyDescent="0.3">
      <c r="A1026" s="22">
        <v>44298</v>
      </c>
      <c r="B1026" s="23" t="s">
        <v>17</v>
      </c>
      <c r="C1026" s="23" t="s">
        <v>98</v>
      </c>
      <c r="D1026" s="24">
        <v>3</v>
      </c>
      <c r="E1026" s="17">
        <f>VLOOKUP(B1026,'SKU Master'!$B$2:$E$31,4,0)</f>
        <v>109</v>
      </c>
      <c r="F1026" s="25">
        <f t="shared" si="30"/>
        <v>327</v>
      </c>
      <c r="G1026" s="40" t="str">
        <f t="shared" si="31"/>
        <v>Mon</v>
      </c>
    </row>
    <row r="1027" spans="1:7" ht="14.4" x14ac:dyDescent="0.3">
      <c r="A1027" s="22">
        <v>44298</v>
      </c>
      <c r="B1027" s="23" t="s">
        <v>20</v>
      </c>
      <c r="C1027" s="23" t="s">
        <v>98</v>
      </c>
      <c r="D1027" s="24">
        <v>1</v>
      </c>
      <c r="E1027" s="17">
        <f>VLOOKUP(B1027,'SKU Master'!$B$2:$E$31,4,0)</f>
        <v>122</v>
      </c>
      <c r="F1027" s="25">
        <f t="shared" ref="F1027:F1090" si="32">D1027*E1027</f>
        <v>122</v>
      </c>
      <c r="G1027" s="40" t="str">
        <f t="shared" si="31"/>
        <v>Mon</v>
      </c>
    </row>
    <row r="1028" spans="1:7" ht="14.4" x14ac:dyDescent="0.3">
      <c r="A1028" s="22">
        <v>44298</v>
      </c>
      <c r="B1028" s="23" t="s">
        <v>23</v>
      </c>
      <c r="C1028" s="23" t="s">
        <v>98</v>
      </c>
      <c r="D1028" s="24">
        <v>3</v>
      </c>
      <c r="E1028" s="17">
        <f>VLOOKUP(B1028,'SKU Master'!$B$2:$E$31,4,0)</f>
        <v>96</v>
      </c>
      <c r="F1028" s="25">
        <f t="shared" si="32"/>
        <v>288</v>
      </c>
      <c r="G1028" s="40" t="str">
        <f t="shared" ref="G1028:G1091" si="33">CHOOSE(WEEKDAY(A1028),"Sun","Mon","Tue","Wed","Thu","Fri","Sat")</f>
        <v>Mon</v>
      </c>
    </row>
    <row r="1029" spans="1:7" ht="14.4" x14ac:dyDescent="0.3">
      <c r="A1029" s="22">
        <v>44298</v>
      </c>
      <c r="B1029" s="23" t="s">
        <v>26</v>
      </c>
      <c r="C1029" s="23" t="s">
        <v>98</v>
      </c>
      <c r="D1029" s="24">
        <v>0</v>
      </c>
      <c r="E1029" s="17">
        <f>VLOOKUP(B1029,'SKU Master'!$B$2:$E$31,4,0)</f>
        <v>73</v>
      </c>
      <c r="F1029" s="25">
        <f t="shared" si="32"/>
        <v>0</v>
      </c>
      <c r="G1029" s="40" t="str">
        <f t="shared" si="33"/>
        <v>Mon</v>
      </c>
    </row>
    <row r="1030" spans="1:7" ht="14.4" x14ac:dyDescent="0.3">
      <c r="A1030" s="22">
        <v>44298</v>
      </c>
      <c r="B1030" s="23" t="s">
        <v>29</v>
      </c>
      <c r="C1030" s="23" t="s">
        <v>98</v>
      </c>
      <c r="D1030" s="24">
        <v>1</v>
      </c>
      <c r="E1030" s="17">
        <f>VLOOKUP(B1030,'SKU Master'!$B$2:$E$31,4,0)</f>
        <v>225</v>
      </c>
      <c r="F1030" s="25">
        <f t="shared" si="32"/>
        <v>225</v>
      </c>
      <c r="G1030" s="40" t="str">
        <f t="shared" si="33"/>
        <v>Mon</v>
      </c>
    </row>
    <row r="1031" spans="1:7" ht="14.4" x14ac:dyDescent="0.3">
      <c r="A1031" s="22">
        <v>44298</v>
      </c>
      <c r="B1031" s="23" t="s">
        <v>32</v>
      </c>
      <c r="C1031" s="23" t="s">
        <v>98</v>
      </c>
      <c r="D1031" s="24">
        <v>1</v>
      </c>
      <c r="E1031" s="17">
        <f>VLOOKUP(B1031,'SKU Master'!$B$2:$E$31,4,0)</f>
        <v>559</v>
      </c>
      <c r="F1031" s="25">
        <f t="shared" si="32"/>
        <v>559</v>
      </c>
      <c r="G1031" s="40" t="str">
        <f t="shared" si="33"/>
        <v>Mon</v>
      </c>
    </row>
    <row r="1032" spans="1:7" ht="14.4" x14ac:dyDescent="0.3">
      <c r="A1032" s="22">
        <v>44298</v>
      </c>
      <c r="B1032" s="23" t="s">
        <v>36</v>
      </c>
      <c r="C1032" s="23" t="s">
        <v>98</v>
      </c>
      <c r="D1032" s="24">
        <v>23</v>
      </c>
      <c r="E1032" s="17">
        <f>VLOOKUP(B1032,'SKU Master'!$B$2:$E$31,4,0)</f>
        <v>3199</v>
      </c>
      <c r="F1032" s="25">
        <f t="shared" si="32"/>
        <v>73577</v>
      </c>
      <c r="G1032" s="40" t="str">
        <f t="shared" si="33"/>
        <v>Mon</v>
      </c>
    </row>
    <row r="1033" spans="1:7" ht="14.4" x14ac:dyDescent="0.3">
      <c r="A1033" s="22">
        <v>44298</v>
      </c>
      <c r="B1033" s="23" t="s">
        <v>39</v>
      </c>
      <c r="C1033" s="23" t="s">
        <v>98</v>
      </c>
      <c r="D1033" s="24">
        <v>10</v>
      </c>
      <c r="E1033" s="17">
        <f>VLOOKUP(B1033,'SKU Master'!$B$2:$E$31,4,0)</f>
        <v>371</v>
      </c>
      <c r="F1033" s="25">
        <f t="shared" si="32"/>
        <v>3710</v>
      </c>
      <c r="G1033" s="40" t="str">
        <f t="shared" si="33"/>
        <v>Mon</v>
      </c>
    </row>
    <row r="1034" spans="1:7" ht="14.4" x14ac:dyDescent="0.3">
      <c r="A1034" s="22">
        <v>44298</v>
      </c>
      <c r="B1034" s="23" t="s">
        <v>42</v>
      </c>
      <c r="C1034" s="23" t="s">
        <v>98</v>
      </c>
      <c r="D1034" s="24">
        <v>9</v>
      </c>
      <c r="E1034" s="17">
        <f>VLOOKUP(B1034,'SKU Master'!$B$2:$E$31,4,0)</f>
        <v>2300</v>
      </c>
      <c r="F1034" s="25">
        <f t="shared" si="32"/>
        <v>20700</v>
      </c>
      <c r="G1034" s="40" t="str">
        <f t="shared" si="33"/>
        <v>Mon</v>
      </c>
    </row>
    <row r="1035" spans="1:7" ht="14.4" x14ac:dyDescent="0.3">
      <c r="A1035" s="22">
        <v>44298</v>
      </c>
      <c r="B1035" s="23" t="s">
        <v>45</v>
      </c>
      <c r="C1035" s="23" t="s">
        <v>98</v>
      </c>
      <c r="D1035" s="24">
        <v>0</v>
      </c>
      <c r="E1035" s="17">
        <f>VLOOKUP(B1035,'SKU Master'!$B$2:$E$31,4,0)</f>
        <v>499</v>
      </c>
      <c r="F1035" s="25">
        <f t="shared" si="32"/>
        <v>0</v>
      </c>
      <c r="G1035" s="40" t="str">
        <f t="shared" si="33"/>
        <v>Mon</v>
      </c>
    </row>
    <row r="1036" spans="1:7" ht="14.4" x14ac:dyDescent="0.3">
      <c r="A1036" s="22">
        <v>44298</v>
      </c>
      <c r="B1036" s="23" t="s">
        <v>48</v>
      </c>
      <c r="C1036" s="23" t="s">
        <v>98</v>
      </c>
      <c r="D1036" s="24">
        <v>4</v>
      </c>
      <c r="E1036" s="17">
        <f>VLOOKUP(B1036,'SKU Master'!$B$2:$E$31,4,0)</f>
        <v>299</v>
      </c>
      <c r="F1036" s="25">
        <f t="shared" si="32"/>
        <v>1196</v>
      </c>
      <c r="G1036" s="40" t="str">
        <f t="shared" si="33"/>
        <v>Mon</v>
      </c>
    </row>
    <row r="1037" spans="1:7" ht="14.4" x14ac:dyDescent="0.3">
      <c r="A1037" s="22">
        <v>44298</v>
      </c>
      <c r="B1037" s="23" t="s">
        <v>51</v>
      </c>
      <c r="C1037" s="23" t="s">
        <v>98</v>
      </c>
      <c r="D1037" s="24">
        <v>4</v>
      </c>
      <c r="E1037" s="17">
        <f>VLOOKUP(B1037,'SKU Master'!$B$2:$E$31,4,0)</f>
        <v>901</v>
      </c>
      <c r="F1037" s="25">
        <f t="shared" si="32"/>
        <v>3604</v>
      </c>
      <c r="G1037" s="40" t="str">
        <f t="shared" si="33"/>
        <v>Mon</v>
      </c>
    </row>
    <row r="1038" spans="1:7" ht="14.4" x14ac:dyDescent="0.3">
      <c r="A1038" s="22">
        <v>44298</v>
      </c>
      <c r="B1038" s="23" t="s">
        <v>54</v>
      </c>
      <c r="C1038" s="23" t="s">
        <v>98</v>
      </c>
      <c r="D1038" s="24">
        <v>0</v>
      </c>
      <c r="E1038" s="17">
        <f>VLOOKUP(B1038,'SKU Master'!$B$2:$E$31,4,0)</f>
        <v>929</v>
      </c>
      <c r="F1038" s="25">
        <f t="shared" si="32"/>
        <v>0</v>
      </c>
      <c r="G1038" s="40" t="str">
        <f t="shared" si="33"/>
        <v>Mon</v>
      </c>
    </row>
    <row r="1039" spans="1:7" ht="14.4" x14ac:dyDescent="0.3">
      <c r="A1039" s="22">
        <v>44298</v>
      </c>
      <c r="B1039" s="23" t="s">
        <v>57</v>
      </c>
      <c r="C1039" s="23" t="s">
        <v>98</v>
      </c>
      <c r="D1039" s="24">
        <v>1</v>
      </c>
      <c r="E1039" s="17">
        <f>VLOOKUP(B1039,'SKU Master'!$B$2:$E$31,4,0)</f>
        <v>1030</v>
      </c>
      <c r="F1039" s="25">
        <f t="shared" si="32"/>
        <v>1030</v>
      </c>
      <c r="G1039" s="40" t="str">
        <f t="shared" si="33"/>
        <v>Mon</v>
      </c>
    </row>
    <row r="1040" spans="1:7" ht="14.4" x14ac:dyDescent="0.3">
      <c r="A1040" s="22">
        <v>44298</v>
      </c>
      <c r="B1040" s="23" t="s">
        <v>60</v>
      </c>
      <c r="C1040" s="23" t="s">
        <v>98</v>
      </c>
      <c r="D1040" s="24">
        <v>0</v>
      </c>
      <c r="E1040" s="17">
        <f>VLOOKUP(B1040,'SKU Master'!$B$2:$E$31,4,0)</f>
        <v>1222</v>
      </c>
      <c r="F1040" s="25">
        <f t="shared" si="32"/>
        <v>0</v>
      </c>
      <c r="G1040" s="40" t="str">
        <f t="shared" si="33"/>
        <v>Mon</v>
      </c>
    </row>
    <row r="1041" spans="1:7" ht="14.4" x14ac:dyDescent="0.3">
      <c r="A1041" s="22">
        <v>44298</v>
      </c>
      <c r="B1041" s="23" t="s">
        <v>63</v>
      </c>
      <c r="C1041" s="23" t="s">
        <v>98</v>
      </c>
      <c r="D1041" s="24">
        <v>0</v>
      </c>
      <c r="E1041" s="17">
        <f>VLOOKUP(B1041,'SKU Master'!$B$2:$E$31,4,0)</f>
        <v>649</v>
      </c>
      <c r="F1041" s="25">
        <f t="shared" si="32"/>
        <v>0</v>
      </c>
      <c r="G1041" s="40" t="str">
        <f t="shared" si="33"/>
        <v>Mon</v>
      </c>
    </row>
    <row r="1042" spans="1:7" ht="14.4" x14ac:dyDescent="0.3">
      <c r="A1042" s="22">
        <v>44298</v>
      </c>
      <c r="B1042" s="23" t="s">
        <v>67</v>
      </c>
      <c r="C1042" s="23" t="s">
        <v>98</v>
      </c>
      <c r="D1042" s="24">
        <v>19</v>
      </c>
      <c r="E1042" s="17">
        <f>VLOOKUP(B1042,'SKU Master'!$B$2:$E$31,4,0)</f>
        <v>1800</v>
      </c>
      <c r="F1042" s="25">
        <f t="shared" si="32"/>
        <v>34200</v>
      </c>
      <c r="G1042" s="40" t="str">
        <f t="shared" si="33"/>
        <v>Mon</v>
      </c>
    </row>
    <row r="1043" spans="1:7" ht="14.4" x14ac:dyDescent="0.3">
      <c r="A1043" s="22">
        <v>44298</v>
      </c>
      <c r="B1043" s="23" t="s">
        <v>70</v>
      </c>
      <c r="C1043" s="23" t="s">
        <v>98</v>
      </c>
      <c r="D1043" s="24">
        <v>8</v>
      </c>
      <c r="E1043" s="17">
        <f>VLOOKUP(B1043,'SKU Master'!$B$2:$E$31,4,0)</f>
        <v>345</v>
      </c>
      <c r="F1043" s="25">
        <f t="shared" si="32"/>
        <v>2760</v>
      </c>
      <c r="G1043" s="40" t="str">
        <f t="shared" si="33"/>
        <v>Mon</v>
      </c>
    </row>
    <row r="1044" spans="1:7" ht="14.4" x14ac:dyDescent="0.3">
      <c r="A1044" s="22">
        <v>44298</v>
      </c>
      <c r="B1044" s="23" t="s">
        <v>73</v>
      </c>
      <c r="C1044" s="23" t="s">
        <v>98</v>
      </c>
      <c r="D1044" s="24">
        <v>8</v>
      </c>
      <c r="E1044" s="17">
        <f>VLOOKUP(B1044,'SKU Master'!$B$2:$E$31,4,0)</f>
        <v>350</v>
      </c>
      <c r="F1044" s="25">
        <f t="shared" si="32"/>
        <v>2800</v>
      </c>
      <c r="G1044" s="40" t="str">
        <f t="shared" si="33"/>
        <v>Mon</v>
      </c>
    </row>
    <row r="1045" spans="1:7" ht="14.4" x14ac:dyDescent="0.3">
      <c r="A1045" s="22">
        <v>44298</v>
      </c>
      <c r="B1045" s="23" t="s">
        <v>76</v>
      </c>
      <c r="C1045" s="23" t="s">
        <v>98</v>
      </c>
      <c r="D1045" s="24">
        <v>7</v>
      </c>
      <c r="E1045" s="17">
        <f>VLOOKUP(B1045,'SKU Master'!$B$2:$E$31,4,0)</f>
        <v>1575</v>
      </c>
      <c r="F1045" s="25">
        <f t="shared" si="32"/>
        <v>11025</v>
      </c>
      <c r="G1045" s="40" t="str">
        <f t="shared" si="33"/>
        <v>Mon</v>
      </c>
    </row>
    <row r="1046" spans="1:7" ht="14.4" x14ac:dyDescent="0.3">
      <c r="A1046" s="22">
        <v>44298</v>
      </c>
      <c r="B1046" s="23" t="s">
        <v>78</v>
      </c>
      <c r="C1046" s="23" t="s">
        <v>98</v>
      </c>
      <c r="D1046" s="24">
        <v>2</v>
      </c>
      <c r="E1046" s="17">
        <f>VLOOKUP(B1046,'SKU Master'!$B$2:$E$31,4,0)</f>
        <v>1045</v>
      </c>
      <c r="F1046" s="25">
        <f t="shared" si="32"/>
        <v>2090</v>
      </c>
      <c r="G1046" s="40" t="str">
        <f t="shared" si="33"/>
        <v>Mon</v>
      </c>
    </row>
    <row r="1047" spans="1:7" ht="14.4" x14ac:dyDescent="0.3">
      <c r="A1047" s="22">
        <v>44298</v>
      </c>
      <c r="B1047" s="23" t="s">
        <v>81</v>
      </c>
      <c r="C1047" s="23" t="s">
        <v>98</v>
      </c>
      <c r="D1047" s="24">
        <v>1</v>
      </c>
      <c r="E1047" s="17">
        <f>VLOOKUP(B1047,'SKU Master'!$B$2:$E$31,4,0)</f>
        <v>1186</v>
      </c>
      <c r="F1047" s="25">
        <f t="shared" si="32"/>
        <v>1186</v>
      </c>
      <c r="G1047" s="40" t="str">
        <f t="shared" si="33"/>
        <v>Mon</v>
      </c>
    </row>
    <row r="1048" spans="1:7" ht="14.4" x14ac:dyDescent="0.3">
      <c r="A1048" s="22">
        <v>44298</v>
      </c>
      <c r="B1048" s="23" t="s">
        <v>84</v>
      </c>
      <c r="C1048" s="23" t="s">
        <v>98</v>
      </c>
      <c r="D1048" s="24">
        <v>1</v>
      </c>
      <c r="E1048" s="17">
        <f>VLOOKUP(B1048,'SKU Master'!$B$2:$E$31,4,0)</f>
        <v>374</v>
      </c>
      <c r="F1048" s="25">
        <f t="shared" si="32"/>
        <v>374</v>
      </c>
      <c r="G1048" s="40" t="str">
        <f t="shared" si="33"/>
        <v>Mon</v>
      </c>
    </row>
    <row r="1049" spans="1:7" ht="14.4" x14ac:dyDescent="0.3">
      <c r="A1049" s="22">
        <v>44298</v>
      </c>
      <c r="B1049" s="23" t="s">
        <v>87</v>
      </c>
      <c r="C1049" s="23" t="s">
        <v>98</v>
      </c>
      <c r="D1049" s="24">
        <v>0</v>
      </c>
      <c r="E1049" s="17">
        <f>VLOOKUP(B1049,'SKU Master'!$B$2:$E$31,4,0)</f>
        <v>1500</v>
      </c>
      <c r="F1049" s="25">
        <f t="shared" si="32"/>
        <v>0</v>
      </c>
      <c r="G1049" s="40" t="str">
        <f t="shared" si="33"/>
        <v>Mon</v>
      </c>
    </row>
    <row r="1050" spans="1:7" ht="14.4" x14ac:dyDescent="0.3">
      <c r="A1050" s="22">
        <v>44298</v>
      </c>
      <c r="B1050" s="23" t="s">
        <v>90</v>
      </c>
      <c r="C1050" s="23" t="s">
        <v>98</v>
      </c>
      <c r="D1050" s="24">
        <v>0</v>
      </c>
      <c r="E1050" s="17">
        <f>VLOOKUP(B1050,'SKU Master'!$B$2:$E$31,4,0)</f>
        <v>1800</v>
      </c>
      <c r="F1050" s="25">
        <f t="shared" si="32"/>
        <v>0</v>
      </c>
      <c r="G1050" s="40" t="str">
        <f t="shared" si="33"/>
        <v>Mon</v>
      </c>
    </row>
    <row r="1051" spans="1:7" ht="14.4" x14ac:dyDescent="0.3">
      <c r="A1051" s="22">
        <v>44298</v>
      </c>
      <c r="B1051" s="23" t="s">
        <v>93</v>
      </c>
      <c r="C1051" s="23" t="s">
        <v>98</v>
      </c>
      <c r="D1051" s="24">
        <v>0</v>
      </c>
      <c r="E1051" s="17">
        <f>VLOOKUP(B1051,'SKU Master'!$B$2:$E$31,4,0)</f>
        <v>1477</v>
      </c>
      <c r="F1051" s="25">
        <f t="shared" si="32"/>
        <v>0</v>
      </c>
      <c r="G1051" s="40" t="str">
        <f t="shared" si="33"/>
        <v>Mon</v>
      </c>
    </row>
    <row r="1052" spans="1:7" ht="14.4" x14ac:dyDescent="0.3">
      <c r="A1052" s="22">
        <v>44298</v>
      </c>
      <c r="B1052" s="23" t="s">
        <v>6</v>
      </c>
      <c r="C1052" s="23" t="s">
        <v>97</v>
      </c>
      <c r="D1052" s="24">
        <v>3</v>
      </c>
      <c r="E1052" s="17">
        <f>VLOOKUP(B1052,'SKU Master'!$B$2:$E$31,4,0)</f>
        <v>210</v>
      </c>
      <c r="F1052" s="25">
        <f t="shared" si="32"/>
        <v>630</v>
      </c>
      <c r="G1052" s="40" t="str">
        <f t="shared" si="33"/>
        <v>Mon</v>
      </c>
    </row>
    <row r="1053" spans="1:7" ht="14.4" x14ac:dyDescent="0.3">
      <c r="A1053" s="22">
        <v>44298</v>
      </c>
      <c r="B1053" s="23" t="s">
        <v>9</v>
      </c>
      <c r="C1053" s="23" t="s">
        <v>97</v>
      </c>
      <c r="D1053" s="24">
        <v>6</v>
      </c>
      <c r="E1053" s="17">
        <f>VLOOKUP(B1053,'SKU Master'!$B$2:$E$31,4,0)</f>
        <v>199</v>
      </c>
      <c r="F1053" s="25">
        <f t="shared" si="32"/>
        <v>1194</v>
      </c>
      <c r="G1053" s="40" t="str">
        <f t="shared" si="33"/>
        <v>Mon</v>
      </c>
    </row>
    <row r="1054" spans="1:7" ht="14.4" x14ac:dyDescent="0.3">
      <c r="A1054" s="22">
        <v>44298</v>
      </c>
      <c r="B1054" s="23" t="s">
        <v>12</v>
      </c>
      <c r="C1054" s="23" t="s">
        <v>97</v>
      </c>
      <c r="D1054" s="24">
        <v>2</v>
      </c>
      <c r="E1054" s="17">
        <f>VLOOKUP(B1054,'SKU Master'!$B$2:$E$31,4,0)</f>
        <v>322</v>
      </c>
      <c r="F1054" s="25">
        <f t="shared" si="32"/>
        <v>644</v>
      </c>
      <c r="G1054" s="40" t="str">
        <f t="shared" si="33"/>
        <v>Mon</v>
      </c>
    </row>
    <row r="1055" spans="1:7" ht="14.4" x14ac:dyDescent="0.3">
      <c r="A1055" s="22">
        <v>44298</v>
      </c>
      <c r="B1055" s="23" t="s">
        <v>15</v>
      </c>
      <c r="C1055" s="23" t="s">
        <v>97</v>
      </c>
      <c r="D1055" s="24">
        <v>5</v>
      </c>
      <c r="E1055" s="17">
        <f>VLOOKUP(B1055,'SKU Master'!$B$2:$E$31,4,0)</f>
        <v>161</v>
      </c>
      <c r="F1055" s="25">
        <f t="shared" si="32"/>
        <v>805</v>
      </c>
      <c r="G1055" s="40" t="str">
        <f t="shared" si="33"/>
        <v>Mon</v>
      </c>
    </row>
    <row r="1056" spans="1:7" ht="14.4" x14ac:dyDescent="0.3">
      <c r="A1056" s="22">
        <v>44298</v>
      </c>
      <c r="B1056" s="23" t="s">
        <v>17</v>
      </c>
      <c r="C1056" s="23" t="s">
        <v>97</v>
      </c>
      <c r="D1056" s="24">
        <v>3</v>
      </c>
      <c r="E1056" s="17">
        <f>VLOOKUP(B1056,'SKU Master'!$B$2:$E$31,4,0)</f>
        <v>109</v>
      </c>
      <c r="F1056" s="25">
        <f t="shared" si="32"/>
        <v>327</v>
      </c>
      <c r="G1056" s="40" t="str">
        <f t="shared" si="33"/>
        <v>Mon</v>
      </c>
    </row>
    <row r="1057" spans="1:7" ht="14.4" x14ac:dyDescent="0.3">
      <c r="A1057" s="22">
        <v>44298</v>
      </c>
      <c r="B1057" s="23" t="s">
        <v>20</v>
      </c>
      <c r="C1057" s="23" t="s">
        <v>97</v>
      </c>
      <c r="D1057" s="24">
        <v>2</v>
      </c>
      <c r="E1057" s="17">
        <f>VLOOKUP(B1057,'SKU Master'!$B$2:$E$31,4,0)</f>
        <v>122</v>
      </c>
      <c r="F1057" s="25">
        <f t="shared" si="32"/>
        <v>244</v>
      </c>
      <c r="G1057" s="40" t="str">
        <f t="shared" si="33"/>
        <v>Mon</v>
      </c>
    </row>
    <row r="1058" spans="1:7" ht="14.4" x14ac:dyDescent="0.3">
      <c r="A1058" s="22">
        <v>44298</v>
      </c>
      <c r="B1058" s="23" t="s">
        <v>23</v>
      </c>
      <c r="C1058" s="23" t="s">
        <v>97</v>
      </c>
      <c r="D1058" s="24">
        <v>1</v>
      </c>
      <c r="E1058" s="17">
        <f>VLOOKUP(B1058,'SKU Master'!$B$2:$E$31,4,0)</f>
        <v>96</v>
      </c>
      <c r="F1058" s="25">
        <f t="shared" si="32"/>
        <v>96</v>
      </c>
      <c r="G1058" s="40" t="str">
        <f t="shared" si="33"/>
        <v>Mon</v>
      </c>
    </row>
    <row r="1059" spans="1:7" ht="14.4" x14ac:dyDescent="0.3">
      <c r="A1059" s="22">
        <v>44298</v>
      </c>
      <c r="B1059" s="23" t="s">
        <v>26</v>
      </c>
      <c r="C1059" s="23" t="s">
        <v>97</v>
      </c>
      <c r="D1059" s="24">
        <v>0</v>
      </c>
      <c r="E1059" s="17">
        <f>VLOOKUP(B1059,'SKU Master'!$B$2:$E$31,4,0)</f>
        <v>73</v>
      </c>
      <c r="F1059" s="25">
        <f t="shared" si="32"/>
        <v>0</v>
      </c>
      <c r="G1059" s="40" t="str">
        <f t="shared" si="33"/>
        <v>Mon</v>
      </c>
    </row>
    <row r="1060" spans="1:7" ht="14.4" x14ac:dyDescent="0.3">
      <c r="A1060" s="22">
        <v>44298</v>
      </c>
      <c r="B1060" s="23" t="s">
        <v>29</v>
      </c>
      <c r="C1060" s="23" t="s">
        <v>97</v>
      </c>
      <c r="D1060" s="24">
        <v>2</v>
      </c>
      <c r="E1060" s="17">
        <f>VLOOKUP(B1060,'SKU Master'!$B$2:$E$31,4,0)</f>
        <v>225</v>
      </c>
      <c r="F1060" s="25">
        <f t="shared" si="32"/>
        <v>450</v>
      </c>
      <c r="G1060" s="40" t="str">
        <f t="shared" si="33"/>
        <v>Mon</v>
      </c>
    </row>
    <row r="1061" spans="1:7" ht="14.4" x14ac:dyDescent="0.3">
      <c r="A1061" s="22">
        <v>44298</v>
      </c>
      <c r="B1061" s="23" t="s">
        <v>32</v>
      </c>
      <c r="C1061" s="23" t="s">
        <v>97</v>
      </c>
      <c r="D1061" s="24">
        <v>2</v>
      </c>
      <c r="E1061" s="17">
        <f>VLOOKUP(B1061,'SKU Master'!$B$2:$E$31,4,0)</f>
        <v>559</v>
      </c>
      <c r="F1061" s="25">
        <f t="shared" si="32"/>
        <v>1118</v>
      </c>
      <c r="G1061" s="40" t="str">
        <f t="shared" si="33"/>
        <v>Mon</v>
      </c>
    </row>
    <row r="1062" spans="1:7" ht="14.4" x14ac:dyDescent="0.3">
      <c r="A1062" s="22">
        <v>44298</v>
      </c>
      <c r="B1062" s="23" t="s">
        <v>36</v>
      </c>
      <c r="C1062" s="23" t="s">
        <v>97</v>
      </c>
      <c r="D1062" s="24">
        <v>14</v>
      </c>
      <c r="E1062" s="17">
        <f>VLOOKUP(B1062,'SKU Master'!$B$2:$E$31,4,0)</f>
        <v>3199</v>
      </c>
      <c r="F1062" s="25">
        <f t="shared" si="32"/>
        <v>44786</v>
      </c>
      <c r="G1062" s="40" t="str">
        <f t="shared" si="33"/>
        <v>Mon</v>
      </c>
    </row>
    <row r="1063" spans="1:7" ht="14.4" x14ac:dyDescent="0.3">
      <c r="A1063" s="22">
        <v>44298</v>
      </c>
      <c r="B1063" s="23" t="s">
        <v>39</v>
      </c>
      <c r="C1063" s="23" t="s">
        <v>97</v>
      </c>
      <c r="D1063" s="24">
        <v>6</v>
      </c>
      <c r="E1063" s="17">
        <f>VLOOKUP(B1063,'SKU Master'!$B$2:$E$31,4,0)</f>
        <v>371</v>
      </c>
      <c r="F1063" s="25">
        <f t="shared" si="32"/>
        <v>2226</v>
      </c>
      <c r="G1063" s="40" t="str">
        <f t="shared" si="33"/>
        <v>Mon</v>
      </c>
    </row>
    <row r="1064" spans="1:7" ht="14.4" x14ac:dyDescent="0.3">
      <c r="A1064" s="22">
        <v>44298</v>
      </c>
      <c r="B1064" s="23" t="s">
        <v>42</v>
      </c>
      <c r="C1064" s="23" t="s">
        <v>97</v>
      </c>
      <c r="D1064" s="24">
        <v>2</v>
      </c>
      <c r="E1064" s="17">
        <f>VLOOKUP(B1064,'SKU Master'!$B$2:$E$31,4,0)</f>
        <v>2300</v>
      </c>
      <c r="F1064" s="25">
        <f t="shared" si="32"/>
        <v>4600</v>
      </c>
      <c r="G1064" s="40" t="str">
        <f t="shared" si="33"/>
        <v>Mon</v>
      </c>
    </row>
    <row r="1065" spans="1:7" ht="14.4" x14ac:dyDescent="0.3">
      <c r="A1065" s="22">
        <v>44298</v>
      </c>
      <c r="B1065" s="23" t="s">
        <v>45</v>
      </c>
      <c r="C1065" s="23" t="s">
        <v>97</v>
      </c>
      <c r="D1065" s="24">
        <v>7</v>
      </c>
      <c r="E1065" s="17">
        <f>VLOOKUP(B1065,'SKU Master'!$B$2:$E$31,4,0)</f>
        <v>499</v>
      </c>
      <c r="F1065" s="25">
        <f t="shared" si="32"/>
        <v>3493</v>
      </c>
      <c r="G1065" s="40" t="str">
        <f t="shared" si="33"/>
        <v>Mon</v>
      </c>
    </row>
    <row r="1066" spans="1:7" ht="14.4" x14ac:dyDescent="0.3">
      <c r="A1066" s="22">
        <v>44298</v>
      </c>
      <c r="B1066" s="23" t="s">
        <v>48</v>
      </c>
      <c r="C1066" s="23" t="s">
        <v>97</v>
      </c>
      <c r="D1066" s="24">
        <v>4</v>
      </c>
      <c r="E1066" s="17">
        <f>VLOOKUP(B1066,'SKU Master'!$B$2:$E$31,4,0)</f>
        <v>299</v>
      </c>
      <c r="F1066" s="25">
        <f t="shared" si="32"/>
        <v>1196</v>
      </c>
      <c r="G1066" s="40" t="str">
        <f t="shared" si="33"/>
        <v>Mon</v>
      </c>
    </row>
    <row r="1067" spans="1:7" ht="14.4" x14ac:dyDescent="0.3">
      <c r="A1067" s="22">
        <v>44298</v>
      </c>
      <c r="B1067" s="23" t="s">
        <v>51</v>
      </c>
      <c r="C1067" s="23" t="s">
        <v>97</v>
      </c>
      <c r="D1067" s="24">
        <v>2</v>
      </c>
      <c r="E1067" s="17">
        <f>VLOOKUP(B1067,'SKU Master'!$B$2:$E$31,4,0)</f>
        <v>901</v>
      </c>
      <c r="F1067" s="25">
        <f t="shared" si="32"/>
        <v>1802</v>
      </c>
      <c r="G1067" s="40" t="str">
        <f t="shared" si="33"/>
        <v>Mon</v>
      </c>
    </row>
    <row r="1068" spans="1:7" ht="14.4" x14ac:dyDescent="0.3">
      <c r="A1068" s="22">
        <v>44298</v>
      </c>
      <c r="B1068" s="23" t="s">
        <v>54</v>
      </c>
      <c r="C1068" s="23" t="s">
        <v>97</v>
      </c>
      <c r="D1068" s="24">
        <v>3</v>
      </c>
      <c r="E1068" s="17">
        <f>VLOOKUP(B1068,'SKU Master'!$B$2:$E$31,4,0)</f>
        <v>929</v>
      </c>
      <c r="F1068" s="25">
        <f t="shared" si="32"/>
        <v>2787</v>
      </c>
      <c r="G1068" s="40" t="str">
        <f t="shared" si="33"/>
        <v>Mon</v>
      </c>
    </row>
    <row r="1069" spans="1:7" ht="14.4" x14ac:dyDescent="0.3">
      <c r="A1069" s="22">
        <v>44298</v>
      </c>
      <c r="B1069" s="23" t="s">
        <v>57</v>
      </c>
      <c r="C1069" s="23" t="s">
        <v>97</v>
      </c>
      <c r="D1069" s="24">
        <v>2</v>
      </c>
      <c r="E1069" s="17">
        <f>VLOOKUP(B1069,'SKU Master'!$B$2:$E$31,4,0)</f>
        <v>1030</v>
      </c>
      <c r="F1069" s="25">
        <f t="shared" si="32"/>
        <v>2060</v>
      </c>
      <c r="G1069" s="40" t="str">
        <f t="shared" si="33"/>
        <v>Mon</v>
      </c>
    </row>
    <row r="1070" spans="1:7" ht="14.4" x14ac:dyDescent="0.3">
      <c r="A1070" s="22">
        <v>44298</v>
      </c>
      <c r="B1070" s="23" t="s">
        <v>60</v>
      </c>
      <c r="C1070" s="23" t="s">
        <v>97</v>
      </c>
      <c r="D1070" s="24">
        <v>2</v>
      </c>
      <c r="E1070" s="17">
        <f>VLOOKUP(B1070,'SKU Master'!$B$2:$E$31,4,0)</f>
        <v>1222</v>
      </c>
      <c r="F1070" s="25">
        <f t="shared" si="32"/>
        <v>2444</v>
      </c>
      <c r="G1070" s="40" t="str">
        <f t="shared" si="33"/>
        <v>Mon</v>
      </c>
    </row>
    <row r="1071" spans="1:7" ht="14.4" x14ac:dyDescent="0.3">
      <c r="A1071" s="22">
        <v>44298</v>
      </c>
      <c r="B1071" s="23" t="s">
        <v>63</v>
      </c>
      <c r="C1071" s="23" t="s">
        <v>97</v>
      </c>
      <c r="D1071" s="24">
        <v>3</v>
      </c>
      <c r="E1071" s="17">
        <f>VLOOKUP(B1071,'SKU Master'!$B$2:$E$31,4,0)</f>
        <v>649</v>
      </c>
      <c r="F1071" s="25">
        <f t="shared" si="32"/>
        <v>1947</v>
      </c>
      <c r="G1071" s="40" t="str">
        <f t="shared" si="33"/>
        <v>Mon</v>
      </c>
    </row>
    <row r="1072" spans="1:7" ht="14.4" x14ac:dyDescent="0.3">
      <c r="A1072" s="22">
        <v>44298</v>
      </c>
      <c r="B1072" s="23" t="s">
        <v>67</v>
      </c>
      <c r="C1072" s="23" t="s">
        <v>97</v>
      </c>
      <c r="D1072" s="24">
        <v>11</v>
      </c>
      <c r="E1072" s="17">
        <f>VLOOKUP(B1072,'SKU Master'!$B$2:$E$31,4,0)</f>
        <v>1800</v>
      </c>
      <c r="F1072" s="25">
        <f t="shared" si="32"/>
        <v>19800</v>
      </c>
      <c r="G1072" s="40" t="str">
        <f t="shared" si="33"/>
        <v>Mon</v>
      </c>
    </row>
    <row r="1073" spans="1:7" ht="14.4" x14ac:dyDescent="0.3">
      <c r="A1073" s="22">
        <v>44298</v>
      </c>
      <c r="B1073" s="23" t="s">
        <v>70</v>
      </c>
      <c r="C1073" s="23" t="s">
        <v>97</v>
      </c>
      <c r="D1073" s="24">
        <v>7</v>
      </c>
      <c r="E1073" s="17">
        <f>VLOOKUP(B1073,'SKU Master'!$B$2:$E$31,4,0)</f>
        <v>345</v>
      </c>
      <c r="F1073" s="25">
        <f t="shared" si="32"/>
        <v>2415</v>
      </c>
      <c r="G1073" s="40" t="str">
        <f t="shared" si="33"/>
        <v>Mon</v>
      </c>
    </row>
    <row r="1074" spans="1:7" ht="14.4" x14ac:dyDescent="0.3">
      <c r="A1074" s="22">
        <v>44298</v>
      </c>
      <c r="B1074" s="23" t="s">
        <v>73</v>
      </c>
      <c r="C1074" s="23" t="s">
        <v>97</v>
      </c>
      <c r="D1074" s="24">
        <v>1</v>
      </c>
      <c r="E1074" s="17">
        <f>VLOOKUP(B1074,'SKU Master'!$B$2:$E$31,4,0)</f>
        <v>350</v>
      </c>
      <c r="F1074" s="25">
        <f t="shared" si="32"/>
        <v>350</v>
      </c>
      <c r="G1074" s="40" t="str">
        <f t="shared" si="33"/>
        <v>Mon</v>
      </c>
    </row>
    <row r="1075" spans="1:7" ht="14.4" x14ac:dyDescent="0.3">
      <c r="A1075" s="22">
        <v>44298</v>
      </c>
      <c r="B1075" s="23" t="s">
        <v>76</v>
      </c>
      <c r="C1075" s="23" t="s">
        <v>97</v>
      </c>
      <c r="D1075" s="24">
        <v>3</v>
      </c>
      <c r="E1075" s="17">
        <f>VLOOKUP(B1075,'SKU Master'!$B$2:$E$31,4,0)</f>
        <v>1575</v>
      </c>
      <c r="F1075" s="25">
        <f t="shared" si="32"/>
        <v>4725</v>
      </c>
      <c r="G1075" s="40" t="str">
        <f t="shared" si="33"/>
        <v>Mon</v>
      </c>
    </row>
    <row r="1076" spans="1:7" ht="14.4" x14ac:dyDescent="0.3">
      <c r="A1076" s="22">
        <v>44298</v>
      </c>
      <c r="B1076" s="23" t="s">
        <v>78</v>
      </c>
      <c r="C1076" s="23" t="s">
        <v>97</v>
      </c>
      <c r="D1076" s="24">
        <v>5</v>
      </c>
      <c r="E1076" s="17">
        <f>VLOOKUP(B1076,'SKU Master'!$B$2:$E$31,4,0)</f>
        <v>1045</v>
      </c>
      <c r="F1076" s="25">
        <f t="shared" si="32"/>
        <v>5225</v>
      </c>
      <c r="G1076" s="40" t="str">
        <f t="shared" si="33"/>
        <v>Mon</v>
      </c>
    </row>
    <row r="1077" spans="1:7" ht="14.4" x14ac:dyDescent="0.3">
      <c r="A1077" s="22">
        <v>44298</v>
      </c>
      <c r="B1077" s="23" t="s">
        <v>81</v>
      </c>
      <c r="C1077" s="23" t="s">
        <v>97</v>
      </c>
      <c r="D1077" s="24">
        <v>3</v>
      </c>
      <c r="E1077" s="17">
        <f>VLOOKUP(B1077,'SKU Master'!$B$2:$E$31,4,0)</f>
        <v>1186</v>
      </c>
      <c r="F1077" s="25">
        <f t="shared" si="32"/>
        <v>3558</v>
      </c>
      <c r="G1077" s="40" t="str">
        <f t="shared" si="33"/>
        <v>Mon</v>
      </c>
    </row>
    <row r="1078" spans="1:7" ht="14.4" x14ac:dyDescent="0.3">
      <c r="A1078" s="22">
        <v>44298</v>
      </c>
      <c r="B1078" s="23" t="s">
        <v>84</v>
      </c>
      <c r="C1078" s="23" t="s">
        <v>97</v>
      </c>
      <c r="D1078" s="24">
        <v>3</v>
      </c>
      <c r="E1078" s="17">
        <f>VLOOKUP(B1078,'SKU Master'!$B$2:$E$31,4,0)</f>
        <v>374</v>
      </c>
      <c r="F1078" s="25">
        <f t="shared" si="32"/>
        <v>1122</v>
      </c>
      <c r="G1078" s="40" t="str">
        <f t="shared" si="33"/>
        <v>Mon</v>
      </c>
    </row>
    <row r="1079" spans="1:7" ht="14.4" x14ac:dyDescent="0.3">
      <c r="A1079" s="22">
        <v>44298</v>
      </c>
      <c r="B1079" s="23" t="s">
        <v>87</v>
      </c>
      <c r="C1079" s="23" t="s">
        <v>97</v>
      </c>
      <c r="D1079" s="24">
        <v>0</v>
      </c>
      <c r="E1079" s="17">
        <f>VLOOKUP(B1079,'SKU Master'!$B$2:$E$31,4,0)</f>
        <v>1500</v>
      </c>
      <c r="F1079" s="25">
        <f t="shared" si="32"/>
        <v>0</v>
      </c>
      <c r="G1079" s="40" t="str">
        <f t="shared" si="33"/>
        <v>Mon</v>
      </c>
    </row>
    <row r="1080" spans="1:7" ht="14.4" x14ac:dyDescent="0.3">
      <c r="A1080" s="22">
        <v>44298</v>
      </c>
      <c r="B1080" s="23" t="s">
        <v>90</v>
      </c>
      <c r="C1080" s="23" t="s">
        <v>97</v>
      </c>
      <c r="D1080" s="24">
        <v>1</v>
      </c>
      <c r="E1080" s="17">
        <f>VLOOKUP(B1080,'SKU Master'!$B$2:$E$31,4,0)</f>
        <v>1800</v>
      </c>
      <c r="F1080" s="25">
        <f t="shared" si="32"/>
        <v>1800</v>
      </c>
      <c r="G1080" s="40" t="str">
        <f t="shared" si="33"/>
        <v>Mon</v>
      </c>
    </row>
    <row r="1081" spans="1:7" ht="14.4" x14ac:dyDescent="0.3">
      <c r="A1081" s="22">
        <v>44298</v>
      </c>
      <c r="B1081" s="23" t="s">
        <v>93</v>
      </c>
      <c r="C1081" s="23" t="s">
        <v>97</v>
      </c>
      <c r="D1081" s="24">
        <v>0</v>
      </c>
      <c r="E1081" s="17">
        <f>VLOOKUP(B1081,'SKU Master'!$B$2:$E$31,4,0)</f>
        <v>1477</v>
      </c>
      <c r="F1081" s="25">
        <f t="shared" si="32"/>
        <v>0</v>
      </c>
      <c r="G1081" s="40" t="str">
        <f t="shared" si="33"/>
        <v>Mon</v>
      </c>
    </row>
    <row r="1082" spans="1:7" ht="14.4" x14ac:dyDescent="0.3">
      <c r="A1082" s="22">
        <v>44299</v>
      </c>
      <c r="B1082" s="23" t="s">
        <v>6</v>
      </c>
      <c r="C1082" s="23" t="s">
        <v>96</v>
      </c>
      <c r="D1082" s="24">
        <v>32</v>
      </c>
      <c r="E1082" s="17">
        <f>VLOOKUP(B1082,'SKU Master'!$B$2:$E$31,4,0)</f>
        <v>210</v>
      </c>
      <c r="F1082" s="25">
        <f t="shared" si="32"/>
        <v>6720</v>
      </c>
      <c r="G1082" s="40" t="str">
        <f t="shared" si="33"/>
        <v>Tue</v>
      </c>
    </row>
    <row r="1083" spans="1:7" ht="14.4" x14ac:dyDescent="0.3">
      <c r="A1083" s="22">
        <v>44299</v>
      </c>
      <c r="B1083" s="23" t="s">
        <v>9</v>
      </c>
      <c r="C1083" s="23" t="s">
        <v>96</v>
      </c>
      <c r="D1083" s="24">
        <v>15</v>
      </c>
      <c r="E1083" s="17">
        <f>VLOOKUP(B1083,'SKU Master'!$B$2:$E$31,4,0)</f>
        <v>199</v>
      </c>
      <c r="F1083" s="25">
        <f t="shared" si="32"/>
        <v>2985</v>
      </c>
      <c r="G1083" s="40" t="str">
        <f t="shared" si="33"/>
        <v>Tue</v>
      </c>
    </row>
    <row r="1084" spans="1:7" ht="14.4" x14ac:dyDescent="0.3">
      <c r="A1084" s="22">
        <v>44299</v>
      </c>
      <c r="B1084" s="23" t="s">
        <v>12</v>
      </c>
      <c r="C1084" s="23" t="s">
        <v>96</v>
      </c>
      <c r="D1084" s="24">
        <v>10</v>
      </c>
      <c r="E1084" s="17">
        <f>VLOOKUP(B1084,'SKU Master'!$B$2:$E$31,4,0)</f>
        <v>322</v>
      </c>
      <c r="F1084" s="25">
        <f t="shared" si="32"/>
        <v>3220</v>
      </c>
      <c r="G1084" s="40" t="str">
        <f t="shared" si="33"/>
        <v>Tue</v>
      </c>
    </row>
    <row r="1085" spans="1:7" ht="14.4" x14ac:dyDescent="0.3">
      <c r="A1085" s="22">
        <v>44299</v>
      </c>
      <c r="B1085" s="23" t="s">
        <v>15</v>
      </c>
      <c r="C1085" s="23" t="s">
        <v>96</v>
      </c>
      <c r="D1085" s="24">
        <v>8</v>
      </c>
      <c r="E1085" s="17">
        <f>VLOOKUP(B1085,'SKU Master'!$B$2:$E$31,4,0)</f>
        <v>161</v>
      </c>
      <c r="F1085" s="25">
        <f t="shared" si="32"/>
        <v>1288</v>
      </c>
      <c r="G1085" s="40" t="str">
        <f t="shared" si="33"/>
        <v>Tue</v>
      </c>
    </row>
    <row r="1086" spans="1:7" ht="14.4" x14ac:dyDescent="0.3">
      <c r="A1086" s="22">
        <v>44299</v>
      </c>
      <c r="B1086" s="23" t="s">
        <v>17</v>
      </c>
      <c r="C1086" s="23" t="s">
        <v>96</v>
      </c>
      <c r="D1086" s="24">
        <v>4</v>
      </c>
      <c r="E1086" s="17">
        <f>VLOOKUP(B1086,'SKU Master'!$B$2:$E$31,4,0)</f>
        <v>109</v>
      </c>
      <c r="F1086" s="25">
        <f t="shared" si="32"/>
        <v>436</v>
      </c>
      <c r="G1086" s="40" t="str">
        <f t="shared" si="33"/>
        <v>Tue</v>
      </c>
    </row>
    <row r="1087" spans="1:7" ht="14.4" x14ac:dyDescent="0.3">
      <c r="A1087" s="22">
        <v>44299</v>
      </c>
      <c r="B1087" s="23" t="s">
        <v>20</v>
      </c>
      <c r="C1087" s="23" t="s">
        <v>96</v>
      </c>
      <c r="D1087" s="24">
        <v>4</v>
      </c>
      <c r="E1087" s="17">
        <f>VLOOKUP(B1087,'SKU Master'!$B$2:$E$31,4,0)</f>
        <v>122</v>
      </c>
      <c r="F1087" s="25">
        <f t="shared" si="32"/>
        <v>488</v>
      </c>
      <c r="G1087" s="40" t="str">
        <f t="shared" si="33"/>
        <v>Tue</v>
      </c>
    </row>
    <row r="1088" spans="1:7" ht="14.4" x14ac:dyDescent="0.3">
      <c r="A1088" s="22">
        <v>44299</v>
      </c>
      <c r="B1088" s="23" t="s">
        <v>23</v>
      </c>
      <c r="C1088" s="23" t="s">
        <v>96</v>
      </c>
      <c r="D1088" s="24">
        <v>3</v>
      </c>
      <c r="E1088" s="17">
        <f>VLOOKUP(B1088,'SKU Master'!$B$2:$E$31,4,0)</f>
        <v>96</v>
      </c>
      <c r="F1088" s="25">
        <f t="shared" si="32"/>
        <v>288</v>
      </c>
      <c r="G1088" s="40" t="str">
        <f t="shared" si="33"/>
        <v>Tue</v>
      </c>
    </row>
    <row r="1089" spans="1:7" ht="14.4" x14ac:dyDescent="0.3">
      <c r="A1089" s="22">
        <v>44299</v>
      </c>
      <c r="B1089" s="23" t="s">
        <v>26</v>
      </c>
      <c r="C1089" s="23" t="s">
        <v>96</v>
      </c>
      <c r="D1089" s="24">
        <v>0</v>
      </c>
      <c r="E1089" s="17">
        <f>VLOOKUP(B1089,'SKU Master'!$B$2:$E$31,4,0)</f>
        <v>73</v>
      </c>
      <c r="F1089" s="25">
        <f t="shared" si="32"/>
        <v>0</v>
      </c>
      <c r="G1089" s="40" t="str">
        <f t="shared" si="33"/>
        <v>Tue</v>
      </c>
    </row>
    <row r="1090" spans="1:7" ht="14.4" x14ac:dyDescent="0.3">
      <c r="A1090" s="22">
        <v>44299</v>
      </c>
      <c r="B1090" s="23" t="s">
        <v>29</v>
      </c>
      <c r="C1090" s="23" t="s">
        <v>96</v>
      </c>
      <c r="D1090" s="24">
        <v>0</v>
      </c>
      <c r="E1090" s="17">
        <f>VLOOKUP(B1090,'SKU Master'!$B$2:$E$31,4,0)</f>
        <v>225</v>
      </c>
      <c r="F1090" s="25">
        <f t="shared" si="32"/>
        <v>0</v>
      </c>
      <c r="G1090" s="40" t="str">
        <f t="shared" si="33"/>
        <v>Tue</v>
      </c>
    </row>
    <row r="1091" spans="1:7" ht="14.4" x14ac:dyDescent="0.3">
      <c r="A1091" s="22">
        <v>44299</v>
      </c>
      <c r="B1091" s="23" t="s">
        <v>32</v>
      </c>
      <c r="C1091" s="23" t="s">
        <v>96</v>
      </c>
      <c r="D1091" s="24">
        <v>2</v>
      </c>
      <c r="E1091" s="17">
        <f>VLOOKUP(B1091,'SKU Master'!$B$2:$E$31,4,0)</f>
        <v>559</v>
      </c>
      <c r="F1091" s="25">
        <f t="shared" ref="F1091:F1154" si="34">D1091*E1091</f>
        <v>1118</v>
      </c>
      <c r="G1091" s="40" t="str">
        <f t="shared" si="33"/>
        <v>Tue</v>
      </c>
    </row>
    <row r="1092" spans="1:7" ht="14.4" x14ac:dyDescent="0.3">
      <c r="A1092" s="22">
        <v>44299</v>
      </c>
      <c r="B1092" s="23" t="s">
        <v>36</v>
      </c>
      <c r="C1092" s="23" t="s">
        <v>96</v>
      </c>
      <c r="D1092" s="24">
        <v>26</v>
      </c>
      <c r="E1092" s="17">
        <f>VLOOKUP(B1092,'SKU Master'!$B$2:$E$31,4,0)</f>
        <v>3199</v>
      </c>
      <c r="F1092" s="25">
        <f t="shared" si="34"/>
        <v>83174</v>
      </c>
      <c r="G1092" s="40" t="str">
        <f t="shared" ref="G1092:G1155" si="35">CHOOSE(WEEKDAY(A1092),"Sun","Mon","Tue","Wed","Thu","Fri","Sat")</f>
        <v>Tue</v>
      </c>
    </row>
    <row r="1093" spans="1:7" ht="14.4" x14ac:dyDescent="0.3">
      <c r="A1093" s="22">
        <v>44299</v>
      </c>
      <c r="B1093" s="23" t="s">
        <v>39</v>
      </c>
      <c r="C1093" s="23" t="s">
        <v>96</v>
      </c>
      <c r="D1093" s="24">
        <v>17</v>
      </c>
      <c r="E1093" s="17">
        <f>VLOOKUP(B1093,'SKU Master'!$B$2:$E$31,4,0)</f>
        <v>371</v>
      </c>
      <c r="F1093" s="25">
        <f t="shared" si="34"/>
        <v>6307</v>
      </c>
      <c r="G1093" s="40" t="str">
        <f t="shared" si="35"/>
        <v>Tue</v>
      </c>
    </row>
    <row r="1094" spans="1:7" ht="14.4" x14ac:dyDescent="0.3">
      <c r="A1094" s="22">
        <v>44299</v>
      </c>
      <c r="B1094" s="23" t="s">
        <v>42</v>
      </c>
      <c r="C1094" s="23" t="s">
        <v>96</v>
      </c>
      <c r="D1094" s="24">
        <v>12</v>
      </c>
      <c r="E1094" s="17">
        <f>VLOOKUP(B1094,'SKU Master'!$B$2:$E$31,4,0)</f>
        <v>2300</v>
      </c>
      <c r="F1094" s="25">
        <f t="shared" si="34"/>
        <v>27600</v>
      </c>
      <c r="G1094" s="40" t="str">
        <f t="shared" si="35"/>
        <v>Tue</v>
      </c>
    </row>
    <row r="1095" spans="1:7" ht="14.4" x14ac:dyDescent="0.3">
      <c r="A1095" s="22">
        <v>44299</v>
      </c>
      <c r="B1095" s="23" t="s">
        <v>45</v>
      </c>
      <c r="C1095" s="23" t="s">
        <v>96</v>
      </c>
      <c r="D1095" s="24">
        <v>8</v>
      </c>
      <c r="E1095" s="17">
        <f>VLOOKUP(B1095,'SKU Master'!$B$2:$E$31,4,0)</f>
        <v>499</v>
      </c>
      <c r="F1095" s="25">
        <f t="shared" si="34"/>
        <v>3992</v>
      </c>
      <c r="G1095" s="40" t="str">
        <f t="shared" si="35"/>
        <v>Tue</v>
      </c>
    </row>
    <row r="1096" spans="1:7" ht="14.4" x14ac:dyDescent="0.3">
      <c r="A1096" s="22">
        <v>44299</v>
      </c>
      <c r="B1096" s="23" t="s">
        <v>48</v>
      </c>
      <c r="C1096" s="23" t="s">
        <v>96</v>
      </c>
      <c r="D1096" s="24">
        <v>6</v>
      </c>
      <c r="E1096" s="17">
        <f>VLOOKUP(B1096,'SKU Master'!$B$2:$E$31,4,0)</f>
        <v>299</v>
      </c>
      <c r="F1096" s="25">
        <f t="shared" si="34"/>
        <v>1794</v>
      </c>
      <c r="G1096" s="40" t="str">
        <f t="shared" si="35"/>
        <v>Tue</v>
      </c>
    </row>
    <row r="1097" spans="1:7" ht="14.4" x14ac:dyDescent="0.3">
      <c r="A1097" s="22">
        <v>44299</v>
      </c>
      <c r="B1097" s="23" t="s">
        <v>51</v>
      </c>
      <c r="C1097" s="23" t="s">
        <v>96</v>
      </c>
      <c r="D1097" s="24">
        <v>2</v>
      </c>
      <c r="E1097" s="17">
        <f>VLOOKUP(B1097,'SKU Master'!$B$2:$E$31,4,0)</f>
        <v>901</v>
      </c>
      <c r="F1097" s="25">
        <f t="shared" si="34"/>
        <v>1802</v>
      </c>
      <c r="G1097" s="40" t="str">
        <f t="shared" si="35"/>
        <v>Tue</v>
      </c>
    </row>
    <row r="1098" spans="1:7" ht="14.4" x14ac:dyDescent="0.3">
      <c r="A1098" s="22">
        <v>44299</v>
      </c>
      <c r="B1098" s="23" t="s">
        <v>54</v>
      </c>
      <c r="C1098" s="23" t="s">
        <v>96</v>
      </c>
      <c r="D1098" s="24">
        <v>3</v>
      </c>
      <c r="E1098" s="17">
        <f>VLOOKUP(B1098,'SKU Master'!$B$2:$E$31,4,0)</f>
        <v>929</v>
      </c>
      <c r="F1098" s="25">
        <f t="shared" si="34"/>
        <v>2787</v>
      </c>
      <c r="G1098" s="40" t="str">
        <f t="shared" si="35"/>
        <v>Tue</v>
      </c>
    </row>
    <row r="1099" spans="1:7" ht="14.4" x14ac:dyDescent="0.3">
      <c r="A1099" s="22">
        <v>44299</v>
      </c>
      <c r="B1099" s="23" t="s">
        <v>57</v>
      </c>
      <c r="C1099" s="23" t="s">
        <v>96</v>
      </c>
      <c r="D1099" s="24">
        <v>0</v>
      </c>
      <c r="E1099" s="17">
        <f>VLOOKUP(B1099,'SKU Master'!$B$2:$E$31,4,0)</f>
        <v>1030</v>
      </c>
      <c r="F1099" s="25">
        <f t="shared" si="34"/>
        <v>0</v>
      </c>
      <c r="G1099" s="40" t="str">
        <f t="shared" si="35"/>
        <v>Tue</v>
      </c>
    </row>
    <row r="1100" spans="1:7" ht="14.4" x14ac:dyDescent="0.3">
      <c r="A1100" s="22">
        <v>44299</v>
      </c>
      <c r="B1100" s="23" t="s">
        <v>60</v>
      </c>
      <c r="C1100" s="23" t="s">
        <v>96</v>
      </c>
      <c r="D1100" s="24">
        <v>2</v>
      </c>
      <c r="E1100" s="17">
        <f>VLOOKUP(B1100,'SKU Master'!$B$2:$E$31,4,0)</f>
        <v>1222</v>
      </c>
      <c r="F1100" s="25">
        <f t="shared" si="34"/>
        <v>2444</v>
      </c>
      <c r="G1100" s="40" t="str">
        <f t="shared" si="35"/>
        <v>Tue</v>
      </c>
    </row>
    <row r="1101" spans="1:7" ht="14.4" x14ac:dyDescent="0.3">
      <c r="A1101" s="22">
        <v>44299</v>
      </c>
      <c r="B1101" s="23" t="s">
        <v>63</v>
      </c>
      <c r="C1101" s="23" t="s">
        <v>96</v>
      </c>
      <c r="D1101" s="24">
        <v>0</v>
      </c>
      <c r="E1101" s="17">
        <f>VLOOKUP(B1101,'SKU Master'!$B$2:$E$31,4,0)</f>
        <v>649</v>
      </c>
      <c r="F1101" s="25">
        <f t="shared" si="34"/>
        <v>0</v>
      </c>
      <c r="G1101" s="40" t="str">
        <f t="shared" si="35"/>
        <v>Tue</v>
      </c>
    </row>
    <row r="1102" spans="1:7" ht="14.4" x14ac:dyDescent="0.3">
      <c r="A1102" s="22">
        <v>44299</v>
      </c>
      <c r="B1102" s="23" t="s">
        <v>67</v>
      </c>
      <c r="C1102" s="23" t="s">
        <v>96</v>
      </c>
      <c r="D1102" s="24">
        <v>34</v>
      </c>
      <c r="E1102" s="17">
        <f>VLOOKUP(B1102,'SKU Master'!$B$2:$E$31,4,0)</f>
        <v>1800</v>
      </c>
      <c r="F1102" s="25">
        <f t="shared" si="34"/>
        <v>61200</v>
      </c>
      <c r="G1102" s="40" t="str">
        <f t="shared" si="35"/>
        <v>Tue</v>
      </c>
    </row>
    <row r="1103" spans="1:7" ht="14.4" x14ac:dyDescent="0.3">
      <c r="A1103" s="22">
        <v>44299</v>
      </c>
      <c r="B1103" s="23" t="s">
        <v>70</v>
      </c>
      <c r="C1103" s="23" t="s">
        <v>96</v>
      </c>
      <c r="D1103" s="24">
        <v>14</v>
      </c>
      <c r="E1103" s="17">
        <f>VLOOKUP(B1103,'SKU Master'!$B$2:$E$31,4,0)</f>
        <v>345</v>
      </c>
      <c r="F1103" s="25">
        <f t="shared" si="34"/>
        <v>4830</v>
      </c>
      <c r="G1103" s="40" t="str">
        <f t="shared" si="35"/>
        <v>Tue</v>
      </c>
    </row>
    <row r="1104" spans="1:7" ht="14.4" x14ac:dyDescent="0.3">
      <c r="A1104" s="22">
        <v>44299</v>
      </c>
      <c r="B1104" s="23" t="s">
        <v>73</v>
      </c>
      <c r="C1104" s="23" t="s">
        <v>96</v>
      </c>
      <c r="D1104" s="24">
        <v>9</v>
      </c>
      <c r="E1104" s="17">
        <f>VLOOKUP(B1104,'SKU Master'!$B$2:$E$31,4,0)</f>
        <v>350</v>
      </c>
      <c r="F1104" s="25">
        <f t="shared" si="34"/>
        <v>3150</v>
      </c>
      <c r="G1104" s="40" t="str">
        <f t="shared" si="35"/>
        <v>Tue</v>
      </c>
    </row>
    <row r="1105" spans="1:7" ht="14.4" x14ac:dyDescent="0.3">
      <c r="A1105" s="22">
        <v>44299</v>
      </c>
      <c r="B1105" s="23" t="s">
        <v>76</v>
      </c>
      <c r="C1105" s="23" t="s">
        <v>96</v>
      </c>
      <c r="D1105" s="24">
        <v>7</v>
      </c>
      <c r="E1105" s="17">
        <f>VLOOKUP(B1105,'SKU Master'!$B$2:$E$31,4,0)</f>
        <v>1575</v>
      </c>
      <c r="F1105" s="25">
        <f t="shared" si="34"/>
        <v>11025</v>
      </c>
      <c r="G1105" s="40" t="str">
        <f t="shared" si="35"/>
        <v>Tue</v>
      </c>
    </row>
    <row r="1106" spans="1:7" ht="14.4" x14ac:dyDescent="0.3">
      <c r="A1106" s="22">
        <v>44299</v>
      </c>
      <c r="B1106" s="23" t="s">
        <v>78</v>
      </c>
      <c r="C1106" s="23" t="s">
        <v>96</v>
      </c>
      <c r="D1106" s="24">
        <v>7</v>
      </c>
      <c r="E1106" s="17">
        <f>VLOOKUP(B1106,'SKU Master'!$B$2:$E$31,4,0)</f>
        <v>1045</v>
      </c>
      <c r="F1106" s="25">
        <f t="shared" si="34"/>
        <v>7315</v>
      </c>
      <c r="G1106" s="40" t="str">
        <f t="shared" si="35"/>
        <v>Tue</v>
      </c>
    </row>
    <row r="1107" spans="1:7" ht="14.4" x14ac:dyDescent="0.3">
      <c r="A1107" s="22">
        <v>44299</v>
      </c>
      <c r="B1107" s="23" t="s">
        <v>81</v>
      </c>
      <c r="C1107" s="23" t="s">
        <v>96</v>
      </c>
      <c r="D1107" s="24">
        <v>5</v>
      </c>
      <c r="E1107" s="17">
        <f>VLOOKUP(B1107,'SKU Master'!$B$2:$E$31,4,0)</f>
        <v>1186</v>
      </c>
      <c r="F1107" s="25">
        <f t="shared" si="34"/>
        <v>5930</v>
      </c>
      <c r="G1107" s="40" t="str">
        <f t="shared" si="35"/>
        <v>Tue</v>
      </c>
    </row>
    <row r="1108" spans="1:7" ht="14.4" x14ac:dyDescent="0.3">
      <c r="A1108" s="22">
        <v>44299</v>
      </c>
      <c r="B1108" s="23" t="s">
        <v>84</v>
      </c>
      <c r="C1108" s="23" t="s">
        <v>96</v>
      </c>
      <c r="D1108" s="24">
        <v>4</v>
      </c>
      <c r="E1108" s="17">
        <f>VLOOKUP(B1108,'SKU Master'!$B$2:$E$31,4,0)</f>
        <v>374</v>
      </c>
      <c r="F1108" s="25">
        <f t="shared" si="34"/>
        <v>1496</v>
      </c>
      <c r="G1108" s="40" t="str">
        <f t="shared" si="35"/>
        <v>Tue</v>
      </c>
    </row>
    <row r="1109" spans="1:7" ht="14.4" x14ac:dyDescent="0.3">
      <c r="A1109" s="22">
        <v>44299</v>
      </c>
      <c r="B1109" s="23" t="s">
        <v>87</v>
      </c>
      <c r="C1109" s="23" t="s">
        <v>96</v>
      </c>
      <c r="D1109" s="24">
        <v>2</v>
      </c>
      <c r="E1109" s="17">
        <f>VLOOKUP(B1109,'SKU Master'!$B$2:$E$31,4,0)</f>
        <v>1500</v>
      </c>
      <c r="F1109" s="25">
        <f t="shared" si="34"/>
        <v>3000</v>
      </c>
      <c r="G1109" s="40" t="str">
        <f t="shared" si="35"/>
        <v>Tue</v>
      </c>
    </row>
    <row r="1110" spans="1:7" ht="14.4" x14ac:dyDescent="0.3">
      <c r="A1110" s="22">
        <v>44299</v>
      </c>
      <c r="B1110" s="23" t="s">
        <v>90</v>
      </c>
      <c r="C1110" s="23" t="s">
        <v>96</v>
      </c>
      <c r="D1110" s="24">
        <v>1</v>
      </c>
      <c r="E1110" s="17">
        <f>VLOOKUP(B1110,'SKU Master'!$B$2:$E$31,4,0)</f>
        <v>1800</v>
      </c>
      <c r="F1110" s="25">
        <f t="shared" si="34"/>
        <v>1800</v>
      </c>
      <c r="G1110" s="40" t="str">
        <f t="shared" si="35"/>
        <v>Tue</v>
      </c>
    </row>
    <row r="1111" spans="1:7" ht="14.4" x14ac:dyDescent="0.3">
      <c r="A1111" s="22">
        <v>44299</v>
      </c>
      <c r="B1111" s="23" t="s">
        <v>93</v>
      </c>
      <c r="C1111" s="23" t="s">
        <v>96</v>
      </c>
      <c r="D1111" s="24">
        <v>0</v>
      </c>
      <c r="E1111" s="17">
        <f>VLOOKUP(B1111,'SKU Master'!$B$2:$E$31,4,0)</f>
        <v>1477</v>
      </c>
      <c r="F1111" s="25">
        <f t="shared" si="34"/>
        <v>0</v>
      </c>
      <c r="G1111" s="40" t="str">
        <f t="shared" si="35"/>
        <v>Tue</v>
      </c>
    </row>
    <row r="1112" spans="1:7" ht="14.4" x14ac:dyDescent="0.3">
      <c r="A1112" s="22">
        <v>44299</v>
      </c>
      <c r="B1112" s="23" t="s">
        <v>6</v>
      </c>
      <c r="C1112" s="23" t="s">
        <v>98</v>
      </c>
      <c r="D1112" s="24">
        <v>24</v>
      </c>
      <c r="E1112" s="17">
        <f>VLOOKUP(B1112,'SKU Master'!$B$2:$E$31,4,0)</f>
        <v>210</v>
      </c>
      <c r="F1112" s="25">
        <f t="shared" si="34"/>
        <v>5040</v>
      </c>
      <c r="G1112" s="40" t="str">
        <f t="shared" si="35"/>
        <v>Tue</v>
      </c>
    </row>
    <row r="1113" spans="1:7" ht="14.4" x14ac:dyDescent="0.3">
      <c r="A1113" s="22">
        <v>44299</v>
      </c>
      <c r="B1113" s="23" t="s">
        <v>9</v>
      </c>
      <c r="C1113" s="23" t="s">
        <v>98</v>
      </c>
      <c r="D1113" s="24">
        <v>9</v>
      </c>
      <c r="E1113" s="17">
        <f>VLOOKUP(B1113,'SKU Master'!$B$2:$E$31,4,0)</f>
        <v>199</v>
      </c>
      <c r="F1113" s="25">
        <f t="shared" si="34"/>
        <v>1791</v>
      </c>
      <c r="G1113" s="40" t="str">
        <f t="shared" si="35"/>
        <v>Tue</v>
      </c>
    </row>
    <row r="1114" spans="1:7" ht="14.4" x14ac:dyDescent="0.3">
      <c r="A1114" s="22">
        <v>44299</v>
      </c>
      <c r="B1114" s="23" t="s">
        <v>12</v>
      </c>
      <c r="C1114" s="23" t="s">
        <v>98</v>
      </c>
      <c r="D1114" s="24">
        <v>6</v>
      </c>
      <c r="E1114" s="17">
        <f>VLOOKUP(B1114,'SKU Master'!$B$2:$E$31,4,0)</f>
        <v>322</v>
      </c>
      <c r="F1114" s="25">
        <f t="shared" si="34"/>
        <v>1932</v>
      </c>
      <c r="G1114" s="40" t="str">
        <f t="shared" si="35"/>
        <v>Tue</v>
      </c>
    </row>
    <row r="1115" spans="1:7" ht="14.4" x14ac:dyDescent="0.3">
      <c r="A1115" s="22">
        <v>44299</v>
      </c>
      <c r="B1115" s="23" t="s">
        <v>15</v>
      </c>
      <c r="C1115" s="23" t="s">
        <v>98</v>
      </c>
      <c r="D1115" s="24">
        <v>6</v>
      </c>
      <c r="E1115" s="17">
        <f>VLOOKUP(B1115,'SKU Master'!$B$2:$E$31,4,0)</f>
        <v>161</v>
      </c>
      <c r="F1115" s="25">
        <f t="shared" si="34"/>
        <v>966</v>
      </c>
      <c r="G1115" s="40" t="str">
        <f t="shared" si="35"/>
        <v>Tue</v>
      </c>
    </row>
    <row r="1116" spans="1:7" ht="14.4" x14ac:dyDescent="0.3">
      <c r="A1116" s="22">
        <v>44299</v>
      </c>
      <c r="B1116" s="23" t="s">
        <v>17</v>
      </c>
      <c r="C1116" s="23" t="s">
        <v>98</v>
      </c>
      <c r="D1116" s="24">
        <v>4</v>
      </c>
      <c r="E1116" s="17">
        <f>VLOOKUP(B1116,'SKU Master'!$B$2:$E$31,4,0)</f>
        <v>109</v>
      </c>
      <c r="F1116" s="25">
        <f t="shared" si="34"/>
        <v>436</v>
      </c>
      <c r="G1116" s="40" t="str">
        <f t="shared" si="35"/>
        <v>Tue</v>
      </c>
    </row>
    <row r="1117" spans="1:7" ht="14.4" x14ac:dyDescent="0.3">
      <c r="A1117" s="22">
        <v>44299</v>
      </c>
      <c r="B1117" s="23" t="s">
        <v>20</v>
      </c>
      <c r="C1117" s="23" t="s">
        <v>98</v>
      </c>
      <c r="D1117" s="24">
        <v>3</v>
      </c>
      <c r="E1117" s="17">
        <f>VLOOKUP(B1117,'SKU Master'!$B$2:$E$31,4,0)</f>
        <v>122</v>
      </c>
      <c r="F1117" s="25">
        <f t="shared" si="34"/>
        <v>366</v>
      </c>
      <c r="G1117" s="40" t="str">
        <f t="shared" si="35"/>
        <v>Tue</v>
      </c>
    </row>
    <row r="1118" spans="1:7" ht="14.4" x14ac:dyDescent="0.3">
      <c r="A1118" s="22">
        <v>44299</v>
      </c>
      <c r="B1118" s="23" t="s">
        <v>23</v>
      </c>
      <c r="C1118" s="23" t="s">
        <v>98</v>
      </c>
      <c r="D1118" s="24">
        <v>2</v>
      </c>
      <c r="E1118" s="17">
        <f>VLOOKUP(B1118,'SKU Master'!$B$2:$E$31,4,0)</f>
        <v>96</v>
      </c>
      <c r="F1118" s="25">
        <f t="shared" si="34"/>
        <v>192</v>
      </c>
      <c r="G1118" s="40" t="str">
        <f t="shared" si="35"/>
        <v>Tue</v>
      </c>
    </row>
    <row r="1119" spans="1:7" ht="14.4" x14ac:dyDescent="0.3">
      <c r="A1119" s="22">
        <v>44299</v>
      </c>
      <c r="B1119" s="23" t="s">
        <v>26</v>
      </c>
      <c r="C1119" s="23" t="s">
        <v>98</v>
      </c>
      <c r="D1119" s="24">
        <v>0</v>
      </c>
      <c r="E1119" s="17">
        <f>VLOOKUP(B1119,'SKU Master'!$B$2:$E$31,4,0)</f>
        <v>73</v>
      </c>
      <c r="F1119" s="25">
        <f t="shared" si="34"/>
        <v>0</v>
      </c>
      <c r="G1119" s="40" t="str">
        <f t="shared" si="35"/>
        <v>Tue</v>
      </c>
    </row>
    <row r="1120" spans="1:7" ht="14.4" x14ac:dyDescent="0.3">
      <c r="A1120" s="22">
        <v>44299</v>
      </c>
      <c r="B1120" s="23" t="s">
        <v>29</v>
      </c>
      <c r="C1120" s="23" t="s">
        <v>98</v>
      </c>
      <c r="D1120" s="24">
        <v>0</v>
      </c>
      <c r="E1120" s="17">
        <f>VLOOKUP(B1120,'SKU Master'!$B$2:$E$31,4,0)</f>
        <v>225</v>
      </c>
      <c r="F1120" s="25">
        <f t="shared" si="34"/>
        <v>0</v>
      </c>
      <c r="G1120" s="40" t="str">
        <f t="shared" si="35"/>
        <v>Tue</v>
      </c>
    </row>
    <row r="1121" spans="1:7" ht="14.4" x14ac:dyDescent="0.3">
      <c r="A1121" s="22">
        <v>44299</v>
      </c>
      <c r="B1121" s="23" t="s">
        <v>32</v>
      </c>
      <c r="C1121" s="23" t="s">
        <v>98</v>
      </c>
      <c r="D1121" s="24">
        <v>1</v>
      </c>
      <c r="E1121" s="17">
        <f>VLOOKUP(B1121,'SKU Master'!$B$2:$E$31,4,0)</f>
        <v>559</v>
      </c>
      <c r="F1121" s="25">
        <f t="shared" si="34"/>
        <v>559</v>
      </c>
      <c r="G1121" s="40" t="str">
        <f t="shared" si="35"/>
        <v>Tue</v>
      </c>
    </row>
    <row r="1122" spans="1:7" ht="14.4" x14ac:dyDescent="0.3">
      <c r="A1122" s="22">
        <v>44299</v>
      </c>
      <c r="B1122" s="23" t="s">
        <v>36</v>
      </c>
      <c r="C1122" s="23" t="s">
        <v>98</v>
      </c>
      <c r="D1122" s="24">
        <v>25</v>
      </c>
      <c r="E1122" s="17">
        <f>VLOOKUP(B1122,'SKU Master'!$B$2:$E$31,4,0)</f>
        <v>3199</v>
      </c>
      <c r="F1122" s="25">
        <f t="shared" si="34"/>
        <v>79975</v>
      </c>
      <c r="G1122" s="40" t="str">
        <f t="shared" si="35"/>
        <v>Tue</v>
      </c>
    </row>
    <row r="1123" spans="1:7" ht="14.4" x14ac:dyDescent="0.3">
      <c r="A1123" s="22">
        <v>44299</v>
      </c>
      <c r="B1123" s="23" t="s">
        <v>39</v>
      </c>
      <c r="C1123" s="23" t="s">
        <v>98</v>
      </c>
      <c r="D1123" s="24">
        <v>3</v>
      </c>
      <c r="E1123" s="17">
        <f>VLOOKUP(B1123,'SKU Master'!$B$2:$E$31,4,0)</f>
        <v>371</v>
      </c>
      <c r="F1123" s="25">
        <f t="shared" si="34"/>
        <v>1113</v>
      </c>
      <c r="G1123" s="40" t="str">
        <f t="shared" si="35"/>
        <v>Tue</v>
      </c>
    </row>
    <row r="1124" spans="1:7" ht="14.4" x14ac:dyDescent="0.3">
      <c r="A1124" s="22">
        <v>44299</v>
      </c>
      <c r="B1124" s="23" t="s">
        <v>42</v>
      </c>
      <c r="C1124" s="23" t="s">
        <v>98</v>
      </c>
      <c r="D1124" s="24">
        <v>11</v>
      </c>
      <c r="E1124" s="17">
        <f>VLOOKUP(B1124,'SKU Master'!$B$2:$E$31,4,0)</f>
        <v>2300</v>
      </c>
      <c r="F1124" s="25">
        <f t="shared" si="34"/>
        <v>25300</v>
      </c>
      <c r="G1124" s="40" t="str">
        <f t="shared" si="35"/>
        <v>Tue</v>
      </c>
    </row>
    <row r="1125" spans="1:7" ht="14.4" x14ac:dyDescent="0.3">
      <c r="A1125" s="22">
        <v>44299</v>
      </c>
      <c r="B1125" s="23" t="s">
        <v>45</v>
      </c>
      <c r="C1125" s="23" t="s">
        <v>98</v>
      </c>
      <c r="D1125" s="24">
        <v>5</v>
      </c>
      <c r="E1125" s="17">
        <f>VLOOKUP(B1125,'SKU Master'!$B$2:$E$31,4,0)</f>
        <v>499</v>
      </c>
      <c r="F1125" s="25">
        <f t="shared" si="34"/>
        <v>2495</v>
      </c>
      <c r="G1125" s="40" t="str">
        <f t="shared" si="35"/>
        <v>Tue</v>
      </c>
    </row>
    <row r="1126" spans="1:7" ht="14.4" x14ac:dyDescent="0.3">
      <c r="A1126" s="22">
        <v>44299</v>
      </c>
      <c r="B1126" s="23" t="s">
        <v>48</v>
      </c>
      <c r="C1126" s="23" t="s">
        <v>98</v>
      </c>
      <c r="D1126" s="24">
        <v>0</v>
      </c>
      <c r="E1126" s="17">
        <f>VLOOKUP(B1126,'SKU Master'!$B$2:$E$31,4,0)</f>
        <v>299</v>
      </c>
      <c r="F1126" s="25">
        <f t="shared" si="34"/>
        <v>0</v>
      </c>
      <c r="G1126" s="40" t="str">
        <f t="shared" si="35"/>
        <v>Tue</v>
      </c>
    </row>
    <row r="1127" spans="1:7" ht="14.4" x14ac:dyDescent="0.3">
      <c r="A1127" s="22">
        <v>44299</v>
      </c>
      <c r="B1127" s="23" t="s">
        <v>51</v>
      </c>
      <c r="C1127" s="23" t="s">
        <v>98</v>
      </c>
      <c r="D1127" s="24">
        <v>1</v>
      </c>
      <c r="E1127" s="17">
        <f>VLOOKUP(B1127,'SKU Master'!$B$2:$E$31,4,0)</f>
        <v>901</v>
      </c>
      <c r="F1127" s="25">
        <f t="shared" si="34"/>
        <v>901</v>
      </c>
      <c r="G1127" s="40" t="str">
        <f t="shared" si="35"/>
        <v>Tue</v>
      </c>
    </row>
    <row r="1128" spans="1:7" ht="14.4" x14ac:dyDescent="0.3">
      <c r="A1128" s="22">
        <v>44299</v>
      </c>
      <c r="B1128" s="23" t="s">
        <v>54</v>
      </c>
      <c r="C1128" s="23" t="s">
        <v>98</v>
      </c>
      <c r="D1128" s="24">
        <v>1</v>
      </c>
      <c r="E1128" s="17">
        <f>VLOOKUP(B1128,'SKU Master'!$B$2:$E$31,4,0)</f>
        <v>929</v>
      </c>
      <c r="F1128" s="25">
        <f t="shared" si="34"/>
        <v>929</v>
      </c>
      <c r="G1128" s="40" t="str">
        <f t="shared" si="35"/>
        <v>Tue</v>
      </c>
    </row>
    <row r="1129" spans="1:7" ht="14.4" x14ac:dyDescent="0.3">
      <c r="A1129" s="22">
        <v>44299</v>
      </c>
      <c r="B1129" s="23" t="s">
        <v>57</v>
      </c>
      <c r="C1129" s="23" t="s">
        <v>98</v>
      </c>
      <c r="D1129" s="24">
        <v>0</v>
      </c>
      <c r="E1129" s="17">
        <f>VLOOKUP(B1129,'SKU Master'!$B$2:$E$31,4,0)</f>
        <v>1030</v>
      </c>
      <c r="F1129" s="25">
        <f t="shared" si="34"/>
        <v>0</v>
      </c>
      <c r="G1129" s="40" t="str">
        <f t="shared" si="35"/>
        <v>Tue</v>
      </c>
    </row>
    <row r="1130" spans="1:7" ht="14.4" x14ac:dyDescent="0.3">
      <c r="A1130" s="22">
        <v>44299</v>
      </c>
      <c r="B1130" s="23" t="s">
        <v>60</v>
      </c>
      <c r="C1130" s="23" t="s">
        <v>98</v>
      </c>
      <c r="D1130" s="24">
        <v>0</v>
      </c>
      <c r="E1130" s="17">
        <f>VLOOKUP(B1130,'SKU Master'!$B$2:$E$31,4,0)</f>
        <v>1222</v>
      </c>
      <c r="F1130" s="25">
        <f t="shared" si="34"/>
        <v>0</v>
      </c>
      <c r="G1130" s="40" t="str">
        <f t="shared" si="35"/>
        <v>Tue</v>
      </c>
    </row>
    <row r="1131" spans="1:7" ht="14.4" x14ac:dyDescent="0.3">
      <c r="A1131" s="22">
        <v>44299</v>
      </c>
      <c r="B1131" s="23" t="s">
        <v>63</v>
      </c>
      <c r="C1131" s="23" t="s">
        <v>98</v>
      </c>
      <c r="D1131" s="24">
        <v>0</v>
      </c>
      <c r="E1131" s="17">
        <f>VLOOKUP(B1131,'SKU Master'!$B$2:$E$31,4,0)</f>
        <v>649</v>
      </c>
      <c r="F1131" s="25">
        <f t="shared" si="34"/>
        <v>0</v>
      </c>
      <c r="G1131" s="40" t="str">
        <f t="shared" si="35"/>
        <v>Tue</v>
      </c>
    </row>
    <row r="1132" spans="1:7" ht="14.4" x14ac:dyDescent="0.3">
      <c r="A1132" s="22">
        <v>44299</v>
      </c>
      <c r="B1132" s="23" t="s">
        <v>67</v>
      </c>
      <c r="C1132" s="23" t="s">
        <v>98</v>
      </c>
      <c r="D1132" s="24">
        <v>24</v>
      </c>
      <c r="E1132" s="17">
        <f>VLOOKUP(B1132,'SKU Master'!$B$2:$E$31,4,0)</f>
        <v>1800</v>
      </c>
      <c r="F1132" s="25">
        <f t="shared" si="34"/>
        <v>43200</v>
      </c>
      <c r="G1132" s="40" t="str">
        <f t="shared" si="35"/>
        <v>Tue</v>
      </c>
    </row>
    <row r="1133" spans="1:7" ht="14.4" x14ac:dyDescent="0.3">
      <c r="A1133" s="22">
        <v>44299</v>
      </c>
      <c r="B1133" s="23" t="s">
        <v>70</v>
      </c>
      <c r="C1133" s="23" t="s">
        <v>98</v>
      </c>
      <c r="D1133" s="24">
        <v>9</v>
      </c>
      <c r="E1133" s="17">
        <f>VLOOKUP(B1133,'SKU Master'!$B$2:$E$31,4,0)</f>
        <v>345</v>
      </c>
      <c r="F1133" s="25">
        <f t="shared" si="34"/>
        <v>3105</v>
      </c>
      <c r="G1133" s="40" t="str">
        <f t="shared" si="35"/>
        <v>Tue</v>
      </c>
    </row>
    <row r="1134" spans="1:7" ht="14.4" x14ac:dyDescent="0.3">
      <c r="A1134" s="22">
        <v>44299</v>
      </c>
      <c r="B1134" s="23" t="s">
        <v>73</v>
      </c>
      <c r="C1134" s="23" t="s">
        <v>98</v>
      </c>
      <c r="D1134" s="24">
        <v>7</v>
      </c>
      <c r="E1134" s="17">
        <f>VLOOKUP(B1134,'SKU Master'!$B$2:$E$31,4,0)</f>
        <v>350</v>
      </c>
      <c r="F1134" s="25">
        <f t="shared" si="34"/>
        <v>2450</v>
      </c>
      <c r="G1134" s="40" t="str">
        <f t="shared" si="35"/>
        <v>Tue</v>
      </c>
    </row>
    <row r="1135" spans="1:7" ht="14.4" x14ac:dyDescent="0.3">
      <c r="A1135" s="22">
        <v>44299</v>
      </c>
      <c r="B1135" s="23" t="s">
        <v>76</v>
      </c>
      <c r="C1135" s="23" t="s">
        <v>98</v>
      </c>
      <c r="D1135" s="24">
        <v>6</v>
      </c>
      <c r="E1135" s="17">
        <f>VLOOKUP(B1135,'SKU Master'!$B$2:$E$31,4,0)</f>
        <v>1575</v>
      </c>
      <c r="F1135" s="25">
        <f t="shared" si="34"/>
        <v>9450</v>
      </c>
      <c r="G1135" s="40" t="str">
        <f t="shared" si="35"/>
        <v>Tue</v>
      </c>
    </row>
    <row r="1136" spans="1:7" ht="14.4" x14ac:dyDescent="0.3">
      <c r="A1136" s="22">
        <v>44299</v>
      </c>
      <c r="B1136" s="23" t="s">
        <v>78</v>
      </c>
      <c r="C1136" s="23" t="s">
        <v>98</v>
      </c>
      <c r="D1136" s="24">
        <v>3</v>
      </c>
      <c r="E1136" s="17">
        <f>VLOOKUP(B1136,'SKU Master'!$B$2:$E$31,4,0)</f>
        <v>1045</v>
      </c>
      <c r="F1136" s="25">
        <f t="shared" si="34"/>
        <v>3135</v>
      </c>
      <c r="G1136" s="40" t="str">
        <f t="shared" si="35"/>
        <v>Tue</v>
      </c>
    </row>
    <row r="1137" spans="1:7" ht="14.4" x14ac:dyDescent="0.3">
      <c r="A1137" s="22">
        <v>44299</v>
      </c>
      <c r="B1137" s="23" t="s">
        <v>81</v>
      </c>
      <c r="C1137" s="23" t="s">
        <v>98</v>
      </c>
      <c r="D1137" s="24">
        <v>2</v>
      </c>
      <c r="E1137" s="17">
        <f>VLOOKUP(B1137,'SKU Master'!$B$2:$E$31,4,0)</f>
        <v>1186</v>
      </c>
      <c r="F1137" s="25">
        <f t="shared" si="34"/>
        <v>2372</v>
      </c>
      <c r="G1137" s="40" t="str">
        <f t="shared" si="35"/>
        <v>Tue</v>
      </c>
    </row>
    <row r="1138" spans="1:7" ht="14.4" x14ac:dyDescent="0.3">
      <c r="A1138" s="22">
        <v>44299</v>
      </c>
      <c r="B1138" s="23" t="s">
        <v>84</v>
      </c>
      <c r="C1138" s="23" t="s">
        <v>98</v>
      </c>
      <c r="D1138" s="24">
        <v>1</v>
      </c>
      <c r="E1138" s="17">
        <f>VLOOKUP(B1138,'SKU Master'!$B$2:$E$31,4,0)</f>
        <v>374</v>
      </c>
      <c r="F1138" s="25">
        <f t="shared" si="34"/>
        <v>374</v>
      </c>
      <c r="G1138" s="40" t="str">
        <f t="shared" si="35"/>
        <v>Tue</v>
      </c>
    </row>
    <row r="1139" spans="1:7" ht="14.4" x14ac:dyDescent="0.3">
      <c r="A1139" s="22">
        <v>44299</v>
      </c>
      <c r="B1139" s="23" t="s">
        <v>87</v>
      </c>
      <c r="C1139" s="23" t="s">
        <v>98</v>
      </c>
      <c r="D1139" s="24">
        <v>0</v>
      </c>
      <c r="E1139" s="17">
        <f>VLOOKUP(B1139,'SKU Master'!$B$2:$E$31,4,0)</f>
        <v>1500</v>
      </c>
      <c r="F1139" s="25">
        <f t="shared" si="34"/>
        <v>0</v>
      </c>
      <c r="G1139" s="40" t="str">
        <f t="shared" si="35"/>
        <v>Tue</v>
      </c>
    </row>
    <row r="1140" spans="1:7" ht="14.4" x14ac:dyDescent="0.3">
      <c r="A1140" s="22">
        <v>44299</v>
      </c>
      <c r="B1140" s="23" t="s">
        <v>90</v>
      </c>
      <c r="C1140" s="23" t="s">
        <v>98</v>
      </c>
      <c r="D1140" s="24">
        <v>0</v>
      </c>
      <c r="E1140" s="17">
        <f>VLOOKUP(B1140,'SKU Master'!$B$2:$E$31,4,0)</f>
        <v>1800</v>
      </c>
      <c r="F1140" s="25">
        <f t="shared" si="34"/>
        <v>0</v>
      </c>
      <c r="G1140" s="40" t="str">
        <f t="shared" si="35"/>
        <v>Tue</v>
      </c>
    </row>
    <row r="1141" spans="1:7" ht="14.4" x14ac:dyDescent="0.3">
      <c r="A1141" s="22">
        <v>44299</v>
      </c>
      <c r="B1141" s="23" t="s">
        <v>93</v>
      </c>
      <c r="C1141" s="23" t="s">
        <v>98</v>
      </c>
      <c r="D1141" s="24">
        <v>0</v>
      </c>
      <c r="E1141" s="17">
        <f>VLOOKUP(B1141,'SKU Master'!$B$2:$E$31,4,0)</f>
        <v>1477</v>
      </c>
      <c r="F1141" s="25">
        <f t="shared" si="34"/>
        <v>0</v>
      </c>
      <c r="G1141" s="40" t="str">
        <f t="shared" si="35"/>
        <v>Tue</v>
      </c>
    </row>
    <row r="1142" spans="1:7" ht="14.4" x14ac:dyDescent="0.3">
      <c r="A1142" s="22">
        <v>44299</v>
      </c>
      <c r="B1142" s="23" t="s">
        <v>6</v>
      </c>
      <c r="C1142" s="23" t="s">
        <v>97</v>
      </c>
      <c r="D1142" s="24">
        <v>8</v>
      </c>
      <c r="E1142" s="17">
        <f>VLOOKUP(B1142,'SKU Master'!$B$2:$E$31,4,0)</f>
        <v>210</v>
      </c>
      <c r="F1142" s="25">
        <f t="shared" si="34"/>
        <v>1680</v>
      </c>
      <c r="G1142" s="40" t="str">
        <f t="shared" si="35"/>
        <v>Tue</v>
      </c>
    </row>
    <row r="1143" spans="1:7" ht="14.4" x14ac:dyDescent="0.3">
      <c r="A1143" s="22">
        <v>44299</v>
      </c>
      <c r="B1143" s="23" t="s">
        <v>9</v>
      </c>
      <c r="C1143" s="23" t="s">
        <v>97</v>
      </c>
      <c r="D1143" s="24">
        <v>5</v>
      </c>
      <c r="E1143" s="17">
        <f>VLOOKUP(B1143,'SKU Master'!$B$2:$E$31,4,0)</f>
        <v>199</v>
      </c>
      <c r="F1143" s="25">
        <f t="shared" si="34"/>
        <v>995</v>
      </c>
      <c r="G1143" s="40" t="str">
        <f t="shared" si="35"/>
        <v>Tue</v>
      </c>
    </row>
    <row r="1144" spans="1:7" ht="14.4" x14ac:dyDescent="0.3">
      <c r="A1144" s="22">
        <v>44299</v>
      </c>
      <c r="B1144" s="23" t="s">
        <v>12</v>
      </c>
      <c r="C1144" s="23" t="s">
        <v>97</v>
      </c>
      <c r="D1144" s="24">
        <v>6</v>
      </c>
      <c r="E1144" s="17">
        <f>VLOOKUP(B1144,'SKU Master'!$B$2:$E$31,4,0)</f>
        <v>322</v>
      </c>
      <c r="F1144" s="25">
        <f t="shared" si="34"/>
        <v>1932</v>
      </c>
      <c r="G1144" s="40" t="str">
        <f t="shared" si="35"/>
        <v>Tue</v>
      </c>
    </row>
    <row r="1145" spans="1:7" ht="14.4" x14ac:dyDescent="0.3">
      <c r="A1145" s="22">
        <v>44299</v>
      </c>
      <c r="B1145" s="23" t="s">
        <v>15</v>
      </c>
      <c r="C1145" s="23" t="s">
        <v>97</v>
      </c>
      <c r="D1145" s="24">
        <v>6</v>
      </c>
      <c r="E1145" s="17">
        <f>VLOOKUP(B1145,'SKU Master'!$B$2:$E$31,4,0)</f>
        <v>161</v>
      </c>
      <c r="F1145" s="25">
        <f t="shared" si="34"/>
        <v>966</v>
      </c>
      <c r="G1145" s="40" t="str">
        <f t="shared" si="35"/>
        <v>Tue</v>
      </c>
    </row>
    <row r="1146" spans="1:7" ht="14.4" x14ac:dyDescent="0.3">
      <c r="A1146" s="22">
        <v>44299</v>
      </c>
      <c r="B1146" s="23" t="s">
        <v>17</v>
      </c>
      <c r="C1146" s="23" t="s">
        <v>97</v>
      </c>
      <c r="D1146" s="24">
        <v>4</v>
      </c>
      <c r="E1146" s="17">
        <f>VLOOKUP(B1146,'SKU Master'!$B$2:$E$31,4,0)</f>
        <v>109</v>
      </c>
      <c r="F1146" s="25">
        <f t="shared" si="34"/>
        <v>436</v>
      </c>
      <c r="G1146" s="40" t="str">
        <f t="shared" si="35"/>
        <v>Tue</v>
      </c>
    </row>
    <row r="1147" spans="1:7" ht="14.4" x14ac:dyDescent="0.3">
      <c r="A1147" s="22">
        <v>44299</v>
      </c>
      <c r="B1147" s="23" t="s">
        <v>20</v>
      </c>
      <c r="C1147" s="23" t="s">
        <v>97</v>
      </c>
      <c r="D1147" s="24">
        <v>2</v>
      </c>
      <c r="E1147" s="17">
        <f>VLOOKUP(B1147,'SKU Master'!$B$2:$E$31,4,0)</f>
        <v>122</v>
      </c>
      <c r="F1147" s="25">
        <f t="shared" si="34"/>
        <v>244</v>
      </c>
      <c r="G1147" s="40" t="str">
        <f t="shared" si="35"/>
        <v>Tue</v>
      </c>
    </row>
    <row r="1148" spans="1:7" ht="14.4" x14ac:dyDescent="0.3">
      <c r="A1148" s="22">
        <v>44299</v>
      </c>
      <c r="B1148" s="23" t="s">
        <v>23</v>
      </c>
      <c r="C1148" s="23" t="s">
        <v>97</v>
      </c>
      <c r="D1148" s="24">
        <v>2</v>
      </c>
      <c r="E1148" s="17">
        <f>VLOOKUP(B1148,'SKU Master'!$B$2:$E$31,4,0)</f>
        <v>96</v>
      </c>
      <c r="F1148" s="25">
        <f t="shared" si="34"/>
        <v>192</v>
      </c>
      <c r="G1148" s="40" t="str">
        <f t="shared" si="35"/>
        <v>Tue</v>
      </c>
    </row>
    <row r="1149" spans="1:7" ht="14.4" x14ac:dyDescent="0.3">
      <c r="A1149" s="22">
        <v>44299</v>
      </c>
      <c r="B1149" s="23" t="s">
        <v>26</v>
      </c>
      <c r="C1149" s="23" t="s">
        <v>97</v>
      </c>
      <c r="D1149" s="24">
        <v>0</v>
      </c>
      <c r="E1149" s="17">
        <f>VLOOKUP(B1149,'SKU Master'!$B$2:$E$31,4,0)</f>
        <v>73</v>
      </c>
      <c r="F1149" s="25">
        <f t="shared" si="34"/>
        <v>0</v>
      </c>
      <c r="G1149" s="40" t="str">
        <f t="shared" si="35"/>
        <v>Tue</v>
      </c>
    </row>
    <row r="1150" spans="1:7" ht="14.4" x14ac:dyDescent="0.3">
      <c r="A1150" s="22">
        <v>44299</v>
      </c>
      <c r="B1150" s="23" t="s">
        <v>29</v>
      </c>
      <c r="C1150" s="23" t="s">
        <v>97</v>
      </c>
      <c r="D1150" s="24">
        <v>1</v>
      </c>
      <c r="E1150" s="17">
        <f>VLOOKUP(B1150,'SKU Master'!$B$2:$E$31,4,0)</f>
        <v>225</v>
      </c>
      <c r="F1150" s="25">
        <f t="shared" si="34"/>
        <v>225</v>
      </c>
      <c r="G1150" s="40" t="str">
        <f t="shared" si="35"/>
        <v>Tue</v>
      </c>
    </row>
    <row r="1151" spans="1:7" ht="14.4" x14ac:dyDescent="0.3">
      <c r="A1151" s="22">
        <v>44299</v>
      </c>
      <c r="B1151" s="23" t="s">
        <v>32</v>
      </c>
      <c r="C1151" s="23" t="s">
        <v>97</v>
      </c>
      <c r="D1151" s="24">
        <v>1</v>
      </c>
      <c r="E1151" s="17">
        <f>VLOOKUP(B1151,'SKU Master'!$B$2:$E$31,4,0)</f>
        <v>559</v>
      </c>
      <c r="F1151" s="25">
        <f t="shared" si="34"/>
        <v>559</v>
      </c>
      <c r="G1151" s="40" t="str">
        <f t="shared" si="35"/>
        <v>Tue</v>
      </c>
    </row>
    <row r="1152" spans="1:7" ht="14.4" x14ac:dyDescent="0.3">
      <c r="A1152" s="22">
        <v>44299</v>
      </c>
      <c r="B1152" s="23" t="s">
        <v>36</v>
      </c>
      <c r="C1152" s="23" t="s">
        <v>97</v>
      </c>
      <c r="D1152" s="24">
        <v>13</v>
      </c>
      <c r="E1152" s="17">
        <f>VLOOKUP(B1152,'SKU Master'!$B$2:$E$31,4,0)</f>
        <v>3199</v>
      </c>
      <c r="F1152" s="25">
        <f t="shared" si="34"/>
        <v>41587</v>
      </c>
      <c r="G1152" s="40" t="str">
        <f t="shared" si="35"/>
        <v>Tue</v>
      </c>
    </row>
    <row r="1153" spans="1:7" ht="14.4" x14ac:dyDescent="0.3">
      <c r="A1153" s="22">
        <v>44299</v>
      </c>
      <c r="B1153" s="23" t="s">
        <v>39</v>
      </c>
      <c r="C1153" s="23" t="s">
        <v>97</v>
      </c>
      <c r="D1153" s="24">
        <v>13</v>
      </c>
      <c r="E1153" s="17">
        <f>VLOOKUP(B1153,'SKU Master'!$B$2:$E$31,4,0)</f>
        <v>371</v>
      </c>
      <c r="F1153" s="25">
        <f t="shared" si="34"/>
        <v>4823</v>
      </c>
      <c r="G1153" s="40" t="str">
        <f t="shared" si="35"/>
        <v>Tue</v>
      </c>
    </row>
    <row r="1154" spans="1:7" ht="14.4" x14ac:dyDescent="0.3">
      <c r="A1154" s="22">
        <v>44299</v>
      </c>
      <c r="B1154" s="23" t="s">
        <v>42</v>
      </c>
      <c r="C1154" s="23" t="s">
        <v>97</v>
      </c>
      <c r="D1154" s="24">
        <v>2</v>
      </c>
      <c r="E1154" s="17">
        <f>VLOOKUP(B1154,'SKU Master'!$B$2:$E$31,4,0)</f>
        <v>2300</v>
      </c>
      <c r="F1154" s="25">
        <f t="shared" si="34"/>
        <v>4600</v>
      </c>
      <c r="G1154" s="40" t="str">
        <f t="shared" si="35"/>
        <v>Tue</v>
      </c>
    </row>
    <row r="1155" spans="1:7" ht="14.4" x14ac:dyDescent="0.3">
      <c r="A1155" s="22">
        <v>44299</v>
      </c>
      <c r="B1155" s="23" t="s">
        <v>45</v>
      </c>
      <c r="C1155" s="23" t="s">
        <v>97</v>
      </c>
      <c r="D1155" s="24">
        <v>6</v>
      </c>
      <c r="E1155" s="17">
        <f>VLOOKUP(B1155,'SKU Master'!$B$2:$E$31,4,0)</f>
        <v>499</v>
      </c>
      <c r="F1155" s="25">
        <f t="shared" ref="F1155:F1218" si="36">D1155*E1155</f>
        <v>2994</v>
      </c>
      <c r="G1155" s="40" t="str">
        <f t="shared" si="35"/>
        <v>Tue</v>
      </c>
    </row>
    <row r="1156" spans="1:7" ht="14.4" x14ac:dyDescent="0.3">
      <c r="A1156" s="22">
        <v>44299</v>
      </c>
      <c r="B1156" s="23" t="s">
        <v>48</v>
      </c>
      <c r="C1156" s="23" t="s">
        <v>97</v>
      </c>
      <c r="D1156" s="24">
        <v>6</v>
      </c>
      <c r="E1156" s="17">
        <f>VLOOKUP(B1156,'SKU Master'!$B$2:$E$31,4,0)</f>
        <v>299</v>
      </c>
      <c r="F1156" s="25">
        <f t="shared" si="36"/>
        <v>1794</v>
      </c>
      <c r="G1156" s="40" t="str">
        <f t="shared" ref="G1156:G1219" si="37">CHOOSE(WEEKDAY(A1156),"Sun","Mon","Tue","Wed","Thu","Fri","Sat")</f>
        <v>Tue</v>
      </c>
    </row>
    <row r="1157" spans="1:7" ht="14.4" x14ac:dyDescent="0.3">
      <c r="A1157" s="22">
        <v>44299</v>
      </c>
      <c r="B1157" s="23" t="s">
        <v>51</v>
      </c>
      <c r="C1157" s="23" t="s">
        <v>97</v>
      </c>
      <c r="D1157" s="24">
        <v>4</v>
      </c>
      <c r="E1157" s="17">
        <f>VLOOKUP(B1157,'SKU Master'!$B$2:$E$31,4,0)</f>
        <v>901</v>
      </c>
      <c r="F1157" s="25">
        <f t="shared" si="36"/>
        <v>3604</v>
      </c>
      <c r="G1157" s="40" t="str">
        <f t="shared" si="37"/>
        <v>Tue</v>
      </c>
    </row>
    <row r="1158" spans="1:7" ht="14.4" x14ac:dyDescent="0.3">
      <c r="A1158" s="22">
        <v>44299</v>
      </c>
      <c r="B1158" s="23" t="s">
        <v>54</v>
      </c>
      <c r="C1158" s="23" t="s">
        <v>97</v>
      </c>
      <c r="D1158" s="24">
        <v>3</v>
      </c>
      <c r="E1158" s="17">
        <f>VLOOKUP(B1158,'SKU Master'!$B$2:$E$31,4,0)</f>
        <v>929</v>
      </c>
      <c r="F1158" s="25">
        <f t="shared" si="36"/>
        <v>2787</v>
      </c>
      <c r="G1158" s="40" t="str">
        <f t="shared" si="37"/>
        <v>Tue</v>
      </c>
    </row>
    <row r="1159" spans="1:7" ht="14.4" x14ac:dyDescent="0.3">
      <c r="A1159" s="22">
        <v>44299</v>
      </c>
      <c r="B1159" s="23" t="s">
        <v>57</v>
      </c>
      <c r="C1159" s="23" t="s">
        <v>97</v>
      </c>
      <c r="D1159" s="24">
        <v>1</v>
      </c>
      <c r="E1159" s="17">
        <f>VLOOKUP(B1159,'SKU Master'!$B$2:$E$31,4,0)</f>
        <v>1030</v>
      </c>
      <c r="F1159" s="25">
        <f t="shared" si="36"/>
        <v>1030</v>
      </c>
      <c r="G1159" s="40" t="str">
        <f t="shared" si="37"/>
        <v>Tue</v>
      </c>
    </row>
    <row r="1160" spans="1:7" ht="14.4" x14ac:dyDescent="0.3">
      <c r="A1160" s="22">
        <v>44299</v>
      </c>
      <c r="B1160" s="23" t="s">
        <v>60</v>
      </c>
      <c r="C1160" s="23" t="s">
        <v>97</v>
      </c>
      <c r="D1160" s="24">
        <v>2</v>
      </c>
      <c r="E1160" s="17">
        <f>VLOOKUP(B1160,'SKU Master'!$B$2:$E$31,4,0)</f>
        <v>1222</v>
      </c>
      <c r="F1160" s="25">
        <f t="shared" si="36"/>
        <v>2444</v>
      </c>
      <c r="G1160" s="40" t="str">
        <f t="shared" si="37"/>
        <v>Tue</v>
      </c>
    </row>
    <row r="1161" spans="1:7" ht="14.4" x14ac:dyDescent="0.3">
      <c r="A1161" s="22">
        <v>44299</v>
      </c>
      <c r="B1161" s="23" t="s">
        <v>63</v>
      </c>
      <c r="C1161" s="23" t="s">
        <v>97</v>
      </c>
      <c r="D1161" s="24">
        <v>2</v>
      </c>
      <c r="E1161" s="17">
        <f>VLOOKUP(B1161,'SKU Master'!$B$2:$E$31,4,0)</f>
        <v>649</v>
      </c>
      <c r="F1161" s="25">
        <f t="shared" si="36"/>
        <v>1298</v>
      </c>
      <c r="G1161" s="40" t="str">
        <f t="shared" si="37"/>
        <v>Tue</v>
      </c>
    </row>
    <row r="1162" spans="1:7" ht="14.4" x14ac:dyDescent="0.3">
      <c r="A1162" s="22">
        <v>44299</v>
      </c>
      <c r="B1162" s="23" t="s">
        <v>67</v>
      </c>
      <c r="C1162" s="23" t="s">
        <v>97</v>
      </c>
      <c r="D1162" s="24">
        <v>3</v>
      </c>
      <c r="E1162" s="17">
        <f>VLOOKUP(B1162,'SKU Master'!$B$2:$E$31,4,0)</f>
        <v>1800</v>
      </c>
      <c r="F1162" s="25">
        <f t="shared" si="36"/>
        <v>5400</v>
      </c>
      <c r="G1162" s="40" t="str">
        <f t="shared" si="37"/>
        <v>Tue</v>
      </c>
    </row>
    <row r="1163" spans="1:7" ht="14.4" x14ac:dyDescent="0.3">
      <c r="A1163" s="22">
        <v>44299</v>
      </c>
      <c r="B1163" s="23" t="s">
        <v>70</v>
      </c>
      <c r="C1163" s="23" t="s">
        <v>97</v>
      </c>
      <c r="D1163" s="24">
        <v>5</v>
      </c>
      <c r="E1163" s="17">
        <f>VLOOKUP(B1163,'SKU Master'!$B$2:$E$31,4,0)</f>
        <v>345</v>
      </c>
      <c r="F1163" s="25">
        <f t="shared" si="36"/>
        <v>1725</v>
      </c>
      <c r="G1163" s="40" t="str">
        <f t="shared" si="37"/>
        <v>Tue</v>
      </c>
    </row>
    <row r="1164" spans="1:7" ht="14.4" x14ac:dyDescent="0.3">
      <c r="A1164" s="22">
        <v>44299</v>
      </c>
      <c r="B1164" s="23" t="s">
        <v>73</v>
      </c>
      <c r="C1164" s="23" t="s">
        <v>97</v>
      </c>
      <c r="D1164" s="24">
        <v>5</v>
      </c>
      <c r="E1164" s="17">
        <f>VLOOKUP(B1164,'SKU Master'!$B$2:$E$31,4,0)</f>
        <v>350</v>
      </c>
      <c r="F1164" s="25">
        <f t="shared" si="36"/>
        <v>1750</v>
      </c>
      <c r="G1164" s="40" t="str">
        <f t="shared" si="37"/>
        <v>Tue</v>
      </c>
    </row>
    <row r="1165" spans="1:7" ht="14.4" x14ac:dyDescent="0.3">
      <c r="A1165" s="22">
        <v>44299</v>
      </c>
      <c r="B1165" s="23" t="s">
        <v>76</v>
      </c>
      <c r="C1165" s="23" t="s">
        <v>97</v>
      </c>
      <c r="D1165" s="24">
        <v>2</v>
      </c>
      <c r="E1165" s="17">
        <f>VLOOKUP(B1165,'SKU Master'!$B$2:$E$31,4,0)</f>
        <v>1575</v>
      </c>
      <c r="F1165" s="25">
        <f t="shared" si="36"/>
        <v>3150</v>
      </c>
      <c r="G1165" s="40" t="str">
        <f t="shared" si="37"/>
        <v>Tue</v>
      </c>
    </row>
    <row r="1166" spans="1:7" ht="14.4" x14ac:dyDescent="0.3">
      <c r="A1166" s="22">
        <v>44299</v>
      </c>
      <c r="B1166" s="23" t="s">
        <v>78</v>
      </c>
      <c r="C1166" s="23" t="s">
        <v>97</v>
      </c>
      <c r="D1166" s="24">
        <v>4</v>
      </c>
      <c r="E1166" s="17">
        <f>VLOOKUP(B1166,'SKU Master'!$B$2:$E$31,4,0)</f>
        <v>1045</v>
      </c>
      <c r="F1166" s="25">
        <f t="shared" si="36"/>
        <v>4180</v>
      </c>
      <c r="G1166" s="40" t="str">
        <f t="shared" si="37"/>
        <v>Tue</v>
      </c>
    </row>
    <row r="1167" spans="1:7" ht="14.4" x14ac:dyDescent="0.3">
      <c r="A1167" s="22">
        <v>44299</v>
      </c>
      <c r="B1167" s="23" t="s">
        <v>81</v>
      </c>
      <c r="C1167" s="23" t="s">
        <v>97</v>
      </c>
      <c r="D1167" s="24">
        <v>2</v>
      </c>
      <c r="E1167" s="17">
        <f>VLOOKUP(B1167,'SKU Master'!$B$2:$E$31,4,0)</f>
        <v>1186</v>
      </c>
      <c r="F1167" s="25">
        <f t="shared" si="36"/>
        <v>2372</v>
      </c>
      <c r="G1167" s="40" t="str">
        <f t="shared" si="37"/>
        <v>Tue</v>
      </c>
    </row>
    <row r="1168" spans="1:7" ht="14.4" x14ac:dyDescent="0.3">
      <c r="A1168" s="22">
        <v>44299</v>
      </c>
      <c r="B1168" s="23" t="s">
        <v>84</v>
      </c>
      <c r="C1168" s="23" t="s">
        <v>97</v>
      </c>
      <c r="D1168" s="24">
        <v>3</v>
      </c>
      <c r="E1168" s="17">
        <f>VLOOKUP(B1168,'SKU Master'!$B$2:$E$31,4,0)</f>
        <v>374</v>
      </c>
      <c r="F1168" s="25">
        <f t="shared" si="36"/>
        <v>1122</v>
      </c>
      <c r="G1168" s="40" t="str">
        <f t="shared" si="37"/>
        <v>Tue</v>
      </c>
    </row>
    <row r="1169" spans="1:7" ht="14.4" x14ac:dyDescent="0.3">
      <c r="A1169" s="22">
        <v>44299</v>
      </c>
      <c r="B1169" s="23" t="s">
        <v>87</v>
      </c>
      <c r="C1169" s="23" t="s">
        <v>97</v>
      </c>
      <c r="D1169" s="24">
        <v>3</v>
      </c>
      <c r="E1169" s="17">
        <f>VLOOKUP(B1169,'SKU Master'!$B$2:$E$31,4,0)</f>
        <v>1500</v>
      </c>
      <c r="F1169" s="25">
        <f t="shared" si="36"/>
        <v>4500</v>
      </c>
      <c r="G1169" s="40" t="str">
        <f t="shared" si="37"/>
        <v>Tue</v>
      </c>
    </row>
    <row r="1170" spans="1:7" ht="14.4" x14ac:dyDescent="0.3">
      <c r="A1170" s="22">
        <v>44299</v>
      </c>
      <c r="B1170" s="23" t="s">
        <v>90</v>
      </c>
      <c r="C1170" s="23" t="s">
        <v>97</v>
      </c>
      <c r="D1170" s="24">
        <v>2</v>
      </c>
      <c r="E1170" s="17">
        <f>VLOOKUP(B1170,'SKU Master'!$B$2:$E$31,4,0)</f>
        <v>1800</v>
      </c>
      <c r="F1170" s="25">
        <f t="shared" si="36"/>
        <v>3600</v>
      </c>
      <c r="G1170" s="40" t="str">
        <f t="shared" si="37"/>
        <v>Tue</v>
      </c>
    </row>
    <row r="1171" spans="1:7" ht="14.4" x14ac:dyDescent="0.3">
      <c r="A1171" s="22">
        <v>44299</v>
      </c>
      <c r="B1171" s="23" t="s">
        <v>93</v>
      </c>
      <c r="C1171" s="23" t="s">
        <v>97</v>
      </c>
      <c r="D1171" s="24">
        <v>2</v>
      </c>
      <c r="E1171" s="17">
        <f>VLOOKUP(B1171,'SKU Master'!$B$2:$E$31,4,0)</f>
        <v>1477</v>
      </c>
      <c r="F1171" s="25">
        <f t="shared" si="36"/>
        <v>2954</v>
      </c>
      <c r="G1171" s="40" t="str">
        <f t="shared" si="37"/>
        <v>Tue</v>
      </c>
    </row>
    <row r="1172" spans="1:7" ht="14.4" x14ac:dyDescent="0.3">
      <c r="A1172" s="22">
        <v>44300</v>
      </c>
      <c r="B1172" s="23" t="s">
        <v>6</v>
      </c>
      <c r="C1172" s="23" t="s">
        <v>96</v>
      </c>
      <c r="D1172" s="24">
        <v>31</v>
      </c>
      <c r="E1172" s="17">
        <f>VLOOKUP(B1172,'SKU Master'!$B$2:$E$31,4,0)</f>
        <v>210</v>
      </c>
      <c r="F1172" s="25">
        <f t="shared" si="36"/>
        <v>6510</v>
      </c>
      <c r="G1172" s="40" t="str">
        <f t="shared" si="37"/>
        <v>Wed</v>
      </c>
    </row>
    <row r="1173" spans="1:7" ht="14.4" x14ac:dyDescent="0.3">
      <c r="A1173" s="22">
        <v>44300</v>
      </c>
      <c r="B1173" s="23" t="s">
        <v>9</v>
      </c>
      <c r="C1173" s="23" t="s">
        <v>96</v>
      </c>
      <c r="D1173" s="24">
        <v>15</v>
      </c>
      <c r="E1173" s="17">
        <f>VLOOKUP(B1173,'SKU Master'!$B$2:$E$31,4,0)</f>
        <v>199</v>
      </c>
      <c r="F1173" s="25">
        <f t="shared" si="36"/>
        <v>2985</v>
      </c>
      <c r="G1173" s="40" t="str">
        <f t="shared" si="37"/>
        <v>Wed</v>
      </c>
    </row>
    <row r="1174" spans="1:7" ht="14.4" x14ac:dyDescent="0.3">
      <c r="A1174" s="22">
        <v>44300</v>
      </c>
      <c r="B1174" s="23" t="s">
        <v>12</v>
      </c>
      <c r="C1174" s="23" t="s">
        <v>96</v>
      </c>
      <c r="D1174" s="24">
        <v>9</v>
      </c>
      <c r="E1174" s="17">
        <f>VLOOKUP(B1174,'SKU Master'!$B$2:$E$31,4,0)</f>
        <v>322</v>
      </c>
      <c r="F1174" s="25">
        <f t="shared" si="36"/>
        <v>2898</v>
      </c>
      <c r="G1174" s="40" t="str">
        <f t="shared" si="37"/>
        <v>Wed</v>
      </c>
    </row>
    <row r="1175" spans="1:7" ht="14.4" x14ac:dyDescent="0.3">
      <c r="A1175" s="22">
        <v>44300</v>
      </c>
      <c r="B1175" s="23" t="s">
        <v>15</v>
      </c>
      <c r="C1175" s="23" t="s">
        <v>96</v>
      </c>
      <c r="D1175" s="24">
        <v>10</v>
      </c>
      <c r="E1175" s="17">
        <f>VLOOKUP(B1175,'SKU Master'!$B$2:$E$31,4,0)</f>
        <v>161</v>
      </c>
      <c r="F1175" s="25">
        <f t="shared" si="36"/>
        <v>1610</v>
      </c>
      <c r="G1175" s="40" t="str">
        <f t="shared" si="37"/>
        <v>Wed</v>
      </c>
    </row>
    <row r="1176" spans="1:7" ht="14.4" x14ac:dyDescent="0.3">
      <c r="A1176" s="22">
        <v>44300</v>
      </c>
      <c r="B1176" s="23" t="s">
        <v>17</v>
      </c>
      <c r="C1176" s="23" t="s">
        <v>96</v>
      </c>
      <c r="D1176" s="24">
        <v>7</v>
      </c>
      <c r="E1176" s="17">
        <f>VLOOKUP(B1176,'SKU Master'!$B$2:$E$31,4,0)</f>
        <v>109</v>
      </c>
      <c r="F1176" s="25">
        <f t="shared" si="36"/>
        <v>763</v>
      </c>
      <c r="G1176" s="40" t="str">
        <f t="shared" si="37"/>
        <v>Wed</v>
      </c>
    </row>
    <row r="1177" spans="1:7" ht="14.4" x14ac:dyDescent="0.3">
      <c r="A1177" s="22">
        <v>44300</v>
      </c>
      <c r="B1177" s="23" t="s">
        <v>20</v>
      </c>
      <c r="C1177" s="23" t="s">
        <v>96</v>
      </c>
      <c r="D1177" s="24">
        <v>4</v>
      </c>
      <c r="E1177" s="17">
        <f>VLOOKUP(B1177,'SKU Master'!$B$2:$E$31,4,0)</f>
        <v>122</v>
      </c>
      <c r="F1177" s="25">
        <f t="shared" si="36"/>
        <v>488</v>
      </c>
      <c r="G1177" s="40" t="str">
        <f t="shared" si="37"/>
        <v>Wed</v>
      </c>
    </row>
    <row r="1178" spans="1:7" ht="14.4" x14ac:dyDescent="0.3">
      <c r="A1178" s="22">
        <v>44300</v>
      </c>
      <c r="B1178" s="23" t="s">
        <v>23</v>
      </c>
      <c r="C1178" s="23" t="s">
        <v>96</v>
      </c>
      <c r="D1178" s="24">
        <v>3</v>
      </c>
      <c r="E1178" s="17">
        <f>VLOOKUP(B1178,'SKU Master'!$B$2:$E$31,4,0)</f>
        <v>96</v>
      </c>
      <c r="F1178" s="25">
        <f t="shared" si="36"/>
        <v>288</v>
      </c>
      <c r="G1178" s="40" t="str">
        <f t="shared" si="37"/>
        <v>Wed</v>
      </c>
    </row>
    <row r="1179" spans="1:7" ht="14.4" x14ac:dyDescent="0.3">
      <c r="A1179" s="22">
        <v>44300</v>
      </c>
      <c r="B1179" s="23" t="s">
        <v>26</v>
      </c>
      <c r="C1179" s="23" t="s">
        <v>96</v>
      </c>
      <c r="D1179" s="24">
        <v>0</v>
      </c>
      <c r="E1179" s="17">
        <f>VLOOKUP(B1179,'SKU Master'!$B$2:$E$31,4,0)</f>
        <v>73</v>
      </c>
      <c r="F1179" s="25">
        <f t="shared" si="36"/>
        <v>0</v>
      </c>
      <c r="G1179" s="40" t="str">
        <f t="shared" si="37"/>
        <v>Wed</v>
      </c>
    </row>
    <row r="1180" spans="1:7" ht="14.4" x14ac:dyDescent="0.3">
      <c r="A1180" s="22">
        <v>44300</v>
      </c>
      <c r="B1180" s="23" t="s">
        <v>29</v>
      </c>
      <c r="C1180" s="23" t="s">
        <v>96</v>
      </c>
      <c r="D1180" s="24">
        <v>1</v>
      </c>
      <c r="E1180" s="17">
        <f>VLOOKUP(B1180,'SKU Master'!$B$2:$E$31,4,0)</f>
        <v>225</v>
      </c>
      <c r="F1180" s="25">
        <f t="shared" si="36"/>
        <v>225</v>
      </c>
      <c r="G1180" s="40" t="str">
        <f t="shared" si="37"/>
        <v>Wed</v>
      </c>
    </row>
    <row r="1181" spans="1:7" ht="14.4" x14ac:dyDescent="0.3">
      <c r="A1181" s="22">
        <v>44300</v>
      </c>
      <c r="B1181" s="23" t="s">
        <v>32</v>
      </c>
      <c r="C1181" s="23" t="s">
        <v>96</v>
      </c>
      <c r="D1181" s="24">
        <v>0</v>
      </c>
      <c r="E1181" s="17">
        <f>VLOOKUP(B1181,'SKU Master'!$B$2:$E$31,4,0)</f>
        <v>559</v>
      </c>
      <c r="F1181" s="25">
        <f t="shared" si="36"/>
        <v>0</v>
      </c>
      <c r="G1181" s="40" t="str">
        <f t="shared" si="37"/>
        <v>Wed</v>
      </c>
    </row>
    <row r="1182" spans="1:7" ht="14.4" x14ac:dyDescent="0.3">
      <c r="A1182" s="22">
        <v>44300</v>
      </c>
      <c r="B1182" s="23" t="s">
        <v>36</v>
      </c>
      <c r="C1182" s="23" t="s">
        <v>96</v>
      </c>
      <c r="D1182" s="24">
        <v>30</v>
      </c>
      <c r="E1182" s="17">
        <f>VLOOKUP(B1182,'SKU Master'!$B$2:$E$31,4,0)</f>
        <v>3199</v>
      </c>
      <c r="F1182" s="25">
        <f t="shared" si="36"/>
        <v>95970</v>
      </c>
      <c r="G1182" s="40" t="str">
        <f t="shared" si="37"/>
        <v>Wed</v>
      </c>
    </row>
    <row r="1183" spans="1:7" ht="14.4" x14ac:dyDescent="0.3">
      <c r="A1183" s="22">
        <v>44300</v>
      </c>
      <c r="B1183" s="23" t="s">
        <v>39</v>
      </c>
      <c r="C1183" s="23" t="s">
        <v>96</v>
      </c>
      <c r="D1183" s="24">
        <v>14</v>
      </c>
      <c r="E1183" s="17">
        <f>VLOOKUP(B1183,'SKU Master'!$B$2:$E$31,4,0)</f>
        <v>371</v>
      </c>
      <c r="F1183" s="25">
        <f t="shared" si="36"/>
        <v>5194</v>
      </c>
      <c r="G1183" s="40" t="str">
        <f t="shared" si="37"/>
        <v>Wed</v>
      </c>
    </row>
    <row r="1184" spans="1:7" ht="14.4" x14ac:dyDescent="0.3">
      <c r="A1184" s="22">
        <v>44300</v>
      </c>
      <c r="B1184" s="23" t="s">
        <v>42</v>
      </c>
      <c r="C1184" s="23" t="s">
        <v>96</v>
      </c>
      <c r="D1184" s="24">
        <v>8</v>
      </c>
      <c r="E1184" s="17">
        <f>VLOOKUP(B1184,'SKU Master'!$B$2:$E$31,4,0)</f>
        <v>2300</v>
      </c>
      <c r="F1184" s="25">
        <f t="shared" si="36"/>
        <v>18400</v>
      </c>
      <c r="G1184" s="40" t="str">
        <f t="shared" si="37"/>
        <v>Wed</v>
      </c>
    </row>
    <row r="1185" spans="1:7" ht="14.4" x14ac:dyDescent="0.3">
      <c r="A1185" s="22">
        <v>44300</v>
      </c>
      <c r="B1185" s="23" t="s">
        <v>45</v>
      </c>
      <c r="C1185" s="23" t="s">
        <v>96</v>
      </c>
      <c r="D1185" s="24">
        <v>11</v>
      </c>
      <c r="E1185" s="17">
        <f>VLOOKUP(B1185,'SKU Master'!$B$2:$E$31,4,0)</f>
        <v>499</v>
      </c>
      <c r="F1185" s="25">
        <f t="shared" si="36"/>
        <v>5489</v>
      </c>
      <c r="G1185" s="40" t="str">
        <f t="shared" si="37"/>
        <v>Wed</v>
      </c>
    </row>
    <row r="1186" spans="1:7" ht="14.4" x14ac:dyDescent="0.3">
      <c r="A1186" s="22">
        <v>44300</v>
      </c>
      <c r="B1186" s="23" t="s">
        <v>48</v>
      </c>
      <c r="C1186" s="23" t="s">
        <v>96</v>
      </c>
      <c r="D1186" s="24">
        <v>7</v>
      </c>
      <c r="E1186" s="17">
        <f>VLOOKUP(B1186,'SKU Master'!$B$2:$E$31,4,0)</f>
        <v>299</v>
      </c>
      <c r="F1186" s="25">
        <f t="shared" si="36"/>
        <v>2093</v>
      </c>
      <c r="G1186" s="40" t="str">
        <f t="shared" si="37"/>
        <v>Wed</v>
      </c>
    </row>
    <row r="1187" spans="1:7" ht="14.4" x14ac:dyDescent="0.3">
      <c r="A1187" s="22">
        <v>44300</v>
      </c>
      <c r="B1187" s="23" t="s">
        <v>51</v>
      </c>
      <c r="C1187" s="23" t="s">
        <v>96</v>
      </c>
      <c r="D1187" s="24">
        <v>5</v>
      </c>
      <c r="E1187" s="17">
        <f>VLOOKUP(B1187,'SKU Master'!$B$2:$E$31,4,0)</f>
        <v>901</v>
      </c>
      <c r="F1187" s="25">
        <f t="shared" si="36"/>
        <v>4505</v>
      </c>
      <c r="G1187" s="40" t="str">
        <f t="shared" si="37"/>
        <v>Wed</v>
      </c>
    </row>
    <row r="1188" spans="1:7" ht="14.4" x14ac:dyDescent="0.3">
      <c r="A1188" s="22">
        <v>44300</v>
      </c>
      <c r="B1188" s="23" t="s">
        <v>54</v>
      </c>
      <c r="C1188" s="23" t="s">
        <v>96</v>
      </c>
      <c r="D1188" s="24">
        <v>5</v>
      </c>
      <c r="E1188" s="17">
        <f>VLOOKUP(B1188,'SKU Master'!$B$2:$E$31,4,0)</f>
        <v>929</v>
      </c>
      <c r="F1188" s="25">
        <f t="shared" si="36"/>
        <v>4645</v>
      </c>
      <c r="G1188" s="40" t="str">
        <f t="shared" si="37"/>
        <v>Wed</v>
      </c>
    </row>
    <row r="1189" spans="1:7" ht="14.4" x14ac:dyDescent="0.3">
      <c r="A1189" s="22">
        <v>44300</v>
      </c>
      <c r="B1189" s="23" t="s">
        <v>57</v>
      </c>
      <c r="C1189" s="23" t="s">
        <v>96</v>
      </c>
      <c r="D1189" s="24">
        <v>0</v>
      </c>
      <c r="E1189" s="17">
        <f>VLOOKUP(B1189,'SKU Master'!$B$2:$E$31,4,0)</f>
        <v>1030</v>
      </c>
      <c r="F1189" s="25">
        <f t="shared" si="36"/>
        <v>0</v>
      </c>
      <c r="G1189" s="40" t="str">
        <f t="shared" si="37"/>
        <v>Wed</v>
      </c>
    </row>
    <row r="1190" spans="1:7" ht="14.4" x14ac:dyDescent="0.3">
      <c r="A1190" s="22">
        <v>44300</v>
      </c>
      <c r="B1190" s="23" t="s">
        <v>60</v>
      </c>
      <c r="C1190" s="23" t="s">
        <v>96</v>
      </c>
      <c r="D1190" s="24">
        <v>1</v>
      </c>
      <c r="E1190" s="17">
        <f>VLOOKUP(B1190,'SKU Master'!$B$2:$E$31,4,0)</f>
        <v>1222</v>
      </c>
      <c r="F1190" s="25">
        <f t="shared" si="36"/>
        <v>1222</v>
      </c>
      <c r="G1190" s="40" t="str">
        <f t="shared" si="37"/>
        <v>Wed</v>
      </c>
    </row>
    <row r="1191" spans="1:7" ht="14.4" x14ac:dyDescent="0.3">
      <c r="A1191" s="22">
        <v>44300</v>
      </c>
      <c r="B1191" s="23" t="s">
        <v>63</v>
      </c>
      <c r="C1191" s="23" t="s">
        <v>96</v>
      </c>
      <c r="D1191" s="24">
        <v>1</v>
      </c>
      <c r="E1191" s="17">
        <f>VLOOKUP(B1191,'SKU Master'!$B$2:$E$31,4,0)</f>
        <v>649</v>
      </c>
      <c r="F1191" s="25">
        <f t="shared" si="36"/>
        <v>649</v>
      </c>
      <c r="G1191" s="40" t="str">
        <f t="shared" si="37"/>
        <v>Wed</v>
      </c>
    </row>
    <row r="1192" spans="1:7" ht="14.4" x14ac:dyDescent="0.3">
      <c r="A1192" s="22">
        <v>44300</v>
      </c>
      <c r="B1192" s="23" t="s">
        <v>67</v>
      </c>
      <c r="C1192" s="23" t="s">
        <v>96</v>
      </c>
      <c r="D1192" s="24">
        <v>28</v>
      </c>
      <c r="E1192" s="17">
        <f>VLOOKUP(B1192,'SKU Master'!$B$2:$E$31,4,0)</f>
        <v>1800</v>
      </c>
      <c r="F1192" s="25">
        <f t="shared" si="36"/>
        <v>50400</v>
      </c>
      <c r="G1192" s="40" t="str">
        <f t="shared" si="37"/>
        <v>Wed</v>
      </c>
    </row>
    <row r="1193" spans="1:7" ht="14.4" x14ac:dyDescent="0.3">
      <c r="A1193" s="22">
        <v>44300</v>
      </c>
      <c r="B1193" s="23" t="s">
        <v>70</v>
      </c>
      <c r="C1193" s="23" t="s">
        <v>96</v>
      </c>
      <c r="D1193" s="24">
        <v>12</v>
      </c>
      <c r="E1193" s="17">
        <f>VLOOKUP(B1193,'SKU Master'!$B$2:$E$31,4,0)</f>
        <v>345</v>
      </c>
      <c r="F1193" s="25">
        <f t="shared" si="36"/>
        <v>4140</v>
      </c>
      <c r="G1193" s="40" t="str">
        <f t="shared" si="37"/>
        <v>Wed</v>
      </c>
    </row>
    <row r="1194" spans="1:7" ht="14.4" x14ac:dyDescent="0.3">
      <c r="A1194" s="22">
        <v>44300</v>
      </c>
      <c r="B1194" s="23" t="s">
        <v>73</v>
      </c>
      <c r="C1194" s="23" t="s">
        <v>96</v>
      </c>
      <c r="D1194" s="24">
        <v>10</v>
      </c>
      <c r="E1194" s="17">
        <f>VLOOKUP(B1194,'SKU Master'!$B$2:$E$31,4,0)</f>
        <v>350</v>
      </c>
      <c r="F1194" s="25">
        <f t="shared" si="36"/>
        <v>3500</v>
      </c>
      <c r="G1194" s="40" t="str">
        <f t="shared" si="37"/>
        <v>Wed</v>
      </c>
    </row>
    <row r="1195" spans="1:7" ht="14.4" x14ac:dyDescent="0.3">
      <c r="A1195" s="22">
        <v>44300</v>
      </c>
      <c r="B1195" s="23" t="s">
        <v>76</v>
      </c>
      <c r="C1195" s="23" t="s">
        <v>96</v>
      </c>
      <c r="D1195" s="24">
        <v>8</v>
      </c>
      <c r="E1195" s="17">
        <f>VLOOKUP(B1195,'SKU Master'!$B$2:$E$31,4,0)</f>
        <v>1575</v>
      </c>
      <c r="F1195" s="25">
        <f t="shared" si="36"/>
        <v>12600</v>
      </c>
      <c r="G1195" s="40" t="str">
        <f t="shared" si="37"/>
        <v>Wed</v>
      </c>
    </row>
    <row r="1196" spans="1:7" ht="14.4" x14ac:dyDescent="0.3">
      <c r="A1196" s="22">
        <v>44300</v>
      </c>
      <c r="B1196" s="23" t="s">
        <v>78</v>
      </c>
      <c r="C1196" s="23" t="s">
        <v>96</v>
      </c>
      <c r="D1196" s="24">
        <v>7</v>
      </c>
      <c r="E1196" s="17">
        <f>VLOOKUP(B1196,'SKU Master'!$B$2:$E$31,4,0)</f>
        <v>1045</v>
      </c>
      <c r="F1196" s="25">
        <f t="shared" si="36"/>
        <v>7315</v>
      </c>
      <c r="G1196" s="40" t="str">
        <f t="shared" si="37"/>
        <v>Wed</v>
      </c>
    </row>
    <row r="1197" spans="1:7" ht="14.4" x14ac:dyDescent="0.3">
      <c r="A1197" s="22">
        <v>44300</v>
      </c>
      <c r="B1197" s="23" t="s">
        <v>81</v>
      </c>
      <c r="C1197" s="23" t="s">
        <v>96</v>
      </c>
      <c r="D1197" s="24">
        <v>4</v>
      </c>
      <c r="E1197" s="17">
        <f>VLOOKUP(B1197,'SKU Master'!$B$2:$E$31,4,0)</f>
        <v>1186</v>
      </c>
      <c r="F1197" s="25">
        <f t="shared" si="36"/>
        <v>4744</v>
      </c>
      <c r="G1197" s="40" t="str">
        <f t="shared" si="37"/>
        <v>Wed</v>
      </c>
    </row>
    <row r="1198" spans="1:7" ht="14.4" x14ac:dyDescent="0.3">
      <c r="A1198" s="22">
        <v>44300</v>
      </c>
      <c r="B1198" s="23" t="s">
        <v>84</v>
      </c>
      <c r="C1198" s="23" t="s">
        <v>96</v>
      </c>
      <c r="D1198" s="24">
        <v>2</v>
      </c>
      <c r="E1198" s="17">
        <f>VLOOKUP(B1198,'SKU Master'!$B$2:$E$31,4,0)</f>
        <v>374</v>
      </c>
      <c r="F1198" s="25">
        <f t="shared" si="36"/>
        <v>748</v>
      </c>
      <c r="G1198" s="40" t="str">
        <f t="shared" si="37"/>
        <v>Wed</v>
      </c>
    </row>
    <row r="1199" spans="1:7" ht="14.4" x14ac:dyDescent="0.3">
      <c r="A1199" s="22">
        <v>44300</v>
      </c>
      <c r="B1199" s="23" t="s">
        <v>87</v>
      </c>
      <c r="C1199" s="23" t="s">
        <v>96</v>
      </c>
      <c r="D1199" s="24">
        <v>1</v>
      </c>
      <c r="E1199" s="17">
        <f>VLOOKUP(B1199,'SKU Master'!$B$2:$E$31,4,0)</f>
        <v>1500</v>
      </c>
      <c r="F1199" s="25">
        <f t="shared" si="36"/>
        <v>1500</v>
      </c>
      <c r="G1199" s="40" t="str">
        <f t="shared" si="37"/>
        <v>Wed</v>
      </c>
    </row>
    <row r="1200" spans="1:7" ht="14.4" x14ac:dyDescent="0.3">
      <c r="A1200" s="22">
        <v>44300</v>
      </c>
      <c r="B1200" s="23" t="s">
        <v>90</v>
      </c>
      <c r="C1200" s="23" t="s">
        <v>96</v>
      </c>
      <c r="D1200" s="24">
        <v>0</v>
      </c>
      <c r="E1200" s="17">
        <f>VLOOKUP(B1200,'SKU Master'!$B$2:$E$31,4,0)</f>
        <v>1800</v>
      </c>
      <c r="F1200" s="25">
        <f t="shared" si="36"/>
        <v>0</v>
      </c>
      <c r="G1200" s="40" t="str">
        <f t="shared" si="37"/>
        <v>Wed</v>
      </c>
    </row>
    <row r="1201" spans="1:7" ht="14.4" x14ac:dyDescent="0.3">
      <c r="A1201" s="22">
        <v>44300</v>
      </c>
      <c r="B1201" s="23" t="s">
        <v>93</v>
      </c>
      <c r="C1201" s="23" t="s">
        <v>96</v>
      </c>
      <c r="D1201" s="24">
        <v>0</v>
      </c>
      <c r="E1201" s="17">
        <f>VLOOKUP(B1201,'SKU Master'!$B$2:$E$31,4,0)</f>
        <v>1477</v>
      </c>
      <c r="F1201" s="25">
        <f t="shared" si="36"/>
        <v>0</v>
      </c>
      <c r="G1201" s="40" t="str">
        <f t="shared" si="37"/>
        <v>Wed</v>
      </c>
    </row>
    <row r="1202" spans="1:7" ht="14.4" x14ac:dyDescent="0.3">
      <c r="A1202" s="22">
        <v>44300</v>
      </c>
      <c r="B1202" s="23" t="s">
        <v>6</v>
      </c>
      <c r="C1202" s="23" t="s">
        <v>98</v>
      </c>
      <c r="D1202" s="24">
        <v>22</v>
      </c>
      <c r="E1202" s="17">
        <f>VLOOKUP(B1202,'SKU Master'!$B$2:$E$31,4,0)</f>
        <v>210</v>
      </c>
      <c r="F1202" s="25">
        <f t="shared" si="36"/>
        <v>4620</v>
      </c>
      <c r="G1202" s="40" t="str">
        <f t="shared" si="37"/>
        <v>Wed</v>
      </c>
    </row>
    <row r="1203" spans="1:7" ht="14.4" x14ac:dyDescent="0.3">
      <c r="A1203" s="22">
        <v>44300</v>
      </c>
      <c r="B1203" s="23" t="s">
        <v>9</v>
      </c>
      <c r="C1203" s="23" t="s">
        <v>98</v>
      </c>
      <c r="D1203" s="24">
        <v>12</v>
      </c>
      <c r="E1203" s="17">
        <f>VLOOKUP(B1203,'SKU Master'!$B$2:$E$31,4,0)</f>
        <v>199</v>
      </c>
      <c r="F1203" s="25">
        <f t="shared" si="36"/>
        <v>2388</v>
      </c>
      <c r="G1203" s="40" t="str">
        <f t="shared" si="37"/>
        <v>Wed</v>
      </c>
    </row>
    <row r="1204" spans="1:7" ht="14.4" x14ac:dyDescent="0.3">
      <c r="A1204" s="22">
        <v>44300</v>
      </c>
      <c r="B1204" s="23" t="s">
        <v>12</v>
      </c>
      <c r="C1204" s="23" t="s">
        <v>98</v>
      </c>
      <c r="D1204" s="24">
        <v>6</v>
      </c>
      <c r="E1204" s="17">
        <f>VLOOKUP(B1204,'SKU Master'!$B$2:$E$31,4,0)</f>
        <v>322</v>
      </c>
      <c r="F1204" s="25">
        <f t="shared" si="36"/>
        <v>1932</v>
      </c>
      <c r="G1204" s="40" t="str">
        <f t="shared" si="37"/>
        <v>Wed</v>
      </c>
    </row>
    <row r="1205" spans="1:7" ht="14.4" x14ac:dyDescent="0.3">
      <c r="A1205" s="22">
        <v>44300</v>
      </c>
      <c r="B1205" s="23" t="s">
        <v>15</v>
      </c>
      <c r="C1205" s="23" t="s">
        <v>98</v>
      </c>
      <c r="D1205" s="24">
        <v>6</v>
      </c>
      <c r="E1205" s="17">
        <f>VLOOKUP(B1205,'SKU Master'!$B$2:$E$31,4,0)</f>
        <v>161</v>
      </c>
      <c r="F1205" s="25">
        <f t="shared" si="36"/>
        <v>966</v>
      </c>
      <c r="G1205" s="40" t="str">
        <f t="shared" si="37"/>
        <v>Wed</v>
      </c>
    </row>
    <row r="1206" spans="1:7" ht="14.4" x14ac:dyDescent="0.3">
      <c r="A1206" s="22">
        <v>44300</v>
      </c>
      <c r="B1206" s="23" t="s">
        <v>17</v>
      </c>
      <c r="C1206" s="23" t="s">
        <v>98</v>
      </c>
      <c r="D1206" s="24">
        <v>4</v>
      </c>
      <c r="E1206" s="17">
        <f>VLOOKUP(B1206,'SKU Master'!$B$2:$E$31,4,0)</f>
        <v>109</v>
      </c>
      <c r="F1206" s="25">
        <f t="shared" si="36"/>
        <v>436</v>
      </c>
      <c r="G1206" s="40" t="str">
        <f t="shared" si="37"/>
        <v>Wed</v>
      </c>
    </row>
    <row r="1207" spans="1:7" ht="14.4" x14ac:dyDescent="0.3">
      <c r="A1207" s="22">
        <v>44300</v>
      </c>
      <c r="B1207" s="23" t="s">
        <v>20</v>
      </c>
      <c r="C1207" s="23" t="s">
        <v>98</v>
      </c>
      <c r="D1207" s="24">
        <v>2</v>
      </c>
      <c r="E1207" s="17">
        <f>VLOOKUP(B1207,'SKU Master'!$B$2:$E$31,4,0)</f>
        <v>122</v>
      </c>
      <c r="F1207" s="25">
        <f t="shared" si="36"/>
        <v>244</v>
      </c>
      <c r="G1207" s="40" t="str">
        <f t="shared" si="37"/>
        <v>Wed</v>
      </c>
    </row>
    <row r="1208" spans="1:7" ht="14.4" x14ac:dyDescent="0.3">
      <c r="A1208" s="22">
        <v>44300</v>
      </c>
      <c r="B1208" s="23" t="s">
        <v>23</v>
      </c>
      <c r="C1208" s="23" t="s">
        <v>98</v>
      </c>
      <c r="D1208" s="24">
        <v>3</v>
      </c>
      <c r="E1208" s="17">
        <f>VLOOKUP(B1208,'SKU Master'!$B$2:$E$31,4,0)</f>
        <v>96</v>
      </c>
      <c r="F1208" s="25">
        <f t="shared" si="36"/>
        <v>288</v>
      </c>
      <c r="G1208" s="40" t="str">
        <f t="shared" si="37"/>
        <v>Wed</v>
      </c>
    </row>
    <row r="1209" spans="1:7" ht="14.4" x14ac:dyDescent="0.3">
      <c r="A1209" s="22">
        <v>44300</v>
      </c>
      <c r="B1209" s="23" t="s">
        <v>26</v>
      </c>
      <c r="C1209" s="23" t="s">
        <v>98</v>
      </c>
      <c r="D1209" s="24">
        <v>0</v>
      </c>
      <c r="E1209" s="17">
        <f>VLOOKUP(B1209,'SKU Master'!$B$2:$E$31,4,0)</f>
        <v>73</v>
      </c>
      <c r="F1209" s="25">
        <f t="shared" si="36"/>
        <v>0</v>
      </c>
      <c r="G1209" s="40" t="str">
        <f t="shared" si="37"/>
        <v>Wed</v>
      </c>
    </row>
    <row r="1210" spans="1:7" ht="14.4" x14ac:dyDescent="0.3">
      <c r="A1210" s="22">
        <v>44300</v>
      </c>
      <c r="B1210" s="23" t="s">
        <v>29</v>
      </c>
      <c r="C1210" s="23" t="s">
        <v>98</v>
      </c>
      <c r="D1210" s="24">
        <v>0</v>
      </c>
      <c r="E1210" s="17">
        <f>VLOOKUP(B1210,'SKU Master'!$B$2:$E$31,4,0)</f>
        <v>225</v>
      </c>
      <c r="F1210" s="25">
        <f t="shared" si="36"/>
        <v>0</v>
      </c>
      <c r="G1210" s="40" t="str">
        <f t="shared" si="37"/>
        <v>Wed</v>
      </c>
    </row>
    <row r="1211" spans="1:7" ht="14.4" x14ac:dyDescent="0.3">
      <c r="A1211" s="22">
        <v>44300</v>
      </c>
      <c r="B1211" s="23" t="s">
        <v>32</v>
      </c>
      <c r="C1211" s="23" t="s">
        <v>98</v>
      </c>
      <c r="D1211" s="24">
        <v>0</v>
      </c>
      <c r="E1211" s="17">
        <f>VLOOKUP(B1211,'SKU Master'!$B$2:$E$31,4,0)</f>
        <v>559</v>
      </c>
      <c r="F1211" s="25">
        <f t="shared" si="36"/>
        <v>0</v>
      </c>
      <c r="G1211" s="40" t="str">
        <f t="shared" si="37"/>
        <v>Wed</v>
      </c>
    </row>
    <row r="1212" spans="1:7" ht="14.4" x14ac:dyDescent="0.3">
      <c r="A1212" s="22">
        <v>44300</v>
      </c>
      <c r="B1212" s="23" t="s">
        <v>36</v>
      </c>
      <c r="C1212" s="23" t="s">
        <v>98</v>
      </c>
      <c r="D1212" s="24">
        <v>2</v>
      </c>
      <c r="E1212" s="17">
        <f>VLOOKUP(B1212,'SKU Master'!$B$2:$E$31,4,0)</f>
        <v>3199</v>
      </c>
      <c r="F1212" s="25">
        <f t="shared" si="36"/>
        <v>6398</v>
      </c>
      <c r="G1212" s="40" t="str">
        <f t="shared" si="37"/>
        <v>Wed</v>
      </c>
    </row>
    <row r="1213" spans="1:7" ht="14.4" x14ac:dyDescent="0.3">
      <c r="A1213" s="22">
        <v>44300</v>
      </c>
      <c r="B1213" s="23" t="s">
        <v>39</v>
      </c>
      <c r="C1213" s="23" t="s">
        <v>98</v>
      </c>
      <c r="D1213" s="24">
        <v>10</v>
      </c>
      <c r="E1213" s="17">
        <f>VLOOKUP(B1213,'SKU Master'!$B$2:$E$31,4,0)</f>
        <v>371</v>
      </c>
      <c r="F1213" s="25">
        <f t="shared" si="36"/>
        <v>3710</v>
      </c>
      <c r="G1213" s="40" t="str">
        <f t="shared" si="37"/>
        <v>Wed</v>
      </c>
    </row>
    <row r="1214" spans="1:7" ht="14.4" x14ac:dyDescent="0.3">
      <c r="A1214" s="22">
        <v>44300</v>
      </c>
      <c r="B1214" s="23" t="s">
        <v>42</v>
      </c>
      <c r="C1214" s="23" t="s">
        <v>98</v>
      </c>
      <c r="D1214" s="24">
        <v>10</v>
      </c>
      <c r="E1214" s="17">
        <f>VLOOKUP(B1214,'SKU Master'!$B$2:$E$31,4,0)</f>
        <v>2300</v>
      </c>
      <c r="F1214" s="25">
        <f t="shared" si="36"/>
        <v>23000</v>
      </c>
      <c r="G1214" s="40" t="str">
        <f t="shared" si="37"/>
        <v>Wed</v>
      </c>
    </row>
    <row r="1215" spans="1:7" ht="14.4" x14ac:dyDescent="0.3">
      <c r="A1215" s="22">
        <v>44300</v>
      </c>
      <c r="B1215" s="23" t="s">
        <v>45</v>
      </c>
      <c r="C1215" s="23" t="s">
        <v>98</v>
      </c>
      <c r="D1215" s="24">
        <v>6</v>
      </c>
      <c r="E1215" s="17">
        <f>VLOOKUP(B1215,'SKU Master'!$B$2:$E$31,4,0)</f>
        <v>499</v>
      </c>
      <c r="F1215" s="25">
        <f t="shared" si="36"/>
        <v>2994</v>
      </c>
      <c r="G1215" s="40" t="str">
        <f t="shared" si="37"/>
        <v>Wed</v>
      </c>
    </row>
    <row r="1216" spans="1:7" ht="14.4" x14ac:dyDescent="0.3">
      <c r="A1216" s="22">
        <v>44300</v>
      </c>
      <c r="B1216" s="23" t="s">
        <v>48</v>
      </c>
      <c r="C1216" s="23" t="s">
        <v>98</v>
      </c>
      <c r="D1216" s="24">
        <v>0</v>
      </c>
      <c r="E1216" s="17">
        <f>VLOOKUP(B1216,'SKU Master'!$B$2:$E$31,4,0)</f>
        <v>299</v>
      </c>
      <c r="F1216" s="25">
        <f t="shared" si="36"/>
        <v>0</v>
      </c>
      <c r="G1216" s="40" t="str">
        <f t="shared" si="37"/>
        <v>Wed</v>
      </c>
    </row>
    <row r="1217" spans="1:7" ht="14.4" x14ac:dyDescent="0.3">
      <c r="A1217" s="22">
        <v>44300</v>
      </c>
      <c r="B1217" s="23" t="s">
        <v>51</v>
      </c>
      <c r="C1217" s="23" t="s">
        <v>98</v>
      </c>
      <c r="D1217" s="24">
        <v>0</v>
      </c>
      <c r="E1217" s="17">
        <f>VLOOKUP(B1217,'SKU Master'!$B$2:$E$31,4,0)</f>
        <v>901</v>
      </c>
      <c r="F1217" s="25">
        <f t="shared" si="36"/>
        <v>0</v>
      </c>
      <c r="G1217" s="40" t="str">
        <f t="shared" si="37"/>
        <v>Wed</v>
      </c>
    </row>
    <row r="1218" spans="1:7" ht="14.4" x14ac:dyDescent="0.3">
      <c r="A1218" s="22">
        <v>44300</v>
      </c>
      <c r="B1218" s="23" t="s">
        <v>54</v>
      </c>
      <c r="C1218" s="23" t="s">
        <v>98</v>
      </c>
      <c r="D1218" s="24">
        <v>1</v>
      </c>
      <c r="E1218" s="17">
        <f>VLOOKUP(B1218,'SKU Master'!$B$2:$E$31,4,0)</f>
        <v>929</v>
      </c>
      <c r="F1218" s="25">
        <f t="shared" si="36"/>
        <v>929</v>
      </c>
      <c r="G1218" s="40" t="str">
        <f t="shared" si="37"/>
        <v>Wed</v>
      </c>
    </row>
    <row r="1219" spans="1:7" ht="14.4" x14ac:dyDescent="0.3">
      <c r="A1219" s="22">
        <v>44300</v>
      </c>
      <c r="B1219" s="23" t="s">
        <v>57</v>
      </c>
      <c r="C1219" s="23" t="s">
        <v>98</v>
      </c>
      <c r="D1219" s="24">
        <v>1</v>
      </c>
      <c r="E1219" s="17">
        <f>VLOOKUP(B1219,'SKU Master'!$B$2:$E$31,4,0)</f>
        <v>1030</v>
      </c>
      <c r="F1219" s="25">
        <f t="shared" ref="F1219:F1282" si="38">D1219*E1219</f>
        <v>1030</v>
      </c>
      <c r="G1219" s="40" t="str">
        <f t="shared" si="37"/>
        <v>Wed</v>
      </c>
    </row>
    <row r="1220" spans="1:7" ht="14.4" x14ac:dyDescent="0.3">
      <c r="A1220" s="22">
        <v>44300</v>
      </c>
      <c r="B1220" s="23" t="s">
        <v>60</v>
      </c>
      <c r="C1220" s="23" t="s">
        <v>98</v>
      </c>
      <c r="D1220" s="24">
        <v>0</v>
      </c>
      <c r="E1220" s="17">
        <f>VLOOKUP(B1220,'SKU Master'!$B$2:$E$31,4,0)</f>
        <v>1222</v>
      </c>
      <c r="F1220" s="25">
        <f t="shared" si="38"/>
        <v>0</v>
      </c>
      <c r="G1220" s="40" t="str">
        <f t="shared" ref="G1220:G1283" si="39">CHOOSE(WEEKDAY(A1220),"Sun","Mon","Tue","Wed","Thu","Fri","Sat")</f>
        <v>Wed</v>
      </c>
    </row>
    <row r="1221" spans="1:7" ht="14.4" x14ac:dyDescent="0.3">
      <c r="A1221" s="22">
        <v>44300</v>
      </c>
      <c r="B1221" s="23" t="s">
        <v>63</v>
      </c>
      <c r="C1221" s="23" t="s">
        <v>98</v>
      </c>
      <c r="D1221" s="24">
        <v>0</v>
      </c>
      <c r="E1221" s="17">
        <f>VLOOKUP(B1221,'SKU Master'!$B$2:$E$31,4,0)</f>
        <v>649</v>
      </c>
      <c r="F1221" s="25">
        <f t="shared" si="38"/>
        <v>0</v>
      </c>
      <c r="G1221" s="40" t="str">
        <f t="shared" si="39"/>
        <v>Wed</v>
      </c>
    </row>
    <row r="1222" spans="1:7" ht="14.4" x14ac:dyDescent="0.3">
      <c r="A1222" s="22">
        <v>44300</v>
      </c>
      <c r="B1222" s="23" t="s">
        <v>67</v>
      </c>
      <c r="C1222" s="23" t="s">
        <v>98</v>
      </c>
      <c r="D1222" s="24">
        <v>19</v>
      </c>
      <c r="E1222" s="17">
        <f>VLOOKUP(B1222,'SKU Master'!$B$2:$E$31,4,0)</f>
        <v>1800</v>
      </c>
      <c r="F1222" s="25">
        <f t="shared" si="38"/>
        <v>34200</v>
      </c>
      <c r="G1222" s="40" t="str">
        <f t="shared" si="39"/>
        <v>Wed</v>
      </c>
    </row>
    <row r="1223" spans="1:7" ht="14.4" x14ac:dyDescent="0.3">
      <c r="A1223" s="22">
        <v>44300</v>
      </c>
      <c r="B1223" s="23" t="s">
        <v>70</v>
      </c>
      <c r="C1223" s="23" t="s">
        <v>98</v>
      </c>
      <c r="D1223" s="24">
        <v>10</v>
      </c>
      <c r="E1223" s="17">
        <f>VLOOKUP(B1223,'SKU Master'!$B$2:$E$31,4,0)</f>
        <v>345</v>
      </c>
      <c r="F1223" s="25">
        <f t="shared" si="38"/>
        <v>3450</v>
      </c>
      <c r="G1223" s="40" t="str">
        <f t="shared" si="39"/>
        <v>Wed</v>
      </c>
    </row>
    <row r="1224" spans="1:7" ht="14.4" x14ac:dyDescent="0.3">
      <c r="A1224" s="22">
        <v>44300</v>
      </c>
      <c r="B1224" s="23" t="s">
        <v>73</v>
      </c>
      <c r="C1224" s="23" t="s">
        <v>98</v>
      </c>
      <c r="D1224" s="24">
        <v>6</v>
      </c>
      <c r="E1224" s="17">
        <f>VLOOKUP(B1224,'SKU Master'!$B$2:$E$31,4,0)</f>
        <v>350</v>
      </c>
      <c r="F1224" s="25">
        <f t="shared" si="38"/>
        <v>2100</v>
      </c>
      <c r="G1224" s="40" t="str">
        <f t="shared" si="39"/>
        <v>Wed</v>
      </c>
    </row>
    <row r="1225" spans="1:7" ht="14.4" x14ac:dyDescent="0.3">
      <c r="A1225" s="22">
        <v>44300</v>
      </c>
      <c r="B1225" s="23" t="s">
        <v>76</v>
      </c>
      <c r="C1225" s="23" t="s">
        <v>98</v>
      </c>
      <c r="D1225" s="24">
        <v>5</v>
      </c>
      <c r="E1225" s="17">
        <f>VLOOKUP(B1225,'SKU Master'!$B$2:$E$31,4,0)</f>
        <v>1575</v>
      </c>
      <c r="F1225" s="25">
        <f t="shared" si="38"/>
        <v>7875</v>
      </c>
      <c r="G1225" s="40" t="str">
        <f t="shared" si="39"/>
        <v>Wed</v>
      </c>
    </row>
    <row r="1226" spans="1:7" ht="14.4" x14ac:dyDescent="0.3">
      <c r="A1226" s="22">
        <v>44300</v>
      </c>
      <c r="B1226" s="23" t="s">
        <v>78</v>
      </c>
      <c r="C1226" s="23" t="s">
        <v>98</v>
      </c>
      <c r="D1226" s="24">
        <v>2</v>
      </c>
      <c r="E1226" s="17">
        <f>VLOOKUP(B1226,'SKU Master'!$B$2:$E$31,4,0)</f>
        <v>1045</v>
      </c>
      <c r="F1226" s="25">
        <f t="shared" si="38"/>
        <v>2090</v>
      </c>
      <c r="G1226" s="40" t="str">
        <f t="shared" si="39"/>
        <v>Wed</v>
      </c>
    </row>
    <row r="1227" spans="1:7" ht="14.4" x14ac:dyDescent="0.3">
      <c r="A1227" s="22">
        <v>44300</v>
      </c>
      <c r="B1227" s="23" t="s">
        <v>81</v>
      </c>
      <c r="C1227" s="23" t="s">
        <v>98</v>
      </c>
      <c r="D1227" s="24">
        <v>4</v>
      </c>
      <c r="E1227" s="17">
        <f>VLOOKUP(B1227,'SKU Master'!$B$2:$E$31,4,0)</f>
        <v>1186</v>
      </c>
      <c r="F1227" s="25">
        <f t="shared" si="38"/>
        <v>4744</v>
      </c>
      <c r="G1227" s="40" t="str">
        <f t="shared" si="39"/>
        <v>Wed</v>
      </c>
    </row>
    <row r="1228" spans="1:7" ht="14.4" x14ac:dyDescent="0.3">
      <c r="A1228" s="22">
        <v>44300</v>
      </c>
      <c r="B1228" s="23" t="s">
        <v>84</v>
      </c>
      <c r="C1228" s="23" t="s">
        <v>98</v>
      </c>
      <c r="D1228" s="24">
        <v>1</v>
      </c>
      <c r="E1228" s="17">
        <f>VLOOKUP(B1228,'SKU Master'!$B$2:$E$31,4,0)</f>
        <v>374</v>
      </c>
      <c r="F1228" s="25">
        <f t="shared" si="38"/>
        <v>374</v>
      </c>
      <c r="G1228" s="40" t="str">
        <f t="shared" si="39"/>
        <v>Wed</v>
      </c>
    </row>
    <row r="1229" spans="1:7" ht="14.4" x14ac:dyDescent="0.3">
      <c r="A1229" s="22">
        <v>44300</v>
      </c>
      <c r="B1229" s="23" t="s">
        <v>87</v>
      </c>
      <c r="C1229" s="23" t="s">
        <v>98</v>
      </c>
      <c r="D1229" s="24">
        <v>1</v>
      </c>
      <c r="E1229" s="17">
        <f>VLOOKUP(B1229,'SKU Master'!$B$2:$E$31,4,0)</f>
        <v>1500</v>
      </c>
      <c r="F1229" s="25">
        <f t="shared" si="38"/>
        <v>1500</v>
      </c>
      <c r="G1229" s="40" t="str">
        <f t="shared" si="39"/>
        <v>Wed</v>
      </c>
    </row>
    <row r="1230" spans="1:7" ht="14.4" x14ac:dyDescent="0.3">
      <c r="A1230" s="22">
        <v>44300</v>
      </c>
      <c r="B1230" s="23" t="s">
        <v>90</v>
      </c>
      <c r="C1230" s="23" t="s">
        <v>98</v>
      </c>
      <c r="D1230" s="24">
        <v>0</v>
      </c>
      <c r="E1230" s="17">
        <f>VLOOKUP(B1230,'SKU Master'!$B$2:$E$31,4,0)</f>
        <v>1800</v>
      </c>
      <c r="F1230" s="25">
        <f t="shared" si="38"/>
        <v>0</v>
      </c>
      <c r="G1230" s="40" t="str">
        <f t="shared" si="39"/>
        <v>Wed</v>
      </c>
    </row>
    <row r="1231" spans="1:7" ht="14.4" x14ac:dyDescent="0.3">
      <c r="A1231" s="22">
        <v>44300</v>
      </c>
      <c r="B1231" s="23" t="s">
        <v>93</v>
      </c>
      <c r="C1231" s="23" t="s">
        <v>98</v>
      </c>
      <c r="D1231" s="24">
        <v>0</v>
      </c>
      <c r="E1231" s="17">
        <f>VLOOKUP(B1231,'SKU Master'!$B$2:$E$31,4,0)</f>
        <v>1477</v>
      </c>
      <c r="F1231" s="25">
        <f t="shared" si="38"/>
        <v>0</v>
      </c>
      <c r="G1231" s="40" t="str">
        <f t="shared" si="39"/>
        <v>Wed</v>
      </c>
    </row>
    <row r="1232" spans="1:7" ht="14.4" x14ac:dyDescent="0.3">
      <c r="A1232" s="22">
        <v>44300</v>
      </c>
      <c r="B1232" s="23" t="s">
        <v>6</v>
      </c>
      <c r="C1232" s="23" t="s">
        <v>97</v>
      </c>
      <c r="D1232" s="24">
        <v>10</v>
      </c>
      <c r="E1232" s="17">
        <f>VLOOKUP(B1232,'SKU Master'!$B$2:$E$31,4,0)</f>
        <v>210</v>
      </c>
      <c r="F1232" s="25">
        <f t="shared" si="38"/>
        <v>2100</v>
      </c>
      <c r="G1232" s="40" t="str">
        <f t="shared" si="39"/>
        <v>Wed</v>
      </c>
    </row>
    <row r="1233" spans="1:7" ht="14.4" x14ac:dyDescent="0.3">
      <c r="A1233" s="22">
        <v>44300</v>
      </c>
      <c r="B1233" s="23" t="s">
        <v>9</v>
      </c>
      <c r="C1233" s="23" t="s">
        <v>97</v>
      </c>
      <c r="D1233" s="24">
        <v>6</v>
      </c>
      <c r="E1233" s="17">
        <f>VLOOKUP(B1233,'SKU Master'!$B$2:$E$31,4,0)</f>
        <v>199</v>
      </c>
      <c r="F1233" s="25">
        <f t="shared" si="38"/>
        <v>1194</v>
      </c>
      <c r="G1233" s="40" t="str">
        <f t="shared" si="39"/>
        <v>Wed</v>
      </c>
    </row>
    <row r="1234" spans="1:7" ht="14.4" x14ac:dyDescent="0.3">
      <c r="A1234" s="22">
        <v>44300</v>
      </c>
      <c r="B1234" s="23" t="s">
        <v>12</v>
      </c>
      <c r="C1234" s="23" t="s">
        <v>97</v>
      </c>
      <c r="D1234" s="24">
        <v>5</v>
      </c>
      <c r="E1234" s="17">
        <f>VLOOKUP(B1234,'SKU Master'!$B$2:$E$31,4,0)</f>
        <v>322</v>
      </c>
      <c r="F1234" s="25">
        <f t="shared" si="38"/>
        <v>1610</v>
      </c>
      <c r="G1234" s="40" t="str">
        <f t="shared" si="39"/>
        <v>Wed</v>
      </c>
    </row>
    <row r="1235" spans="1:7" ht="14.4" x14ac:dyDescent="0.3">
      <c r="A1235" s="22">
        <v>44300</v>
      </c>
      <c r="B1235" s="23" t="s">
        <v>15</v>
      </c>
      <c r="C1235" s="23" t="s">
        <v>97</v>
      </c>
      <c r="D1235" s="24">
        <v>2</v>
      </c>
      <c r="E1235" s="17">
        <f>VLOOKUP(B1235,'SKU Master'!$B$2:$E$31,4,0)</f>
        <v>161</v>
      </c>
      <c r="F1235" s="25">
        <f t="shared" si="38"/>
        <v>322</v>
      </c>
      <c r="G1235" s="40" t="str">
        <f t="shared" si="39"/>
        <v>Wed</v>
      </c>
    </row>
    <row r="1236" spans="1:7" ht="14.4" x14ac:dyDescent="0.3">
      <c r="A1236" s="22">
        <v>44300</v>
      </c>
      <c r="B1236" s="23" t="s">
        <v>17</v>
      </c>
      <c r="C1236" s="23" t="s">
        <v>97</v>
      </c>
      <c r="D1236" s="24">
        <v>3</v>
      </c>
      <c r="E1236" s="17">
        <f>VLOOKUP(B1236,'SKU Master'!$B$2:$E$31,4,0)</f>
        <v>109</v>
      </c>
      <c r="F1236" s="25">
        <f t="shared" si="38"/>
        <v>327</v>
      </c>
      <c r="G1236" s="40" t="str">
        <f t="shared" si="39"/>
        <v>Wed</v>
      </c>
    </row>
    <row r="1237" spans="1:7" ht="14.4" x14ac:dyDescent="0.3">
      <c r="A1237" s="22">
        <v>44300</v>
      </c>
      <c r="B1237" s="23" t="s">
        <v>20</v>
      </c>
      <c r="C1237" s="23" t="s">
        <v>97</v>
      </c>
      <c r="D1237" s="24">
        <v>2</v>
      </c>
      <c r="E1237" s="17">
        <f>VLOOKUP(B1237,'SKU Master'!$B$2:$E$31,4,0)</f>
        <v>122</v>
      </c>
      <c r="F1237" s="25">
        <f t="shared" si="38"/>
        <v>244</v>
      </c>
      <c r="G1237" s="40" t="str">
        <f t="shared" si="39"/>
        <v>Wed</v>
      </c>
    </row>
    <row r="1238" spans="1:7" ht="14.4" x14ac:dyDescent="0.3">
      <c r="A1238" s="22">
        <v>44300</v>
      </c>
      <c r="B1238" s="23" t="s">
        <v>23</v>
      </c>
      <c r="C1238" s="23" t="s">
        <v>97</v>
      </c>
      <c r="D1238" s="24">
        <v>2</v>
      </c>
      <c r="E1238" s="17">
        <f>VLOOKUP(B1238,'SKU Master'!$B$2:$E$31,4,0)</f>
        <v>96</v>
      </c>
      <c r="F1238" s="25">
        <f t="shared" si="38"/>
        <v>192</v>
      </c>
      <c r="G1238" s="40" t="str">
        <f t="shared" si="39"/>
        <v>Wed</v>
      </c>
    </row>
    <row r="1239" spans="1:7" ht="14.4" x14ac:dyDescent="0.3">
      <c r="A1239" s="22">
        <v>44300</v>
      </c>
      <c r="B1239" s="23" t="s">
        <v>26</v>
      </c>
      <c r="C1239" s="23" t="s">
        <v>97</v>
      </c>
      <c r="D1239" s="24">
        <v>1</v>
      </c>
      <c r="E1239" s="17">
        <f>VLOOKUP(B1239,'SKU Master'!$B$2:$E$31,4,0)</f>
        <v>73</v>
      </c>
      <c r="F1239" s="25">
        <f t="shared" si="38"/>
        <v>73</v>
      </c>
      <c r="G1239" s="40" t="str">
        <f t="shared" si="39"/>
        <v>Wed</v>
      </c>
    </row>
    <row r="1240" spans="1:7" ht="14.4" x14ac:dyDescent="0.3">
      <c r="A1240" s="22">
        <v>44300</v>
      </c>
      <c r="B1240" s="23" t="s">
        <v>29</v>
      </c>
      <c r="C1240" s="23" t="s">
        <v>97</v>
      </c>
      <c r="D1240" s="24">
        <v>1</v>
      </c>
      <c r="E1240" s="17">
        <f>VLOOKUP(B1240,'SKU Master'!$B$2:$E$31,4,0)</f>
        <v>225</v>
      </c>
      <c r="F1240" s="25">
        <f t="shared" si="38"/>
        <v>225</v>
      </c>
      <c r="G1240" s="40" t="str">
        <f t="shared" si="39"/>
        <v>Wed</v>
      </c>
    </row>
    <row r="1241" spans="1:7" ht="14.4" x14ac:dyDescent="0.3">
      <c r="A1241" s="22">
        <v>44300</v>
      </c>
      <c r="B1241" s="23" t="s">
        <v>32</v>
      </c>
      <c r="C1241" s="23" t="s">
        <v>97</v>
      </c>
      <c r="D1241" s="24">
        <v>1</v>
      </c>
      <c r="E1241" s="17">
        <f>VLOOKUP(B1241,'SKU Master'!$B$2:$E$31,4,0)</f>
        <v>559</v>
      </c>
      <c r="F1241" s="25">
        <f t="shared" si="38"/>
        <v>559</v>
      </c>
      <c r="G1241" s="40" t="str">
        <f t="shared" si="39"/>
        <v>Wed</v>
      </c>
    </row>
    <row r="1242" spans="1:7" ht="14.4" x14ac:dyDescent="0.3">
      <c r="A1242" s="22">
        <v>44300</v>
      </c>
      <c r="B1242" s="23" t="s">
        <v>36</v>
      </c>
      <c r="C1242" s="23" t="s">
        <v>97</v>
      </c>
      <c r="D1242" s="24">
        <v>28</v>
      </c>
      <c r="E1242" s="17">
        <f>VLOOKUP(B1242,'SKU Master'!$B$2:$E$31,4,0)</f>
        <v>3199</v>
      </c>
      <c r="F1242" s="25">
        <f t="shared" si="38"/>
        <v>89572</v>
      </c>
      <c r="G1242" s="40" t="str">
        <f t="shared" si="39"/>
        <v>Wed</v>
      </c>
    </row>
    <row r="1243" spans="1:7" ht="14.4" x14ac:dyDescent="0.3">
      <c r="A1243" s="22">
        <v>44300</v>
      </c>
      <c r="B1243" s="23" t="s">
        <v>39</v>
      </c>
      <c r="C1243" s="23" t="s">
        <v>97</v>
      </c>
      <c r="D1243" s="24">
        <v>1</v>
      </c>
      <c r="E1243" s="17">
        <f>VLOOKUP(B1243,'SKU Master'!$B$2:$E$31,4,0)</f>
        <v>371</v>
      </c>
      <c r="F1243" s="25">
        <f t="shared" si="38"/>
        <v>371</v>
      </c>
      <c r="G1243" s="40" t="str">
        <f t="shared" si="39"/>
        <v>Wed</v>
      </c>
    </row>
    <row r="1244" spans="1:7" ht="14.4" x14ac:dyDescent="0.3">
      <c r="A1244" s="22">
        <v>44300</v>
      </c>
      <c r="B1244" s="23" t="s">
        <v>42</v>
      </c>
      <c r="C1244" s="23" t="s">
        <v>97</v>
      </c>
      <c r="D1244" s="24">
        <v>4</v>
      </c>
      <c r="E1244" s="17">
        <f>VLOOKUP(B1244,'SKU Master'!$B$2:$E$31,4,0)</f>
        <v>2300</v>
      </c>
      <c r="F1244" s="25">
        <f t="shared" si="38"/>
        <v>9200</v>
      </c>
      <c r="G1244" s="40" t="str">
        <f t="shared" si="39"/>
        <v>Wed</v>
      </c>
    </row>
    <row r="1245" spans="1:7" ht="14.4" x14ac:dyDescent="0.3">
      <c r="A1245" s="22">
        <v>44300</v>
      </c>
      <c r="B1245" s="23" t="s">
        <v>45</v>
      </c>
      <c r="C1245" s="23" t="s">
        <v>97</v>
      </c>
      <c r="D1245" s="24">
        <v>3</v>
      </c>
      <c r="E1245" s="17">
        <f>VLOOKUP(B1245,'SKU Master'!$B$2:$E$31,4,0)</f>
        <v>499</v>
      </c>
      <c r="F1245" s="25">
        <f t="shared" si="38"/>
        <v>1497</v>
      </c>
      <c r="G1245" s="40" t="str">
        <f t="shared" si="39"/>
        <v>Wed</v>
      </c>
    </row>
    <row r="1246" spans="1:7" ht="14.4" x14ac:dyDescent="0.3">
      <c r="A1246" s="22">
        <v>44300</v>
      </c>
      <c r="B1246" s="23" t="s">
        <v>48</v>
      </c>
      <c r="C1246" s="23" t="s">
        <v>97</v>
      </c>
      <c r="D1246" s="24">
        <v>6</v>
      </c>
      <c r="E1246" s="17">
        <f>VLOOKUP(B1246,'SKU Master'!$B$2:$E$31,4,0)</f>
        <v>299</v>
      </c>
      <c r="F1246" s="25">
        <f t="shared" si="38"/>
        <v>1794</v>
      </c>
      <c r="G1246" s="40" t="str">
        <f t="shared" si="39"/>
        <v>Wed</v>
      </c>
    </row>
    <row r="1247" spans="1:7" ht="14.4" x14ac:dyDescent="0.3">
      <c r="A1247" s="22">
        <v>44300</v>
      </c>
      <c r="B1247" s="23" t="s">
        <v>51</v>
      </c>
      <c r="C1247" s="23" t="s">
        <v>97</v>
      </c>
      <c r="D1247" s="24">
        <v>5</v>
      </c>
      <c r="E1247" s="17">
        <f>VLOOKUP(B1247,'SKU Master'!$B$2:$E$31,4,0)</f>
        <v>901</v>
      </c>
      <c r="F1247" s="25">
        <f t="shared" si="38"/>
        <v>4505</v>
      </c>
      <c r="G1247" s="40" t="str">
        <f t="shared" si="39"/>
        <v>Wed</v>
      </c>
    </row>
    <row r="1248" spans="1:7" ht="14.4" x14ac:dyDescent="0.3">
      <c r="A1248" s="22">
        <v>44300</v>
      </c>
      <c r="B1248" s="23" t="s">
        <v>54</v>
      </c>
      <c r="C1248" s="23" t="s">
        <v>97</v>
      </c>
      <c r="D1248" s="24">
        <v>3</v>
      </c>
      <c r="E1248" s="17">
        <f>VLOOKUP(B1248,'SKU Master'!$B$2:$E$31,4,0)</f>
        <v>929</v>
      </c>
      <c r="F1248" s="25">
        <f t="shared" si="38"/>
        <v>2787</v>
      </c>
      <c r="G1248" s="40" t="str">
        <f t="shared" si="39"/>
        <v>Wed</v>
      </c>
    </row>
    <row r="1249" spans="1:7" ht="14.4" x14ac:dyDescent="0.3">
      <c r="A1249" s="22">
        <v>44300</v>
      </c>
      <c r="B1249" s="23" t="s">
        <v>57</v>
      </c>
      <c r="C1249" s="23" t="s">
        <v>97</v>
      </c>
      <c r="D1249" s="24">
        <v>1</v>
      </c>
      <c r="E1249" s="17">
        <f>VLOOKUP(B1249,'SKU Master'!$B$2:$E$31,4,0)</f>
        <v>1030</v>
      </c>
      <c r="F1249" s="25">
        <f t="shared" si="38"/>
        <v>1030</v>
      </c>
      <c r="G1249" s="40" t="str">
        <f t="shared" si="39"/>
        <v>Wed</v>
      </c>
    </row>
    <row r="1250" spans="1:7" ht="14.4" x14ac:dyDescent="0.3">
      <c r="A1250" s="22">
        <v>44300</v>
      </c>
      <c r="B1250" s="23" t="s">
        <v>60</v>
      </c>
      <c r="C1250" s="23" t="s">
        <v>97</v>
      </c>
      <c r="D1250" s="24">
        <v>2</v>
      </c>
      <c r="E1250" s="17">
        <f>VLOOKUP(B1250,'SKU Master'!$B$2:$E$31,4,0)</f>
        <v>1222</v>
      </c>
      <c r="F1250" s="25">
        <f t="shared" si="38"/>
        <v>2444</v>
      </c>
      <c r="G1250" s="40" t="str">
        <f t="shared" si="39"/>
        <v>Wed</v>
      </c>
    </row>
    <row r="1251" spans="1:7" ht="14.4" x14ac:dyDescent="0.3">
      <c r="A1251" s="22">
        <v>44300</v>
      </c>
      <c r="B1251" s="23" t="s">
        <v>63</v>
      </c>
      <c r="C1251" s="23" t="s">
        <v>97</v>
      </c>
      <c r="D1251" s="24">
        <v>2</v>
      </c>
      <c r="E1251" s="17">
        <f>VLOOKUP(B1251,'SKU Master'!$B$2:$E$31,4,0)</f>
        <v>649</v>
      </c>
      <c r="F1251" s="25">
        <f t="shared" si="38"/>
        <v>1298</v>
      </c>
      <c r="G1251" s="40" t="str">
        <f t="shared" si="39"/>
        <v>Wed</v>
      </c>
    </row>
    <row r="1252" spans="1:7" ht="14.4" x14ac:dyDescent="0.3">
      <c r="A1252" s="22">
        <v>44300</v>
      </c>
      <c r="B1252" s="23" t="s">
        <v>67</v>
      </c>
      <c r="C1252" s="23" t="s">
        <v>97</v>
      </c>
      <c r="D1252" s="24">
        <v>14</v>
      </c>
      <c r="E1252" s="17">
        <f>VLOOKUP(B1252,'SKU Master'!$B$2:$E$31,4,0)</f>
        <v>1800</v>
      </c>
      <c r="F1252" s="25">
        <f t="shared" si="38"/>
        <v>25200</v>
      </c>
      <c r="G1252" s="40" t="str">
        <f t="shared" si="39"/>
        <v>Wed</v>
      </c>
    </row>
    <row r="1253" spans="1:7" ht="14.4" x14ac:dyDescent="0.3">
      <c r="A1253" s="22">
        <v>44300</v>
      </c>
      <c r="B1253" s="23" t="s">
        <v>70</v>
      </c>
      <c r="C1253" s="23" t="s">
        <v>97</v>
      </c>
      <c r="D1253" s="24">
        <v>6</v>
      </c>
      <c r="E1253" s="17">
        <f>VLOOKUP(B1253,'SKU Master'!$B$2:$E$31,4,0)</f>
        <v>345</v>
      </c>
      <c r="F1253" s="25">
        <f t="shared" si="38"/>
        <v>2070</v>
      </c>
      <c r="G1253" s="40" t="str">
        <f t="shared" si="39"/>
        <v>Wed</v>
      </c>
    </row>
    <row r="1254" spans="1:7" ht="14.4" x14ac:dyDescent="0.3">
      <c r="A1254" s="22">
        <v>44300</v>
      </c>
      <c r="B1254" s="23" t="s">
        <v>73</v>
      </c>
      <c r="C1254" s="23" t="s">
        <v>97</v>
      </c>
      <c r="D1254" s="24">
        <v>5</v>
      </c>
      <c r="E1254" s="17">
        <f>VLOOKUP(B1254,'SKU Master'!$B$2:$E$31,4,0)</f>
        <v>350</v>
      </c>
      <c r="F1254" s="25">
        <f t="shared" si="38"/>
        <v>1750</v>
      </c>
      <c r="G1254" s="40" t="str">
        <f t="shared" si="39"/>
        <v>Wed</v>
      </c>
    </row>
    <row r="1255" spans="1:7" ht="14.4" x14ac:dyDescent="0.3">
      <c r="A1255" s="22">
        <v>44300</v>
      </c>
      <c r="B1255" s="23" t="s">
        <v>76</v>
      </c>
      <c r="C1255" s="23" t="s">
        <v>97</v>
      </c>
      <c r="D1255" s="24">
        <v>4</v>
      </c>
      <c r="E1255" s="17">
        <f>VLOOKUP(B1255,'SKU Master'!$B$2:$E$31,4,0)</f>
        <v>1575</v>
      </c>
      <c r="F1255" s="25">
        <f t="shared" si="38"/>
        <v>6300</v>
      </c>
      <c r="G1255" s="40" t="str">
        <f t="shared" si="39"/>
        <v>Wed</v>
      </c>
    </row>
    <row r="1256" spans="1:7" ht="14.4" x14ac:dyDescent="0.3">
      <c r="A1256" s="22">
        <v>44300</v>
      </c>
      <c r="B1256" s="23" t="s">
        <v>78</v>
      </c>
      <c r="C1256" s="23" t="s">
        <v>97</v>
      </c>
      <c r="D1256" s="24">
        <v>5</v>
      </c>
      <c r="E1256" s="17">
        <f>VLOOKUP(B1256,'SKU Master'!$B$2:$E$31,4,0)</f>
        <v>1045</v>
      </c>
      <c r="F1256" s="25">
        <f t="shared" si="38"/>
        <v>5225</v>
      </c>
      <c r="G1256" s="40" t="str">
        <f t="shared" si="39"/>
        <v>Wed</v>
      </c>
    </row>
    <row r="1257" spans="1:7" ht="14.4" x14ac:dyDescent="0.3">
      <c r="A1257" s="22">
        <v>44300</v>
      </c>
      <c r="B1257" s="23" t="s">
        <v>81</v>
      </c>
      <c r="C1257" s="23" t="s">
        <v>97</v>
      </c>
      <c r="D1257" s="24">
        <v>2</v>
      </c>
      <c r="E1257" s="17">
        <f>VLOOKUP(B1257,'SKU Master'!$B$2:$E$31,4,0)</f>
        <v>1186</v>
      </c>
      <c r="F1257" s="25">
        <f t="shared" si="38"/>
        <v>2372</v>
      </c>
      <c r="G1257" s="40" t="str">
        <f t="shared" si="39"/>
        <v>Wed</v>
      </c>
    </row>
    <row r="1258" spans="1:7" ht="14.4" x14ac:dyDescent="0.3">
      <c r="A1258" s="22">
        <v>44300</v>
      </c>
      <c r="B1258" s="23" t="s">
        <v>84</v>
      </c>
      <c r="C1258" s="23" t="s">
        <v>97</v>
      </c>
      <c r="D1258" s="24">
        <v>3</v>
      </c>
      <c r="E1258" s="17">
        <f>VLOOKUP(B1258,'SKU Master'!$B$2:$E$31,4,0)</f>
        <v>374</v>
      </c>
      <c r="F1258" s="25">
        <f t="shared" si="38"/>
        <v>1122</v>
      </c>
      <c r="G1258" s="40" t="str">
        <f t="shared" si="39"/>
        <v>Wed</v>
      </c>
    </row>
    <row r="1259" spans="1:7" ht="14.4" x14ac:dyDescent="0.3">
      <c r="A1259" s="22">
        <v>44300</v>
      </c>
      <c r="B1259" s="23" t="s">
        <v>87</v>
      </c>
      <c r="C1259" s="23" t="s">
        <v>97</v>
      </c>
      <c r="D1259" s="24">
        <v>2</v>
      </c>
      <c r="E1259" s="17">
        <f>VLOOKUP(B1259,'SKU Master'!$B$2:$E$31,4,0)</f>
        <v>1500</v>
      </c>
      <c r="F1259" s="25">
        <f t="shared" si="38"/>
        <v>3000</v>
      </c>
      <c r="G1259" s="40" t="str">
        <f t="shared" si="39"/>
        <v>Wed</v>
      </c>
    </row>
    <row r="1260" spans="1:7" ht="14.4" x14ac:dyDescent="0.3">
      <c r="A1260" s="22">
        <v>44300</v>
      </c>
      <c r="B1260" s="23" t="s">
        <v>90</v>
      </c>
      <c r="C1260" s="23" t="s">
        <v>97</v>
      </c>
      <c r="D1260" s="24">
        <v>1</v>
      </c>
      <c r="E1260" s="17">
        <f>VLOOKUP(B1260,'SKU Master'!$B$2:$E$31,4,0)</f>
        <v>1800</v>
      </c>
      <c r="F1260" s="25">
        <f t="shared" si="38"/>
        <v>1800</v>
      </c>
      <c r="G1260" s="40" t="str">
        <f t="shared" si="39"/>
        <v>Wed</v>
      </c>
    </row>
    <row r="1261" spans="1:7" ht="14.4" x14ac:dyDescent="0.3">
      <c r="A1261" s="22">
        <v>44300</v>
      </c>
      <c r="B1261" s="23" t="s">
        <v>93</v>
      </c>
      <c r="C1261" s="23" t="s">
        <v>97</v>
      </c>
      <c r="D1261" s="24">
        <v>1</v>
      </c>
      <c r="E1261" s="17">
        <f>VLOOKUP(B1261,'SKU Master'!$B$2:$E$31,4,0)</f>
        <v>1477</v>
      </c>
      <c r="F1261" s="25">
        <f t="shared" si="38"/>
        <v>1477</v>
      </c>
      <c r="G1261" s="40" t="str">
        <f t="shared" si="39"/>
        <v>Wed</v>
      </c>
    </row>
    <row r="1262" spans="1:7" ht="14.4" x14ac:dyDescent="0.3">
      <c r="A1262" s="22">
        <v>44301</v>
      </c>
      <c r="B1262" s="23" t="s">
        <v>6</v>
      </c>
      <c r="C1262" s="23" t="s">
        <v>96</v>
      </c>
      <c r="D1262" s="24">
        <v>27</v>
      </c>
      <c r="E1262" s="17">
        <f>VLOOKUP(B1262,'SKU Master'!$B$2:$E$31,4,0)</f>
        <v>210</v>
      </c>
      <c r="F1262" s="25">
        <f t="shared" si="38"/>
        <v>5670</v>
      </c>
      <c r="G1262" s="40" t="str">
        <f t="shared" si="39"/>
        <v>Thu</v>
      </c>
    </row>
    <row r="1263" spans="1:7" ht="14.4" x14ac:dyDescent="0.3">
      <c r="A1263" s="22">
        <v>44301</v>
      </c>
      <c r="B1263" s="23" t="s">
        <v>9</v>
      </c>
      <c r="C1263" s="23" t="s">
        <v>96</v>
      </c>
      <c r="D1263" s="24">
        <v>16</v>
      </c>
      <c r="E1263" s="17">
        <f>VLOOKUP(B1263,'SKU Master'!$B$2:$E$31,4,0)</f>
        <v>199</v>
      </c>
      <c r="F1263" s="25">
        <f t="shared" si="38"/>
        <v>3184</v>
      </c>
      <c r="G1263" s="40" t="str">
        <f t="shared" si="39"/>
        <v>Thu</v>
      </c>
    </row>
    <row r="1264" spans="1:7" ht="14.4" x14ac:dyDescent="0.3">
      <c r="A1264" s="22">
        <v>44301</v>
      </c>
      <c r="B1264" s="23" t="s">
        <v>12</v>
      </c>
      <c r="C1264" s="23" t="s">
        <v>96</v>
      </c>
      <c r="D1264" s="24">
        <v>11</v>
      </c>
      <c r="E1264" s="17">
        <f>VLOOKUP(B1264,'SKU Master'!$B$2:$E$31,4,0)</f>
        <v>322</v>
      </c>
      <c r="F1264" s="25">
        <f t="shared" si="38"/>
        <v>3542</v>
      </c>
      <c r="G1264" s="40" t="str">
        <f t="shared" si="39"/>
        <v>Thu</v>
      </c>
    </row>
    <row r="1265" spans="1:7" ht="14.4" x14ac:dyDescent="0.3">
      <c r="A1265" s="22">
        <v>44301</v>
      </c>
      <c r="B1265" s="23" t="s">
        <v>15</v>
      </c>
      <c r="C1265" s="23" t="s">
        <v>96</v>
      </c>
      <c r="D1265" s="24">
        <v>8</v>
      </c>
      <c r="E1265" s="17">
        <f>VLOOKUP(B1265,'SKU Master'!$B$2:$E$31,4,0)</f>
        <v>161</v>
      </c>
      <c r="F1265" s="25">
        <f t="shared" si="38"/>
        <v>1288</v>
      </c>
      <c r="G1265" s="40" t="str">
        <f t="shared" si="39"/>
        <v>Thu</v>
      </c>
    </row>
    <row r="1266" spans="1:7" ht="14.4" x14ac:dyDescent="0.3">
      <c r="A1266" s="22">
        <v>44301</v>
      </c>
      <c r="B1266" s="23" t="s">
        <v>17</v>
      </c>
      <c r="C1266" s="23" t="s">
        <v>96</v>
      </c>
      <c r="D1266" s="24">
        <v>6</v>
      </c>
      <c r="E1266" s="17">
        <f>VLOOKUP(B1266,'SKU Master'!$B$2:$E$31,4,0)</f>
        <v>109</v>
      </c>
      <c r="F1266" s="25">
        <f t="shared" si="38"/>
        <v>654</v>
      </c>
      <c r="G1266" s="40" t="str">
        <f t="shared" si="39"/>
        <v>Thu</v>
      </c>
    </row>
    <row r="1267" spans="1:7" ht="14.4" x14ac:dyDescent="0.3">
      <c r="A1267" s="22">
        <v>44301</v>
      </c>
      <c r="B1267" s="23" t="s">
        <v>20</v>
      </c>
      <c r="C1267" s="23" t="s">
        <v>96</v>
      </c>
      <c r="D1267" s="24">
        <v>2</v>
      </c>
      <c r="E1267" s="17">
        <f>VLOOKUP(B1267,'SKU Master'!$B$2:$E$31,4,0)</f>
        <v>122</v>
      </c>
      <c r="F1267" s="25">
        <f t="shared" si="38"/>
        <v>244</v>
      </c>
      <c r="G1267" s="40" t="str">
        <f t="shared" si="39"/>
        <v>Thu</v>
      </c>
    </row>
    <row r="1268" spans="1:7" ht="14.4" x14ac:dyDescent="0.3">
      <c r="A1268" s="22">
        <v>44301</v>
      </c>
      <c r="B1268" s="23" t="s">
        <v>23</v>
      </c>
      <c r="C1268" s="23" t="s">
        <v>96</v>
      </c>
      <c r="D1268" s="24">
        <v>3</v>
      </c>
      <c r="E1268" s="17">
        <f>VLOOKUP(B1268,'SKU Master'!$B$2:$E$31,4,0)</f>
        <v>96</v>
      </c>
      <c r="F1268" s="25">
        <f t="shared" si="38"/>
        <v>288</v>
      </c>
      <c r="G1268" s="40" t="str">
        <f t="shared" si="39"/>
        <v>Thu</v>
      </c>
    </row>
    <row r="1269" spans="1:7" ht="14.4" x14ac:dyDescent="0.3">
      <c r="A1269" s="22">
        <v>44301</v>
      </c>
      <c r="B1269" s="23" t="s">
        <v>26</v>
      </c>
      <c r="C1269" s="23" t="s">
        <v>96</v>
      </c>
      <c r="D1269" s="24">
        <v>0</v>
      </c>
      <c r="E1269" s="17">
        <f>VLOOKUP(B1269,'SKU Master'!$B$2:$E$31,4,0)</f>
        <v>73</v>
      </c>
      <c r="F1269" s="25">
        <f t="shared" si="38"/>
        <v>0</v>
      </c>
      <c r="G1269" s="40" t="str">
        <f t="shared" si="39"/>
        <v>Thu</v>
      </c>
    </row>
    <row r="1270" spans="1:7" ht="14.4" x14ac:dyDescent="0.3">
      <c r="A1270" s="22">
        <v>44301</v>
      </c>
      <c r="B1270" s="23" t="s">
        <v>29</v>
      </c>
      <c r="C1270" s="23" t="s">
        <v>96</v>
      </c>
      <c r="D1270" s="24">
        <v>2</v>
      </c>
      <c r="E1270" s="17">
        <f>VLOOKUP(B1270,'SKU Master'!$B$2:$E$31,4,0)</f>
        <v>225</v>
      </c>
      <c r="F1270" s="25">
        <f t="shared" si="38"/>
        <v>450</v>
      </c>
      <c r="G1270" s="40" t="str">
        <f t="shared" si="39"/>
        <v>Thu</v>
      </c>
    </row>
    <row r="1271" spans="1:7" ht="14.4" x14ac:dyDescent="0.3">
      <c r="A1271" s="22">
        <v>44301</v>
      </c>
      <c r="B1271" s="23" t="s">
        <v>32</v>
      </c>
      <c r="C1271" s="23" t="s">
        <v>96</v>
      </c>
      <c r="D1271" s="24">
        <v>1</v>
      </c>
      <c r="E1271" s="17">
        <f>VLOOKUP(B1271,'SKU Master'!$B$2:$E$31,4,0)</f>
        <v>559</v>
      </c>
      <c r="F1271" s="25">
        <f t="shared" si="38"/>
        <v>559</v>
      </c>
      <c r="G1271" s="40" t="str">
        <f t="shared" si="39"/>
        <v>Thu</v>
      </c>
    </row>
    <row r="1272" spans="1:7" ht="14.4" x14ac:dyDescent="0.3">
      <c r="A1272" s="22">
        <v>44301</v>
      </c>
      <c r="B1272" s="23" t="s">
        <v>36</v>
      </c>
      <c r="C1272" s="23" t="s">
        <v>96</v>
      </c>
      <c r="D1272" s="24">
        <v>30</v>
      </c>
      <c r="E1272" s="17">
        <f>VLOOKUP(B1272,'SKU Master'!$B$2:$E$31,4,0)</f>
        <v>3199</v>
      </c>
      <c r="F1272" s="25">
        <f t="shared" si="38"/>
        <v>95970</v>
      </c>
      <c r="G1272" s="40" t="str">
        <f t="shared" si="39"/>
        <v>Thu</v>
      </c>
    </row>
    <row r="1273" spans="1:7" ht="14.4" x14ac:dyDescent="0.3">
      <c r="A1273" s="22">
        <v>44301</v>
      </c>
      <c r="B1273" s="23" t="s">
        <v>39</v>
      </c>
      <c r="C1273" s="23" t="s">
        <v>96</v>
      </c>
      <c r="D1273" s="24">
        <v>16</v>
      </c>
      <c r="E1273" s="17">
        <f>VLOOKUP(B1273,'SKU Master'!$B$2:$E$31,4,0)</f>
        <v>371</v>
      </c>
      <c r="F1273" s="25">
        <f t="shared" si="38"/>
        <v>5936</v>
      </c>
      <c r="G1273" s="40" t="str">
        <f t="shared" si="39"/>
        <v>Thu</v>
      </c>
    </row>
    <row r="1274" spans="1:7" ht="14.4" x14ac:dyDescent="0.3">
      <c r="A1274" s="22">
        <v>44301</v>
      </c>
      <c r="B1274" s="23" t="s">
        <v>42</v>
      </c>
      <c r="C1274" s="23" t="s">
        <v>96</v>
      </c>
      <c r="D1274" s="24">
        <v>8</v>
      </c>
      <c r="E1274" s="17">
        <f>VLOOKUP(B1274,'SKU Master'!$B$2:$E$31,4,0)</f>
        <v>2300</v>
      </c>
      <c r="F1274" s="25">
        <f t="shared" si="38"/>
        <v>18400</v>
      </c>
      <c r="G1274" s="40" t="str">
        <f t="shared" si="39"/>
        <v>Thu</v>
      </c>
    </row>
    <row r="1275" spans="1:7" ht="14.4" x14ac:dyDescent="0.3">
      <c r="A1275" s="22">
        <v>44301</v>
      </c>
      <c r="B1275" s="23" t="s">
        <v>45</v>
      </c>
      <c r="C1275" s="23" t="s">
        <v>96</v>
      </c>
      <c r="D1275" s="24">
        <v>7</v>
      </c>
      <c r="E1275" s="17">
        <f>VLOOKUP(B1275,'SKU Master'!$B$2:$E$31,4,0)</f>
        <v>499</v>
      </c>
      <c r="F1275" s="25">
        <f t="shared" si="38"/>
        <v>3493</v>
      </c>
      <c r="G1275" s="40" t="str">
        <f t="shared" si="39"/>
        <v>Thu</v>
      </c>
    </row>
    <row r="1276" spans="1:7" ht="14.4" x14ac:dyDescent="0.3">
      <c r="A1276" s="22">
        <v>44301</v>
      </c>
      <c r="B1276" s="23" t="s">
        <v>48</v>
      </c>
      <c r="C1276" s="23" t="s">
        <v>96</v>
      </c>
      <c r="D1276" s="24">
        <v>7</v>
      </c>
      <c r="E1276" s="17">
        <f>VLOOKUP(B1276,'SKU Master'!$B$2:$E$31,4,0)</f>
        <v>299</v>
      </c>
      <c r="F1276" s="25">
        <f t="shared" si="38"/>
        <v>2093</v>
      </c>
      <c r="G1276" s="40" t="str">
        <f t="shared" si="39"/>
        <v>Thu</v>
      </c>
    </row>
    <row r="1277" spans="1:7" ht="14.4" x14ac:dyDescent="0.3">
      <c r="A1277" s="22">
        <v>44301</v>
      </c>
      <c r="B1277" s="23" t="s">
        <v>51</v>
      </c>
      <c r="C1277" s="23" t="s">
        <v>96</v>
      </c>
      <c r="D1277" s="24">
        <v>2</v>
      </c>
      <c r="E1277" s="17">
        <f>VLOOKUP(B1277,'SKU Master'!$B$2:$E$31,4,0)</f>
        <v>901</v>
      </c>
      <c r="F1277" s="25">
        <f t="shared" si="38"/>
        <v>1802</v>
      </c>
      <c r="G1277" s="40" t="str">
        <f t="shared" si="39"/>
        <v>Thu</v>
      </c>
    </row>
    <row r="1278" spans="1:7" ht="14.4" x14ac:dyDescent="0.3">
      <c r="A1278" s="22">
        <v>44301</v>
      </c>
      <c r="B1278" s="23" t="s">
        <v>54</v>
      </c>
      <c r="C1278" s="23" t="s">
        <v>96</v>
      </c>
      <c r="D1278" s="24">
        <v>3</v>
      </c>
      <c r="E1278" s="17">
        <f>VLOOKUP(B1278,'SKU Master'!$B$2:$E$31,4,0)</f>
        <v>929</v>
      </c>
      <c r="F1278" s="25">
        <f t="shared" si="38"/>
        <v>2787</v>
      </c>
      <c r="G1278" s="40" t="str">
        <f t="shared" si="39"/>
        <v>Thu</v>
      </c>
    </row>
    <row r="1279" spans="1:7" ht="14.4" x14ac:dyDescent="0.3">
      <c r="A1279" s="22">
        <v>44301</v>
      </c>
      <c r="B1279" s="23" t="s">
        <v>57</v>
      </c>
      <c r="C1279" s="23" t="s">
        <v>96</v>
      </c>
      <c r="D1279" s="24">
        <v>1</v>
      </c>
      <c r="E1279" s="17">
        <f>VLOOKUP(B1279,'SKU Master'!$B$2:$E$31,4,0)</f>
        <v>1030</v>
      </c>
      <c r="F1279" s="25">
        <f t="shared" si="38"/>
        <v>1030</v>
      </c>
      <c r="G1279" s="40" t="str">
        <f t="shared" si="39"/>
        <v>Thu</v>
      </c>
    </row>
    <row r="1280" spans="1:7" ht="14.4" x14ac:dyDescent="0.3">
      <c r="A1280" s="22">
        <v>44301</v>
      </c>
      <c r="B1280" s="23" t="s">
        <v>60</v>
      </c>
      <c r="C1280" s="23" t="s">
        <v>96</v>
      </c>
      <c r="D1280" s="24">
        <v>0</v>
      </c>
      <c r="E1280" s="17">
        <f>VLOOKUP(B1280,'SKU Master'!$B$2:$E$31,4,0)</f>
        <v>1222</v>
      </c>
      <c r="F1280" s="25">
        <f t="shared" si="38"/>
        <v>0</v>
      </c>
      <c r="G1280" s="40" t="str">
        <f t="shared" si="39"/>
        <v>Thu</v>
      </c>
    </row>
    <row r="1281" spans="1:7" ht="14.4" x14ac:dyDescent="0.3">
      <c r="A1281" s="22">
        <v>44301</v>
      </c>
      <c r="B1281" s="23" t="s">
        <v>63</v>
      </c>
      <c r="C1281" s="23" t="s">
        <v>96</v>
      </c>
      <c r="D1281" s="24">
        <v>2</v>
      </c>
      <c r="E1281" s="17">
        <f>VLOOKUP(B1281,'SKU Master'!$B$2:$E$31,4,0)</f>
        <v>649</v>
      </c>
      <c r="F1281" s="25">
        <f t="shared" si="38"/>
        <v>1298</v>
      </c>
      <c r="G1281" s="40" t="str">
        <f t="shared" si="39"/>
        <v>Thu</v>
      </c>
    </row>
    <row r="1282" spans="1:7" ht="14.4" x14ac:dyDescent="0.3">
      <c r="A1282" s="22">
        <v>44301</v>
      </c>
      <c r="B1282" s="23" t="s">
        <v>67</v>
      </c>
      <c r="C1282" s="23" t="s">
        <v>96</v>
      </c>
      <c r="D1282" s="24">
        <v>30</v>
      </c>
      <c r="E1282" s="17">
        <f>VLOOKUP(B1282,'SKU Master'!$B$2:$E$31,4,0)</f>
        <v>1800</v>
      </c>
      <c r="F1282" s="25">
        <f t="shared" si="38"/>
        <v>54000</v>
      </c>
      <c r="G1282" s="40" t="str">
        <f t="shared" si="39"/>
        <v>Thu</v>
      </c>
    </row>
    <row r="1283" spans="1:7" ht="14.4" x14ac:dyDescent="0.3">
      <c r="A1283" s="22">
        <v>44301</v>
      </c>
      <c r="B1283" s="23" t="s">
        <v>70</v>
      </c>
      <c r="C1283" s="23" t="s">
        <v>96</v>
      </c>
      <c r="D1283" s="24">
        <v>18</v>
      </c>
      <c r="E1283" s="17">
        <f>VLOOKUP(B1283,'SKU Master'!$B$2:$E$31,4,0)</f>
        <v>345</v>
      </c>
      <c r="F1283" s="25">
        <f t="shared" ref="F1283:F1346" si="40">D1283*E1283</f>
        <v>6210</v>
      </c>
      <c r="G1283" s="40" t="str">
        <f t="shared" si="39"/>
        <v>Thu</v>
      </c>
    </row>
    <row r="1284" spans="1:7" ht="14.4" x14ac:dyDescent="0.3">
      <c r="A1284" s="22">
        <v>44301</v>
      </c>
      <c r="B1284" s="23" t="s">
        <v>73</v>
      </c>
      <c r="C1284" s="23" t="s">
        <v>96</v>
      </c>
      <c r="D1284" s="24">
        <v>10</v>
      </c>
      <c r="E1284" s="17">
        <f>VLOOKUP(B1284,'SKU Master'!$B$2:$E$31,4,0)</f>
        <v>350</v>
      </c>
      <c r="F1284" s="25">
        <f t="shared" si="40"/>
        <v>3500</v>
      </c>
      <c r="G1284" s="40" t="str">
        <f t="shared" ref="G1284:G1347" si="41">CHOOSE(WEEKDAY(A1284),"Sun","Mon","Tue","Wed","Thu","Fri","Sat")</f>
        <v>Thu</v>
      </c>
    </row>
    <row r="1285" spans="1:7" ht="14.4" x14ac:dyDescent="0.3">
      <c r="A1285" s="22">
        <v>44301</v>
      </c>
      <c r="B1285" s="23" t="s">
        <v>76</v>
      </c>
      <c r="C1285" s="23" t="s">
        <v>96</v>
      </c>
      <c r="D1285" s="24">
        <v>11</v>
      </c>
      <c r="E1285" s="17">
        <f>VLOOKUP(B1285,'SKU Master'!$B$2:$E$31,4,0)</f>
        <v>1575</v>
      </c>
      <c r="F1285" s="25">
        <f t="shared" si="40"/>
        <v>17325</v>
      </c>
      <c r="G1285" s="40" t="str">
        <f t="shared" si="41"/>
        <v>Thu</v>
      </c>
    </row>
    <row r="1286" spans="1:7" ht="14.4" x14ac:dyDescent="0.3">
      <c r="A1286" s="22">
        <v>44301</v>
      </c>
      <c r="B1286" s="23" t="s">
        <v>78</v>
      </c>
      <c r="C1286" s="23" t="s">
        <v>96</v>
      </c>
      <c r="D1286" s="24">
        <v>7</v>
      </c>
      <c r="E1286" s="17">
        <f>VLOOKUP(B1286,'SKU Master'!$B$2:$E$31,4,0)</f>
        <v>1045</v>
      </c>
      <c r="F1286" s="25">
        <f t="shared" si="40"/>
        <v>7315</v>
      </c>
      <c r="G1286" s="40" t="str">
        <f t="shared" si="41"/>
        <v>Thu</v>
      </c>
    </row>
    <row r="1287" spans="1:7" ht="14.4" x14ac:dyDescent="0.3">
      <c r="A1287" s="22">
        <v>44301</v>
      </c>
      <c r="B1287" s="23" t="s">
        <v>81</v>
      </c>
      <c r="C1287" s="23" t="s">
        <v>96</v>
      </c>
      <c r="D1287" s="24">
        <v>4</v>
      </c>
      <c r="E1287" s="17">
        <f>VLOOKUP(B1287,'SKU Master'!$B$2:$E$31,4,0)</f>
        <v>1186</v>
      </c>
      <c r="F1287" s="25">
        <f t="shared" si="40"/>
        <v>4744</v>
      </c>
      <c r="G1287" s="40" t="str">
        <f t="shared" si="41"/>
        <v>Thu</v>
      </c>
    </row>
    <row r="1288" spans="1:7" ht="14.4" x14ac:dyDescent="0.3">
      <c r="A1288" s="22">
        <v>44301</v>
      </c>
      <c r="B1288" s="23" t="s">
        <v>84</v>
      </c>
      <c r="C1288" s="23" t="s">
        <v>96</v>
      </c>
      <c r="D1288" s="24">
        <v>2</v>
      </c>
      <c r="E1288" s="17">
        <f>VLOOKUP(B1288,'SKU Master'!$B$2:$E$31,4,0)</f>
        <v>374</v>
      </c>
      <c r="F1288" s="25">
        <f t="shared" si="40"/>
        <v>748</v>
      </c>
      <c r="G1288" s="40" t="str">
        <f t="shared" si="41"/>
        <v>Thu</v>
      </c>
    </row>
    <row r="1289" spans="1:7" ht="14.4" x14ac:dyDescent="0.3">
      <c r="A1289" s="22">
        <v>44301</v>
      </c>
      <c r="B1289" s="23" t="s">
        <v>87</v>
      </c>
      <c r="C1289" s="23" t="s">
        <v>96</v>
      </c>
      <c r="D1289" s="24">
        <v>1</v>
      </c>
      <c r="E1289" s="17">
        <f>VLOOKUP(B1289,'SKU Master'!$B$2:$E$31,4,0)</f>
        <v>1500</v>
      </c>
      <c r="F1289" s="25">
        <f t="shared" si="40"/>
        <v>1500</v>
      </c>
      <c r="G1289" s="40" t="str">
        <f t="shared" si="41"/>
        <v>Thu</v>
      </c>
    </row>
    <row r="1290" spans="1:7" ht="14.4" x14ac:dyDescent="0.3">
      <c r="A1290" s="22">
        <v>44301</v>
      </c>
      <c r="B1290" s="23" t="s">
        <v>90</v>
      </c>
      <c r="C1290" s="23" t="s">
        <v>96</v>
      </c>
      <c r="D1290" s="24">
        <v>1</v>
      </c>
      <c r="E1290" s="17">
        <f>VLOOKUP(B1290,'SKU Master'!$B$2:$E$31,4,0)</f>
        <v>1800</v>
      </c>
      <c r="F1290" s="25">
        <f t="shared" si="40"/>
        <v>1800</v>
      </c>
      <c r="G1290" s="40" t="str">
        <f t="shared" si="41"/>
        <v>Thu</v>
      </c>
    </row>
    <row r="1291" spans="1:7" ht="14.4" x14ac:dyDescent="0.3">
      <c r="A1291" s="22">
        <v>44301</v>
      </c>
      <c r="B1291" s="23" t="s">
        <v>93</v>
      </c>
      <c r="C1291" s="23" t="s">
        <v>96</v>
      </c>
      <c r="D1291" s="24">
        <v>0</v>
      </c>
      <c r="E1291" s="17">
        <f>VLOOKUP(B1291,'SKU Master'!$B$2:$E$31,4,0)</f>
        <v>1477</v>
      </c>
      <c r="F1291" s="25">
        <f t="shared" si="40"/>
        <v>0</v>
      </c>
      <c r="G1291" s="40" t="str">
        <f t="shared" si="41"/>
        <v>Thu</v>
      </c>
    </row>
    <row r="1292" spans="1:7" ht="14.4" x14ac:dyDescent="0.3">
      <c r="A1292" s="22">
        <v>44301</v>
      </c>
      <c r="B1292" s="23" t="s">
        <v>6</v>
      </c>
      <c r="C1292" s="23" t="s">
        <v>98</v>
      </c>
      <c r="D1292" s="24">
        <v>19</v>
      </c>
      <c r="E1292" s="17">
        <f>VLOOKUP(B1292,'SKU Master'!$B$2:$E$31,4,0)</f>
        <v>210</v>
      </c>
      <c r="F1292" s="25">
        <f t="shared" si="40"/>
        <v>3990</v>
      </c>
      <c r="G1292" s="40" t="str">
        <f t="shared" si="41"/>
        <v>Thu</v>
      </c>
    </row>
    <row r="1293" spans="1:7" ht="14.4" x14ac:dyDescent="0.3">
      <c r="A1293" s="22">
        <v>44301</v>
      </c>
      <c r="B1293" s="23" t="s">
        <v>9</v>
      </c>
      <c r="C1293" s="23" t="s">
        <v>98</v>
      </c>
      <c r="D1293" s="24">
        <v>11</v>
      </c>
      <c r="E1293" s="17">
        <f>VLOOKUP(B1293,'SKU Master'!$B$2:$E$31,4,0)</f>
        <v>199</v>
      </c>
      <c r="F1293" s="25">
        <f t="shared" si="40"/>
        <v>2189</v>
      </c>
      <c r="G1293" s="40" t="str">
        <f t="shared" si="41"/>
        <v>Thu</v>
      </c>
    </row>
    <row r="1294" spans="1:7" ht="14.4" x14ac:dyDescent="0.3">
      <c r="A1294" s="22">
        <v>44301</v>
      </c>
      <c r="B1294" s="23" t="s">
        <v>12</v>
      </c>
      <c r="C1294" s="23" t="s">
        <v>98</v>
      </c>
      <c r="D1294" s="24">
        <v>8</v>
      </c>
      <c r="E1294" s="17">
        <f>VLOOKUP(B1294,'SKU Master'!$B$2:$E$31,4,0)</f>
        <v>322</v>
      </c>
      <c r="F1294" s="25">
        <f t="shared" si="40"/>
        <v>2576</v>
      </c>
      <c r="G1294" s="40" t="str">
        <f t="shared" si="41"/>
        <v>Thu</v>
      </c>
    </row>
    <row r="1295" spans="1:7" ht="14.4" x14ac:dyDescent="0.3">
      <c r="A1295" s="22">
        <v>44301</v>
      </c>
      <c r="B1295" s="23" t="s">
        <v>15</v>
      </c>
      <c r="C1295" s="23" t="s">
        <v>98</v>
      </c>
      <c r="D1295" s="24">
        <v>6</v>
      </c>
      <c r="E1295" s="17">
        <f>VLOOKUP(B1295,'SKU Master'!$B$2:$E$31,4,0)</f>
        <v>161</v>
      </c>
      <c r="F1295" s="25">
        <f t="shared" si="40"/>
        <v>966</v>
      </c>
      <c r="G1295" s="40" t="str">
        <f t="shared" si="41"/>
        <v>Thu</v>
      </c>
    </row>
    <row r="1296" spans="1:7" ht="14.4" x14ac:dyDescent="0.3">
      <c r="A1296" s="22">
        <v>44301</v>
      </c>
      <c r="B1296" s="23" t="s">
        <v>17</v>
      </c>
      <c r="C1296" s="23" t="s">
        <v>98</v>
      </c>
      <c r="D1296" s="24">
        <v>3</v>
      </c>
      <c r="E1296" s="17">
        <f>VLOOKUP(B1296,'SKU Master'!$B$2:$E$31,4,0)</f>
        <v>109</v>
      </c>
      <c r="F1296" s="25">
        <f t="shared" si="40"/>
        <v>327</v>
      </c>
      <c r="G1296" s="40" t="str">
        <f t="shared" si="41"/>
        <v>Thu</v>
      </c>
    </row>
    <row r="1297" spans="1:7" ht="14.4" x14ac:dyDescent="0.3">
      <c r="A1297" s="22">
        <v>44301</v>
      </c>
      <c r="B1297" s="23" t="s">
        <v>20</v>
      </c>
      <c r="C1297" s="23" t="s">
        <v>98</v>
      </c>
      <c r="D1297" s="24">
        <v>1</v>
      </c>
      <c r="E1297" s="17">
        <f>VLOOKUP(B1297,'SKU Master'!$B$2:$E$31,4,0)</f>
        <v>122</v>
      </c>
      <c r="F1297" s="25">
        <f t="shared" si="40"/>
        <v>122</v>
      </c>
      <c r="G1297" s="40" t="str">
        <f t="shared" si="41"/>
        <v>Thu</v>
      </c>
    </row>
    <row r="1298" spans="1:7" ht="14.4" x14ac:dyDescent="0.3">
      <c r="A1298" s="22">
        <v>44301</v>
      </c>
      <c r="B1298" s="23" t="s">
        <v>23</v>
      </c>
      <c r="C1298" s="23" t="s">
        <v>98</v>
      </c>
      <c r="D1298" s="24">
        <v>2</v>
      </c>
      <c r="E1298" s="17">
        <f>VLOOKUP(B1298,'SKU Master'!$B$2:$E$31,4,0)</f>
        <v>96</v>
      </c>
      <c r="F1298" s="25">
        <f t="shared" si="40"/>
        <v>192</v>
      </c>
      <c r="G1298" s="40" t="str">
        <f t="shared" si="41"/>
        <v>Thu</v>
      </c>
    </row>
    <row r="1299" spans="1:7" ht="14.4" x14ac:dyDescent="0.3">
      <c r="A1299" s="22">
        <v>44301</v>
      </c>
      <c r="B1299" s="23" t="s">
        <v>26</v>
      </c>
      <c r="C1299" s="23" t="s">
        <v>98</v>
      </c>
      <c r="D1299" s="24">
        <v>0</v>
      </c>
      <c r="E1299" s="17">
        <f>VLOOKUP(B1299,'SKU Master'!$B$2:$E$31,4,0)</f>
        <v>73</v>
      </c>
      <c r="F1299" s="25">
        <f t="shared" si="40"/>
        <v>0</v>
      </c>
      <c r="G1299" s="40" t="str">
        <f t="shared" si="41"/>
        <v>Thu</v>
      </c>
    </row>
    <row r="1300" spans="1:7" ht="14.4" x14ac:dyDescent="0.3">
      <c r="A1300" s="22">
        <v>44301</v>
      </c>
      <c r="B1300" s="23" t="s">
        <v>29</v>
      </c>
      <c r="C1300" s="23" t="s">
        <v>98</v>
      </c>
      <c r="D1300" s="24">
        <v>1</v>
      </c>
      <c r="E1300" s="17">
        <f>VLOOKUP(B1300,'SKU Master'!$B$2:$E$31,4,0)</f>
        <v>225</v>
      </c>
      <c r="F1300" s="25">
        <f t="shared" si="40"/>
        <v>225</v>
      </c>
      <c r="G1300" s="40" t="str">
        <f t="shared" si="41"/>
        <v>Thu</v>
      </c>
    </row>
    <row r="1301" spans="1:7" ht="14.4" x14ac:dyDescent="0.3">
      <c r="A1301" s="22">
        <v>44301</v>
      </c>
      <c r="B1301" s="23" t="s">
        <v>32</v>
      </c>
      <c r="C1301" s="23" t="s">
        <v>98</v>
      </c>
      <c r="D1301" s="24">
        <v>0</v>
      </c>
      <c r="E1301" s="17">
        <f>VLOOKUP(B1301,'SKU Master'!$B$2:$E$31,4,0)</f>
        <v>559</v>
      </c>
      <c r="F1301" s="25">
        <f t="shared" si="40"/>
        <v>0</v>
      </c>
      <c r="G1301" s="40" t="str">
        <f t="shared" si="41"/>
        <v>Thu</v>
      </c>
    </row>
    <row r="1302" spans="1:7" ht="14.4" x14ac:dyDescent="0.3">
      <c r="A1302" s="22">
        <v>44301</v>
      </c>
      <c r="B1302" s="23" t="s">
        <v>36</v>
      </c>
      <c r="C1302" s="23" t="s">
        <v>98</v>
      </c>
      <c r="D1302" s="24">
        <v>26</v>
      </c>
      <c r="E1302" s="17">
        <f>VLOOKUP(B1302,'SKU Master'!$B$2:$E$31,4,0)</f>
        <v>3199</v>
      </c>
      <c r="F1302" s="25">
        <f t="shared" si="40"/>
        <v>83174</v>
      </c>
      <c r="G1302" s="40" t="str">
        <f t="shared" si="41"/>
        <v>Thu</v>
      </c>
    </row>
    <row r="1303" spans="1:7" ht="14.4" x14ac:dyDescent="0.3">
      <c r="A1303" s="22">
        <v>44301</v>
      </c>
      <c r="B1303" s="23" t="s">
        <v>39</v>
      </c>
      <c r="C1303" s="23" t="s">
        <v>98</v>
      </c>
      <c r="D1303" s="24">
        <v>3</v>
      </c>
      <c r="E1303" s="17">
        <f>VLOOKUP(B1303,'SKU Master'!$B$2:$E$31,4,0)</f>
        <v>371</v>
      </c>
      <c r="F1303" s="25">
        <f t="shared" si="40"/>
        <v>1113</v>
      </c>
      <c r="G1303" s="40" t="str">
        <f t="shared" si="41"/>
        <v>Thu</v>
      </c>
    </row>
    <row r="1304" spans="1:7" ht="14.4" x14ac:dyDescent="0.3">
      <c r="A1304" s="22">
        <v>44301</v>
      </c>
      <c r="B1304" s="23" t="s">
        <v>42</v>
      </c>
      <c r="C1304" s="23" t="s">
        <v>98</v>
      </c>
      <c r="D1304" s="24">
        <v>9</v>
      </c>
      <c r="E1304" s="17">
        <f>VLOOKUP(B1304,'SKU Master'!$B$2:$E$31,4,0)</f>
        <v>2300</v>
      </c>
      <c r="F1304" s="25">
        <f t="shared" si="40"/>
        <v>20700</v>
      </c>
      <c r="G1304" s="40" t="str">
        <f t="shared" si="41"/>
        <v>Thu</v>
      </c>
    </row>
    <row r="1305" spans="1:7" ht="14.4" x14ac:dyDescent="0.3">
      <c r="A1305" s="22">
        <v>44301</v>
      </c>
      <c r="B1305" s="23" t="s">
        <v>45</v>
      </c>
      <c r="C1305" s="23" t="s">
        <v>98</v>
      </c>
      <c r="D1305" s="24">
        <v>8</v>
      </c>
      <c r="E1305" s="17">
        <f>VLOOKUP(B1305,'SKU Master'!$B$2:$E$31,4,0)</f>
        <v>499</v>
      </c>
      <c r="F1305" s="25">
        <f t="shared" si="40"/>
        <v>3992</v>
      </c>
      <c r="G1305" s="40" t="str">
        <f t="shared" si="41"/>
        <v>Thu</v>
      </c>
    </row>
    <row r="1306" spans="1:7" ht="14.4" x14ac:dyDescent="0.3">
      <c r="A1306" s="22">
        <v>44301</v>
      </c>
      <c r="B1306" s="23" t="s">
        <v>48</v>
      </c>
      <c r="C1306" s="23" t="s">
        <v>98</v>
      </c>
      <c r="D1306" s="24">
        <v>0</v>
      </c>
      <c r="E1306" s="17">
        <f>VLOOKUP(B1306,'SKU Master'!$B$2:$E$31,4,0)</f>
        <v>299</v>
      </c>
      <c r="F1306" s="25">
        <f t="shared" si="40"/>
        <v>0</v>
      </c>
      <c r="G1306" s="40" t="str">
        <f t="shared" si="41"/>
        <v>Thu</v>
      </c>
    </row>
    <row r="1307" spans="1:7" ht="14.4" x14ac:dyDescent="0.3">
      <c r="A1307" s="22">
        <v>44301</v>
      </c>
      <c r="B1307" s="23" t="s">
        <v>51</v>
      </c>
      <c r="C1307" s="23" t="s">
        <v>98</v>
      </c>
      <c r="D1307" s="24">
        <v>0</v>
      </c>
      <c r="E1307" s="17">
        <f>VLOOKUP(B1307,'SKU Master'!$B$2:$E$31,4,0)</f>
        <v>901</v>
      </c>
      <c r="F1307" s="25">
        <f t="shared" si="40"/>
        <v>0</v>
      </c>
      <c r="G1307" s="40" t="str">
        <f t="shared" si="41"/>
        <v>Thu</v>
      </c>
    </row>
    <row r="1308" spans="1:7" ht="14.4" x14ac:dyDescent="0.3">
      <c r="A1308" s="22">
        <v>44301</v>
      </c>
      <c r="B1308" s="23" t="s">
        <v>54</v>
      </c>
      <c r="C1308" s="23" t="s">
        <v>98</v>
      </c>
      <c r="D1308" s="24">
        <v>2</v>
      </c>
      <c r="E1308" s="17">
        <f>VLOOKUP(B1308,'SKU Master'!$B$2:$E$31,4,0)</f>
        <v>929</v>
      </c>
      <c r="F1308" s="25">
        <f t="shared" si="40"/>
        <v>1858</v>
      </c>
      <c r="G1308" s="40" t="str">
        <f t="shared" si="41"/>
        <v>Thu</v>
      </c>
    </row>
    <row r="1309" spans="1:7" ht="14.4" x14ac:dyDescent="0.3">
      <c r="A1309" s="22">
        <v>44301</v>
      </c>
      <c r="B1309" s="23" t="s">
        <v>57</v>
      </c>
      <c r="C1309" s="23" t="s">
        <v>98</v>
      </c>
      <c r="D1309" s="24">
        <v>0</v>
      </c>
      <c r="E1309" s="17">
        <f>VLOOKUP(B1309,'SKU Master'!$B$2:$E$31,4,0)</f>
        <v>1030</v>
      </c>
      <c r="F1309" s="25">
        <f t="shared" si="40"/>
        <v>0</v>
      </c>
      <c r="G1309" s="40" t="str">
        <f t="shared" si="41"/>
        <v>Thu</v>
      </c>
    </row>
    <row r="1310" spans="1:7" ht="14.4" x14ac:dyDescent="0.3">
      <c r="A1310" s="22">
        <v>44301</v>
      </c>
      <c r="B1310" s="23" t="s">
        <v>60</v>
      </c>
      <c r="C1310" s="23" t="s">
        <v>98</v>
      </c>
      <c r="D1310" s="24">
        <v>0</v>
      </c>
      <c r="E1310" s="17">
        <f>VLOOKUP(B1310,'SKU Master'!$B$2:$E$31,4,0)</f>
        <v>1222</v>
      </c>
      <c r="F1310" s="25">
        <f t="shared" si="40"/>
        <v>0</v>
      </c>
      <c r="G1310" s="40" t="str">
        <f t="shared" si="41"/>
        <v>Thu</v>
      </c>
    </row>
    <row r="1311" spans="1:7" ht="14.4" x14ac:dyDescent="0.3">
      <c r="A1311" s="22">
        <v>44301</v>
      </c>
      <c r="B1311" s="23" t="s">
        <v>63</v>
      </c>
      <c r="C1311" s="23" t="s">
        <v>98</v>
      </c>
      <c r="D1311" s="24">
        <v>0</v>
      </c>
      <c r="E1311" s="17">
        <f>VLOOKUP(B1311,'SKU Master'!$B$2:$E$31,4,0)</f>
        <v>649</v>
      </c>
      <c r="F1311" s="25">
        <f t="shared" si="40"/>
        <v>0</v>
      </c>
      <c r="G1311" s="40" t="str">
        <f t="shared" si="41"/>
        <v>Thu</v>
      </c>
    </row>
    <row r="1312" spans="1:7" ht="14.4" x14ac:dyDescent="0.3">
      <c r="A1312" s="22">
        <v>44301</v>
      </c>
      <c r="B1312" s="23" t="s">
        <v>67</v>
      </c>
      <c r="C1312" s="23" t="s">
        <v>98</v>
      </c>
      <c r="D1312" s="24">
        <v>18</v>
      </c>
      <c r="E1312" s="17">
        <f>VLOOKUP(B1312,'SKU Master'!$B$2:$E$31,4,0)</f>
        <v>1800</v>
      </c>
      <c r="F1312" s="25">
        <f t="shared" si="40"/>
        <v>32400</v>
      </c>
      <c r="G1312" s="40" t="str">
        <f t="shared" si="41"/>
        <v>Thu</v>
      </c>
    </row>
    <row r="1313" spans="1:7" ht="14.4" x14ac:dyDescent="0.3">
      <c r="A1313" s="22">
        <v>44301</v>
      </c>
      <c r="B1313" s="23" t="s">
        <v>70</v>
      </c>
      <c r="C1313" s="23" t="s">
        <v>98</v>
      </c>
      <c r="D1313" s="24">
        <v>13</v>
      </c>
      <c r="E1313" s="17">
        <f>VLOOKUP(B1313,'SKU Master'!$B$2:$E$31,4,0)</f>
        <v>345</v>
      </c>
      <c r="F1313" s="25">
        <f t="shared" si="40"/>
        <v>4485</v>
      </c>
      <c r="G1313" s="40" t="str">
        <f t="shared" si="41"/>
        <v>Thu</v>
      </c>
    </row>
    <row r="1314" spans="1:7" ht="14.4" x14ac:dyDescent="0.3">
      <c r="A1314" s="22">
        <v>44301</v>
      </c>
      <c r="B1314" s="23" t="s">
        <v>73</v>
      </c>
      <c r="C1314" s="23" t="s">
        <v>98</v>
      </c>
      <c r="D1314" s="24">
        <v>8</v>
      </c>
      <c r="E1314" s="17">
        <f>VLOOKUP(B1314,'SKU Master'!$B$2:$E$31,4,0)</f>
        <v>350</v>
      </c>
      <c r="F1314" s="25">
        <f t="shared" si="40"/>
        <v>2800</v>
      </c>
      <c r="G1314" s="40" t="str">
        <f t="shared" si="41"/>
        <v>Thu</v>
      </c>
    </row>
    <row r="1315" spans="1:7" ht="14.4" x14ac:dyDescent="0.3">
      <c r="A1315" s="22">
        <v>44301</v>
      </c>
      <c r="B1315" s="23" t="s">
        <v>76</v>
      </c>
      <c r="C1315" s="23" t="s">
        <v>98</v>
      </c>
      <c r="D1315" s="24">
        <v>7</v>
      </c>
      <c r="E1315" s="17">
        <f>VLOOKUP(B1315,'SKU Master'!$B$2:$E$31,4,0)</f>
        <v>1575</v>
      </c>
      <c r="F1315" s="25">
        <f t="shared" si="40"/>
        <v>11025</v>
      </c>
      <c r="G1315" s="40" t="str">
        <f t="shared" si="41"/>
        <v>Thu</v>
      </c>
    </row>
    <row r="1316" spans="1:7" ht="14.4" x14ac:dyDescent="0.3">
      <c r="A1316" s="22">
        <v>44301</v>
      </c>
      <c r="B1316" s="23" t="s">
        <v>78</v>
      </c>
      <c r="C1316" s="23" t="s">
        <v>98</v>
      </c>
      <c r="D1316" s="24">
        <v>3</v>
      </c>
      <c r="E1316" s="17">
        <f>VLOOKUP(B1316,'SKU Master'!$B$2:$E$31,4,0)</f>
        <v>1045</v>
      </c>
      <c r="F1316" s="25">
        <f t="shared" si="40"/>
        <v>3135</v>
      </c>
      <c r="G1316" s="40" t="str">
        <f t="shared" si="41"/>
        <v>Thu</v>
      </c>
    </row>
    <row r="1317" spans="1:7" ht="14.4" x14ac:dyDescent="0.3">
      <c r="A1317" s="22">
        <v>44301</v>
      </c>
      <c r="B1317" s="23" t="s">
        <v>81</v>
      </c>
      <c r="C1317" s="23" t="s">
        <v>98</v>
      </c>
      <c r="D1317" s="24">
        <v>5</v>
      </c>
      <c r="E1317" s="17">
        <f>VLOOKUP(B1317,'SKU Master'!$B$2:$E$31,4,0)</f>
        <v>1186</v>
      </c>
      <c r="F1317" s="25">
        <f t="shared" si="40"/>
        <v>5930</v>
      </c>
      <c r="G1317" s="40" t="str">
        <f t="shared" si="41"/>
        <v>Thu</v>
      </c>
    </row>
    <row r="1318" spans="1:7" ht="14.4" x14ac:dyDescent="0.3">
      <c r="A1318" s="22">
        <v>44301</v>
      </c>
      <c r="B1318" s="23" t="s">
        <v>84</v>
      </c>
      <c r="C1318" s="23" t="s">
        <v>98</v>
      </c>
      <c r="D1318" s="24">
        <v>0</v>
      </c>
      <c r="E1318" s="17">
        <f>VLOOKUP(B1318,'SKU Master'!$B$2:$E$31,4,0)</f>
        <v>374</v>
      </c>
      <c r="F1318" s="25">
        <f t="shared" si="40"/>
        <v>0</v>
      </c>
      <c r="G1318" s="40" t="str">
        <f t="shared" si="41"/>
        <v>Thu</v>
      </c>
    </row>
    <row r="1319" spans="1:7" ht="14.4" x14ac:dyDescent="0.3">
      <c r="A1319" s="22">
        <v>44301</v>
      </c>
      <c r="B1319" s="23" t="s">
        <v>87</v>
      </c>
      <c r="C1319" s="23" t="s">
        <v>98</v>
      </c>
      <c r="D1319" s="24">
        <v>1</v>
      </c>
      <c r="E1319" s="17">
        <f>VLOOKUP(B1319,'SKU Master'!$B$2:$E$31,4,0)</f>
        <v>1500</v>
      </c>
      <c r="F1319" s="25">
        <f t="shared" si="40"/>
        <v>1500</v>
      </c>
      <c r="G1319" s="40" t="str">
        <f t="shared" si="41"/>
        <v>Thu</v>
      </c>
    </row>
    <row r="1320" spans="1:7" ht="14.4" x14ac:dyDescent="0.3">
      <c r="A1320" s="22">
        <v>44301</v>
      </c>
      <c r="B1320" s="23" t="s">
        <v>90</v>
      </c>
      <c r="C1320" s="23" t="s">
        <v>98</v>
      </c>
      <c r="D1320" s="24">
        <v>0</v>
      </c>
      <c r="E1320" s="17">
        <f>VLOOKUP(B1320,'SKU Master'!$B$2:$E$31,4,0)</f>
        <v>1800</v>
      </c>
      <c r="F1320" s="25">
        <f t="shared" si="40"/>
        <v>0</v>
      </c>
      <c r="G1320" s="40" t="str">
        <f t="shared" si="41"/>
        <v>Thu</v>
      </c>
    </row>
    <row r="1321" spans="1:7" ht="14.4" x14ac:dyDescent="0.3">
      <c r="A1321" s="22">
        <v>44301</v>
      </c>
      <c r="B1321" s="23" t="s">
        <v>93</v>
      </c>
      <c r="C1321" s="23" t="s">
        <v>98</v>
      </c>
      <c r="D1321" s="24">
        <v>0</v>
      </c>
      <c r="E1321" s="17">
        <f>VLOOKUP(B1321,'SKU Master'!$B$2:$E$31,4,0)</f>
        <v>1477</v>
      </c>
      <c r="F1321" s="25">
        <f t="shared" si="40"/>
        <v>0</v>
      </c>
      <c r="G1321" s="40" t="str">
        <f t="shared" si="41"/>
        <v>Thu</v>
      </c>
    </row>
    <row r="1322" spans="1:7" ht="14.4" x14ac:dyDescent="0.3">
      <c r="A1322" s="22">
        <v>44301</v>
      </c>
      <c r="B1322" s="23" t="s">
        <v>6</v>
      </c>
      <c r="C1322" s="23" t="s">
        <v>97</v>
      </c>
      <c r="D1322" s="24">
        <v>12</v>
      </c>
      <c r="E1322" s="17">
        <f>VLOOKUP(B1322,'SKU Master'!$B$2:$E$31,4,0)</f>
        <v>210</v>
      </c>
      <c r="F1322" s="25">
        <f t="shared" si="40"/>
        <v>2520</v>
      </c>
      <c r="G1322" s="40" t="str">
        <f t="shared" si="41"/>
        <v>Thu</v>
      </c>
    </row>
    <row r="1323" spans="1:7" ht="14.4" x14ac:dyDescent="0.3">
      <c r="A1323" s="22">
        <v>44301</v>
      </c>
      <c r="B1323" s="23" t="s">
        <v>9</v>
      </c>
      <c r="C1323" s="23" t="s">
        <v>97</v>
      </c>
      <c r="D1323" s="24">
        <v>5</v>
      </c>
      <c r="E1323" s="17">
        <f>VLOOKUP(B1323,'SKU Master'!$B$2:$E$31,4,0)</f>
        <v>199</v>
      </c>
      <c r="F1323" s="25">
        <f t="shared" si="40"/>
        <v>995</v>
      </c>
      <c r="G1323" s="40" t="str">
        <f t="shared" si="41"/>
        <v>Thu</v>
      </c>
    </row>
    <row r="1324" spans="1:7" ht="14.4" x14ac:dyDescent="0.3">
      <c r="A1324" s="22">
        <v>44301</v>
      </c>
      <c r="B1324" s="23" t="s">
        <v>12</v>
      </c>
      <c r="C1324" s="23" t="s">
        <v>97</v>
      </c>
      <c r="D1324" s="24">
        <v>3</v>
      </c>
      <c r="E1324" s="17">
        <f>VLOOKUP(B1324,'SKU Master'!$B$2:$E$31,4,0)</f>
        <v>322</v>
      </c>
      <c r="F1324" s="25">
        <f t="shared" si="40"/>
        <v>966</v>
      </c>
      <c r="G1324" s="40" t="str">
        <f t="shared" si="41"/>
        <v>Thu</v>
      </c>
    </row>
    <row r="1325" spans="1:7" ht="14.4" x14ac:dyDescent="0.3">
      <c r="A1325" s="22">
        <v>44301</v>
      </c>
      <c r="B1325" s="23" t="s">
        <v>15</v>
      </c>
      <c r="C1325" s="23" t="s">
        <v>97</v>
      </c>
      <c r="D1325" s="24">
        <v>4</v>
      </c>
      <c r="E1325" s="17">
        <f>VLOOKUP(B1325,'SKU Master'!$B$2:$E$31,4,0)</f>
        <v>161</v>
      </c>
      <c r="F1325" s="25">
        <f t="shared" si="40"/>
        <v>644</v>
      </c>
      <c r="G1325" s="40" t="str">
        <f t="shared" si="41"/>
        <v>Thu</v>
      </c>
    </row>
    <row r="1326" spans="1:7" ht="14.4" x14ac:dyDescent="0.3">
      <c r="A1326" s="22">
        <v>44301</v>
      </c>
      <c r="B1326" s="23" t="s">
        <v>17</v>
      </c>
      <c r="C1326" s="23" t="s">
        <v>97</v>
      </c>
      <c r="D1326" s="24">
        <v>2</v>
      </c>
      <c r="E1326" s="17">
        <f>VLOOKUP(B1326,'SKU Master'!$B$2:$E$31,4,0)</f>
        <v>109</v>
      </c>
      <c r="F1326" s="25">
        <f t="shared" si="40"/>
        <v>218</v>
      </c>
      <c r="G1326" s="40" t="str">
        <f t="shared" si="41"/>
        <v>Thu</v>
      </c>
    </row>
    <row r="1327" spans="1:7" ht="14.4" x14ac:dyDescent="0.3">
      <c r="A1327" s="22">
        <v>44301</v>
      </c>
      <c r="B1327" s="23" t="s">
        <v>20</v>
      </c>
      <c r="C1327" s="23" t="s">
        <v>97</v>
      </c>
      <c r="D1327" s="24">
        <v>2</v>
      </c>
      <c r="E1327" s="17">
        <f>VLOOKUP(B1327,'SKU Master'!$B$2:$E$31,4,0)</f>
        <v>122</v>
      </c>
      <c r="F1327" s="25">
        <f t="shared" si="40"/>
        <v>244</v>
      </c>
      <c r="G1327" s="40" t="str">
        <f t="shared" si="41"/>
        <v>Thu</v>
      </c>
    </row>
    <row r="1328" spans="1:7" ht="14.4" x14ac:dyDescent="0.3">
      <c r="A1328" s="22">
        <v>44301</v>
      </c>
      <c r="B1328" s="23" t="s">
        <v>23</v>
      </c>
      <c r="C1328" s="23" t="s">
        <v>97</v>
      </c>
      <c r="D1328" s="24">
        <v>2</v>
      </c>
      <c r="E1328" s="17">
        <f>VLOOKUP(B1328,'SKU Master'!$B$2:$E$31,4,0)</f>
        <v>96</v>
      </c>
      <c r="F1328" s="25">
        <f t="shared" si="40"/>
        <v>192</v>
      </c>
      <c r="G1328" s="40" t="str">
        <f t="shared" si="41"/>
        <v>Thu</v>
      </c>
    </row>
    <row r="1329" spans="1:7" ht="14.4" x14ac:dyDescent="0.3">
      <c r="A1329" s="22">
        <v>44301</v>
      </c>
      <c r="B1329" s="23" t="s">
        <v>26</v>
      </c>
      <c r="C1329" s="23" t="s">
        <v>97</v>
      </c>
      <c r="D1329" s="24">
        <v>0</v>
      </c>
      <c r="E1329" s="17">
        <f>VLOOKUP(B1329,'SKU Master'!$B$2:$E$31,4,0)</f>
        <v>73</v>
      </c>
      <c r="F1329" s="25">
        <f t="shared" si="40"/>
        <v>0</v>
      </c>
      <c r="G1329" s="40" t="str">
        <f t="shared" si="41"/>
        <v>Thu</v>
      </c>
    </row>
    <row r="1330" spans="1:7" ht="14.4" x14ac:dyDescent="0.3">
      <c r="A1330" s="22">
        <v>44301</v>
      </c>
      <c r="B1330" s="23" t="s">
        <v>29</v>
      </c>
      <c r="C1330" s="23" t="s">
        <v>97</v>
      </c>
      <c r="D1330" s="24">
        <v>2</v>
      </c>
      <c r="E1330" s="17">
        <f>VLOOKUP(B1330,'SKU Master'!$B$2:$E$31,4,0)</f>
        <v>225</v>
      </c>
      <c r="F1330" s="25">
        <f t="shared" si="40"/>
        <v>450</v>
      </c>
      <c r="G1330" s="40" t="str">
        <f t="shared" si="41"/>
        <v>Thu</v>
      </c>
    </row>
    <row r="1331" spans="1:7" ht="14.4" x14ac:dyDescent="0.3">
      <c r="A1331" s="22">
        <v>44301</v>
      </c>
      <c r="B1331" s="23" t="s">
        <v>32</v>
      </c>
      <c r="C1331" s="23" t="s">
        <v>97</v>
      </c>
      <c r="D1331" s="24">
        <v>1</v>
      </c>
      <c r="E1331" s="17">
        <f>VLOOKUP(B1331,'SKU Master'!$B$2:$E$31,4,0)</f>
        <v>559</v>
      </c>
      <c r="F1331" s="25">
        <f t="shared" si="40"/>
        <v>559</v>
      </c>
      <c r="G1331" s="40" t="str">
        <f t="shared" si="41"/>
        <v>Thu</v>
      </c>
    </row>
    <row r="1332" spans="1:7" ht="14.4" x14ac:dyDescent="0.3">
      <c r="A1332" s="22">
        <v>44301</v>
      </c>
      <c r="B1332" s="23" t="s">
        <v>36</v>
      </c>
      <c r="C1332" s="23" t="s">
        <v>97</v>
      </c>
      <c r="D1332" s="24">
        <v>1</v>
      </c>
      <c r="E1332" s="17">
        <f>VLOOKUP(B1332,'SKU Master'!$B$2:$E$31,4,0)</f>
        <v>3199</v>
      </c>
      <c r="F1332" s="25">
        <f t="shared" si="40"/>
        <v>3199</v>
      </c>
      <c r="G1332" s="40" t="str">
        <f t="shared" si="41"/>
        <v>Thu</v>
      </c>
    </row>
    <row r="1333" spans="1:7" ht="14.4" x14ac:dyDescent="0.3">
      <c r="A1333" s="22">
        <v>44301</v>
      </c>
      <c r="B1333" s="23" t="s">
        <v>39</v>
      </c>
      <c r="C1333" s="23" t="s">
        <v>97</v>
      </c>
      <c r="D1333" s="24">
        <v>16</v>
      </c>
      <c r="E1333" s="17">
        <f>VLOOKUP(B1333,'SKU Master'!$B$2:$E$31,4,0)</f>
        <v>371</v>
      </c>
      <c r="F1333" s="25">
        <f t="shared" si="40"/>
        <v>5936</v>
      </c>
      <c r="G1333" s="40" t="str">
        <f t="shared" si="41"/>
        <v>Thu</v>
      </c>
    </row>
    <row r="1334" spans="1:7" ht="14.4" x14ac:dyDescent="0.3">
      <c r="A1334" s="22">
        <v>44301</v>
      </c>
      <c r="B1334" s="23" t="s">
        <v>42</v>
      </c>
      <c r="C1334" s="23" t="s">
        <v>97</v>
      </c>
      <c r="D1334" s="24">
        <v>3</v>
      </c>
      <c r="E1334" s="17">
        <f>VLOOKUP(B1334,'SKU Master'!$B$2:$E$31,4,0)</f>
        <v>2300</v>
      </c>
      <c r="F1334" s="25">
        <f t="shared" si="40"/>
        <v>6900</v>
      </c>
      <c r="G1334" s="40" t="str">
        <f t="shared" si="41"/>
        <v>Thu</v>
      </c>
    </row>
    <row r="1335" spans="1:7" ht="14.4" x14ac:dyDescent="0.3">
      <c r="A1335" s="22">
        <v>44301</v>
      </c>
      <c r="B1335" s="23" t="s">
        <v>45</v>
      </c>
      <c r="C1335" s="23" t="s">
        <v>97</v>
      </c>
      <c r="D1335" s="24">
        <v>4</v>
      </c>
      <c r="E1335" s="17">
        <f>VLOOKUP(B1335,'SKU Master'!$B$2:$E$31,4,0)</f>
        <v>499</v>
      </c>
      <c r="F1335" s="25">
        <f t="shared" si="40"/>
        <v>1996</v>
      </c>
      <c r="G1335" s="40" t="str">
        <f t="shared" si="41"/>
        <v>Thu</v>
      </c>
    </row>
    <row r="1336" spans="1:7" ht="14.4" x14ac:dyDescent="0.3">
      <c r="A1336" s="22">
        <v>44301</v>
      </c>
      <c r="B1336" s="23" t="s">
        <v>48</v>
      </c>
      <c r="C1336" s="23" t="s">
        <v>97</v>
      </c>
      <c r="D1336" s="24">
        <v>6</v>
      </c>
      <c r="E1336" s="17">
        <f>VLOOKUP(B1336,'SKU Master'!$B$2:$E$31,4,0)</f>
        <v>299</v>
      </c>
      <c r="F1336" s="25">
        <f t="shared" si="40"/>
        <v>1794</v>
      </c>
      <c r="G1336" s="40" t="str">
        <f t="shared" si="41"/>
        <v>Thu</v>
      </c>
    </row>
    <row r="1337" spans="1:7" ht="14.4" x14ac:dyDescent="0.3">
      <c r="A1337" s="22">
        <v>44301</v>
      </c>
      <c r="B1337" s="23" t="s">
        <v>51</v>
      </c>
      <c r="C1337" s="23" t="s">
        <v>97</v>
      </c>
      <c r="D1337" s="24">
        <v>3</v>
      </c>
      <c r="E1337" s="17">
        <f>VLOOKUP(B1337,'SKU Master'!$B$2:$E$31,4,0)</f>
        <v>901</v>
      </c>
      <c r="F1337" s="25">
        <f t="shared" si="40"/>
        <v>2703</v>
      </c>
      <c r="G1337" s="40" t="str">
        <f t="shared" si="41"/>
        <v>Thu</v>
      </c>
    </row>
    <row r="1338" spans="1:7" ht="14.4" x14ac:dyDescent="0.3">
      <c r="A1338" s="22">
        <v>44301</v>
      </c>
      <c r="B1338" s="23" t="s">
        <v>54</v>
      </c>
      <c r="C1338" s="23" t="s">
        <v>97</v>
      </c>
      <c r="D1338" s="24">
        <v>2</v>
      </c>
      <c r="E1338" s="17">
        <f>VLOOKUP(B1338,'SKU Master'!$B$2:$E$31,4,0)</f>
        <v>929</v>
      </c>
      <c r="F1338" s="25">
        <f t="shared" si="40"/>
        <v>1858</v>
      </c>
      <c r="G1338" s="40" t="str">
        <f t="shared" si="41"/>
        <v>Thu</v>
      </c>
    </row>
    <row r="1339" spans="1:7" ht="14.4" x14ac:dyDescent="0.3">
      <c r="A1339" s="22">
        <v>44301</v>
      </c>
      <c r="B1339" s="23" t="s">
        <v>57</v>
      </c>
      <c r="C1339" s="23" t="s">
        <v>97</v>
      </c>
      <c r="D1339" s="24">
        <v>2</v>
      </c>
      <c r="E1339" s="17">
        <f>VLOOKUP(B1339,'SKU Master'!$B$2:$E$31,4,0)</f>
        <v>1030</v>
      </c>
      <c r="F1339" s="25">
        <f t="shared" si="40"/>
        <v>2060</v>
      </c>
      <c r="G1339" s="40" t="str">
        <f t="shared" si="41"/>
        <v>Thu</v>
      </c>
    </row>
    <row r="1340" spans="1:7" ht="14.4" x14ac:dyDescent="0.3">
      <c r="A1340" s="22">
        <v>44301</v>
      </c>
      <c r="B1340" s="23" t="s">
        <v>60</v>
      </c>
      <c r="C1340" s="23" t="s">
        <v>97</v>
      </c>
      <c r="D1340" s="24">
        <v>1</v>
      </c>
      <c r="E1340" s="17">
        <f>VLOOKUP(B1340,'SKU Master'!$B$2:$E$31,4,0)</f>
        <v>1222</v>
      </c>
      <c r="F1340" s="25">
        <f t="shared" si="40"/>
        <v>1222</v>
      </c>
      <c r="G1340" s="40" t="str">
        <f t="shared" si="41"/>
        <v>Thu</v>
      </c>
    </row>
    <row r="1341" spans="1:7" ht="14.4" x14ac:dyDescent="0.3">
      <c r="A1341" s="22">
        <v>44301</v>
      </c>
      <c r="B1341" s="23" t="s">
        <v>63</v>
      </c>
      <c r="C1341" s="23" t="s">
        <v>97</v>
      </c>
      <c r="D1341" s="24">
        <v>3</v>
      </c>
      <c r="E1341" s="17">
        <f>VLOOKUP(B1341,'SKU Master'!$B$2:$E$31,4,0)</f>
        <v>649</v>
      </c>
      <c r="F1341" s="25">
        <f t="shared" si="40"/>
        <v>1947</v>
      </c>
      <c r="G1341" s="40" t="str">
        <f t="shared" si="41"/>
        <v>Thu</v>
      </c>
    </row>
    <row r="1342" spans="1:7" ht="14.4" x14ac:dyDescent="0.3">
      <c r="A1342" s="22">
        <v>44301</v>
      </c>
      <c r="B1342" s="23" t="s">
        <v>67</v>
      </c>
      <c r="C1342" s="23" t="s">
        <v>97</v>
      </c>
      <c r="D1342" s="24">
        <v>9</v>
      </c>
      <c r="E1342" s="17">
        <f>VLOOKUP(B1342,'SKU Master'!$B$2:$E$31,4,0)</f>
        <v>1800</v>
      </c>
      <c r="F1342" s="25">
        <f t="shared" si="40"/>
        <v>16200</v>
      </c>
      <c r="G1342" s="40" t="str">
        <f t="shared" si="41"/>
        <v>Thu</v>
      </c>
    </row>
    <row r="1343" spans="1:7" ht="14.4" x14ac:dyDescent="0.3">
      <c r="A1343" s="22">
        <v>44301</v>
      </c>
      <c r="B1343" s="23" t="s">
        <v>70</v>
      </c>
      <c r="C1343" s="23" t="s">
        <v>97</v>
      </c>
      <c r="D1343" s="24">
        <v>2</v>
      </c>
      <c r="E1343" s="17">
        <f>VLOOKUP(B1343,'SKU Master'!$B$2:$E$31,4,0)</f>
        <v>345</v>
      </c>
      <c r="F1343" s="25">
        <f t="shared" si="40"/>
        <v>690</v>
      </c>
      <c r="G1343" s="40" t="str">
        <f t="shared" si="41"/>
        <v>Thu</v>
      </c>
    </row>
    <row r="1344" spans="1:7" ht="14.4" x14ac:dyDescent="0.3">
      <c r="A1344" s="22">
        <v>44301</v>
      </c>
      <c r="B1344" s="23" t="s">
        <v>73</v>
      </c>
      <c r="C1344" s="23" t="s">
        <v>97</v>
      </c>
      <c r="D1344" s="24">
        <v>6</v>
      </c>
      <c r="E1344" s="17">
        <f>VLOOKUP(B1344,'SKU Master'!$B$2:$E$31,4,0)</f>
        <v>350</v>
      </c>
      <c r="F1344" s="25">
        <f t="shared" si="40"/>
        <v>2100</v>
      </c>
      <c r="G1344" s="40" t="str">
        <f t="shared" si="41"/>
        <v>Thu</v>
      </c>
    </row>
    <row r="1345" spans="1:7" ht="14.4" x14ac:dyDescent="0.3">
      <c r="A1345" s="22">
        <v>44301</v>
      </c>
      <c r="B1345" s="23" t="s">
        <v>76</v>
      </c>
      <c r="C1345" s="23" t="s">
        <v>97</v>
      </c>
      <c r="D1345" s="24">
        <v>2</v>
      </c>
      <c r="E1345" s="17">
        <f>VLOOKUP(B1345,'SKU Master'!$B$2:$E$31,4,0)</f>
        <v>1575</v>
      </c>
      <c r="F1345" s="25">
        <f t="shared" si="40"/>
        <v>3150</v>
      </c>
      <c r="G1345" s="40" t="str">
        <f t="shared" si="41"/>
        <v>Thu</v>
      </c>
    </row>
    <row r="1346" spans="1:7" ht="14.4" x14ac:dyDescent="0.3">
      <c r="A1346" s="22">
        <v>44301</v>
      </c>
      <c r="B1346" s="23" t="s">
        <v>78</v>
      </c>
      <c r="C1346" s="23" t="s">
        <v>97</v>
      </c>
      <c r="D1346" s="24">
        <v>5</v>
      </c>
      <c r="E1346" s="17">
        <f>VLOOKUP(B1346,'SKU Master'!$B$2:$E$31,4,0)</f>
        <v>1045</v>
      </c>
      <c r="F1346" s="25">
        <f t="shared" si="40"/>
        <v>5225</v>
      </c>
      <c r="G1346" s="40" t="str">
        <f t="shared" si="41"/>
        <v>Thu</v>
      </c>
    </row>
    <row r="1347" spans="1:7" ht="14.4" x14ac:dyDescent="0.3">
      <c r="A1347" s="22">
        <v>44301</v>
      </c>
      <c r="B1347" s="23" t="s">
        <v>81</v>
      </c>
      <c r="C1347" s="23" t="s">
        <v>97</v>
      </c>
      <c r="D1347" s="24">
        <v>1</v>
      </c>
      <c r="E1347" s="17">
        <f>VLOOKUP(B1347,'SKU Master'!$B$2:$E$31,4,0)</f>
        <v>1186</v>
      </c>
      <c r="F1347" s="25">
        <f t="shared" ref="F1347:F1351" si="42">D1347*E1347</f>
        <v>1186</v>
      </c>
      <c r="G1347" s="40" t="str">
        <f t="shared" si="41"/>
        <v>Thu</v>
      </c>
    </row>
    <row r="1348" spans="1:7" ht="14.4" x14ac:dyDescent="0.3">
      <c r="A1348" s="22">
        <v>44301</v>
      </c>
      <c r="B1348" s="23" t="s">
        <v>84</v>
      </c>
      <c r="C1348" s="23" t="s">
        <v>97</v>
      </c>
      <c r="D1348" s="24">
        <v>5</v>
      </c>
      <c r="E1348" s="17">
        <f>VLOOKUP(B1348,'SKU Master'!$B$2:$E$31,4,0)</f>
        <v>374</v>
      </c>
      <c r="F1348" s="25">
        <f t="shared" si="42"/>
        <v>1870</v>
      </c>
      <c r="G1348" s="40" t="str">
        <f t="shared" ref="G1348:G1351" si="43">CHOOSE(WEEKDAY(A1348),"Sun","Mon","Tue","Wed","Thu","Fri","Sat")</f>
        <v>Thu</v>
      </c>
    </row>
    <row r="1349" spans="1:7" ht="14.4" x14ac:dyDescent="0.3">
      <c r="A1349" s="22">
        <v>44301</v>
      </c>
      <c r="B1349" s="23" t="s">
        <v>87</v>
      </c>
      <c r="C1349" s="23" t="s">
        <v>97</v>
      </c>
      <c r="D1349" s="24">
        <v>1</v>
      </c>
      <c r="E1349" s="17">
        <f>VLOOKUP(B1349,'SKU Master'!$B$2:$E$31,4,0)</f>
        <v>1500</v>
      </c>
      <c r="F1349" s="25">
        <f t="shared" si="42"/>
        <v>1500</v>
      </c>
      <c r="G1349" s="40" t="str">
        <f t="shared" si="43"/>
        <v>Thu</v>
      </c>
    </row>
    <row r="1350" spans="1:7" ht="14.4" x14ac:dyDescent="0.3">
      <c r="A1350" s="22">
        <v>44301</v>
      </c>
      <c r="B1350" s="23" t="s">
        <v>90</v>
      </c>
      <c r="C1350" s="23" t="s">
        <v>97</v>
      </c>
      <c r="D1350" s="24">
        <v>2</v>
      </c>
      <c r="E1350" s="17">
        <f>VLOOKUP(B1350,'SKU Master'!$B$2:$E$31,4,0)</f>
        <v>1800</v>
      </c>
      <c r="F1350" s="25">
        <f t="shared" si="42"/>
        <v>3600</v>
      </c>
      <c r="G1350" s="40" t="str">
        <f t="shared" si="43"/>
        <v>Thu</v>
      </c>
    </row>
    <row r="1351" spans="1:7" ht="14.4" x14ac:dyDescent="0.3">
      <c r="A1351" s="22">
        <v>44301</v>
      </c>
      <c r="B1351" s="23" t="s">
        <v>93</v>
      </c>
      <c r="C1351" s="23" t="s">
        <v>97</v>
      </c>
      <c r="D1351" s="24">
        <v>0</v>
      </c>
      <c r="E1351" s="17">
        <f>VLOOKUP(B1351,'SKU Master'!$B$2:$E$31,4,0)</f>
        <v>1477</v>
      </c>
      <c r="F1351" s="25">
        <f t="shared" si="42"/>
        <v>0</v>
      </c>
      <c r="G1351" s="40" t="str">
        <f t="shared" si="43"/>
        <v>Thu</v>
      </c>
    </row>
  </sheetData>
  <autoFilter ref="A1:G13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SKU Master</vt:lpstr>
      <vt:lpstr>Open STK</vt:lpstr>
      <vt:lpstr>Open STK Sorted</vt:lpstr>
      <vt:lpstr>Stock Transfer</vt:lpstr>
      <vt:lpstr>Pivot Table</vt:lpstr>
      <vt:lpstr>Madras Ledger</vt:lpstr>
      <vt:lpstr>Madras Sales</vt:lpstr>
      <vt:lpstr>Revenue Pareto</vt:lpstr>
      <vt:lpstr>Volume Analysis</vt:lpstr>
      <vt:lpstr>Rev_Vol</vt:lpstr>
      <vt:lpstr>Daily Revenue</vt:lpstr>
      <vt:lpstr>Cochin Ledger</vt:lpstr>
      <vt:lpstr>C_Sales</vt:lpstr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2022-10-29T22:40:51Z</dcterms:modified>
</cp:coreProperties>
</file>